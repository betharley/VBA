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ETH_ARLEY\Desktop\BD\SCRIPTs\"/>
    </mc:Choice>
  </mc:AlternateContent>
  <bookViews>
    <workbookView xWindow="-120" yWindow="-120" windowWidth="20730" windowHeight="11160"/>
  </bookViews>
  <sheets>
    <sheet name="ALUNOS" sheetId="1" r:id="rId1"/>
    <sheet name="CURSOS" sheetId="2" r:id="rId2"/>
    <sheet name="TURMAS" sheetId="3" r:id="rId3"/>
    <sheet name="ALUNOS X TURMAS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5" i="4" l="1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D15" i="3" l="1"/>
  <c r="C16" i="3" s="1"/>
  <c r="D16" i="3" s="1"/>
  <c r="C17" i="3" s="1"/>
  <c r="D17" i="3" s="1"/>
  <c r="C18" i="3" s="1"/>
  <c r="D18" i="3" s="1"/>
  <c r="C10" i="3"/>
  <c r="D10" i="3" s="1"/>
  <c r="C11" i="3" s="1"/>
  <c r="D11" i="3" s="1"/>
  <c r="C12" i="3" s="1"/>
  <c r="D12" i="3" s="1"/>
  <c r="C13" i="3" s="1"/>
  <c r="D13" i="3" s="1"/>
  <c r="C14" i="3" s="1"/>
  <c r="D14" i="3" s="1"/>
  <c r="D6" i="3"/>
  <c r="D3" i="3"/>
  <c r="D4" i="3" s="1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G12" i="2" l="1"/>
  <c r="G11" i="2"/>
  <c r="G10" i="2"/>
  <c r="G9" i="2"/>
  <c r="G8" i="2"/>
  <c r="G7" i="2"/>
  <c r="G6" i="2"/>
  <c r="G5" i="2"/>
  <c r="G4" i="2"/>
  <c r="G3" i="2"/>
  <c r="G2" i="2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<sst xmlns="http://schemas.openxmlformats.org/spreadsheetml/2006/main" count="1624" uniqueCount="821">
  <si>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</si>
  <si>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</si>
  <si>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</si>
  <si>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</si>
  <si>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</si>
  <si>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</si>
  <si>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</si>
  <si>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</si>
  <si>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</si>
  <si>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</si>
  <si>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</si>
  <si>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</si>
  <si>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</si>
  <si>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</si>
  <si>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</si>
  <si>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</si>
  <si>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</si>
  <si>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</si>
  <si>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</si>
  <si>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ID_ALUNO</t>
  </si>
  <si>
    <t>DESCONTO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</si>
  <si>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</si>
  <si>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</si>
  <si>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</si>
  <si>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</si>
  <si>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</si>
  <si>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</si>
  <si>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</si>
  <si>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</si>
  <si>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</si>
  <si>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</si>
  <si>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</si>
  <si>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</si>
  <si>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</si>
  <si>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</si>
  <si>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</si>
  <si>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</si>
  <si>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</si>
  <si>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</si>
  <si>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</si>
  <si>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</si>
  <si>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</si>
  <si>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</si>
  <si>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</si>
  <si>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</si>
  <si>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</si>
  <si>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</si>
  <si>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</si>
  <si>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</si>
  <si>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</si>
  <si>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</si>
  <si>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</si>
  <si>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</si>
  <si>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</si>
  <si>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</si>
  <si>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</si>
  <si>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</si>
  <si>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</si>
  <si>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</si>
  <si>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</si>
  <si>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</si>
  <si>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</si>
  <si>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</si>
  <si>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</si>
  <si>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</si>
  <si>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</si>
  <si>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</si>
  <si>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</si>
  <si>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</si>
  <si>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</si>
  <si>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</si>
  <si>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</si>
  <si>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</si>
  <si>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</si>
  <si>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</si>
  <si>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</si>
  <si>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</si>
  <si>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</si>
  <si>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</si>
  <si>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</si>
  <si>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</si>
  <si>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</si>
  <si>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</si>
  <si>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</si>
  <si>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</si>
  <si>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</si>
  <si>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</si>
  <si>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</si>
  <si>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</si>
  <si>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</si>
  <si>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</si>
  <si>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</si>
  <si>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</si>
  <si>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</si>
  <si>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</si>
  <si>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</si>
  <si>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</si>
  <si>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</si>
  <si>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</si>
  <si>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</si>
  <si>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</si>
  <si>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</si>
  <si>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</si>
  <si>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</si>
  <si>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</si>
  <si>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</si>
  <si>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</si>
  <si>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</si>
  <si>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</si>
  <si>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</si>
  <si>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</si>
  <si>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</si>
  <si>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</si>
  <si>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</si>
  <si>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</si>
  <si>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</si>
  <si>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</si>
  <si>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</si>
  <si>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</si>
  <si>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</si>
  <si>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</si>
  <si>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</si>
  <si>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</si>
  <si>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</si>
  <si>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</si>
  <si>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</si>
  <si>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</si>
  <si>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</si>
  <si>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</si>
  <si>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</si>
  <si>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</si>
  <si>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</si>
  <si>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</si>
  <si>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</si>
  <si>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</si>
  <si>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</si>
  <si>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</si>
  <si>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</si>
  <si>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</si>
  <si>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</si>
  <si>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</si>
  <si>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</si>
  <si>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</si>
  <si>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</si>
  <si>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</si>
  <si>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</si>
  <si>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</si>
  <si>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</si>
  <si>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</si>
  <si>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</si>
  <si>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</si>
  <si>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</si>
  <si>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</si>
  <si>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</si>
  <si>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</si>
  <si>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</si>
  <si>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</si>
  <si>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</si>
  <si>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</si>
  <si>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</si>
  <si>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</si>
  <si>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</si>
  <si>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</si>
  <si>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</si>
  <si>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</si>
  <si>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</si>
  <si>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</si>
  <si>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</si>
  <si>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</si>
  <si>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</si>
  <si>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</si>
  <si>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</si>
  <si>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</si>
  <si>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</si>
  <si>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</si>
  <si>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</si>
  <si>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</si>
  <si>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</si>
  <si>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</si>
  <si>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</si>
  <si>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</si>
  <si>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</si>
  <si>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</si>
  <si>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</si>
  <si>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</si>
  <si>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</si>
  <si>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</si>
  <si>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</si>
  <si>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</si>
  <si>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</si>
  <si>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</si>
  <si>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</si>
  <si>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</si>
  <si>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</si>
  <si>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</si>
  <si>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</si>
  <si>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</si>
  <si>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</si>
  <si>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</si>
  <si>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</si>
  <si>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</si>
  <si>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</si>
  <si>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</si>
  <si>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</si>
  <si>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</si>
  <si>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</si>
  <si>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</si>
  <si>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</si>
  <si>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</si>
  <si>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</si>
  <si>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</si>
  <si>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</si>
  <si>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</si>
  <si>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</si>
  <si>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</si>
  <si>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</si>
  <si>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</si>
  <si>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</si>
  <si>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</si>
  <si>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</si>
  <si>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</si>
  <si>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</si>
  <si>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</si>
  <si>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</si>
  <si>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</si>
  <si>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</si>
  <si>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</si>
  <si>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</si>
  <si>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</si>
  <si>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</si>
  <si>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</si>
  <si>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</si>
  <si>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</si>
  <si>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</si>
  <si>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</si>
  <si>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</si>
  <si>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</si>
  <si>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</si>
  <si>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</si>
  <si>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</si>
  <si>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</si>
  <si>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</si>
  <si>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</si>
  <si>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</si>
  <si>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</si>
  <si>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</si>
  <si>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</si>
  <si>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</si>
  <si>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</si>
  <si>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</si>
  <si>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</si>
  <si>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</si>
  <si>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</si>
  <si>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</si>
  <si>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</si>
  <si>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</si>
  <si>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</si>
  <si>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</si>
  <si>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</si>
  <si>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</si>
  <si>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</si>
  <si>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</si>
  <si>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</si>
  <si>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</si>
  <si>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</si>
  <si>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</si>
  <si>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</si>
  <si>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</si>
  <si>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</si>
  <si>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</si>
  <si>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</si>
  <si>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</si>
  <si>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</si>
  <si>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</si>
  <si>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</si>
  <si>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</si>
  <si>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</si>
  <si>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</si>
  <si>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</si>
  <si>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</si>
  <si>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</si>
  <si>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</si>
  <si>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</si>
  <si>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</si>
  <si>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</si>
  <si>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</si>
  <si>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</si>
  <si>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</si>
  <si>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</si>
  <si>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</si>
  <si>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</si>
  <si>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</si>
  <si>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</si>
  <si>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</si>
  <si>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</si>
  <si>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</si>
  <si>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</si>
  <si>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</si>
  <si>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</si>
  <si>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</si>
  <si>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</si>
  <si>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</si>
  <si>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</si>
  <si>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</si>
  <si>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</si>
  <si>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</si>
  <si>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</si>
  <si>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</si>
  <si>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</si>
  <si>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</si>
  <si>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</si>
  <si>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</si>
  <si>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</si>
  <si>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</si>
  <si>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</si>
  <si>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</si>
  <si>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</si>
  <si>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</si>
  <si>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</si>
  <si>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</si>
  <si>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</si>
  <si>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</si>
  <si>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</si>
  <si>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</si>
  <si>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</si>
  <si>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</si>
  <si>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</si>
  <si>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</si>
  <si>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</si>
  <si>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</si>
  <si>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</si>
  <si>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</si>
  <si>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</si>
  <si>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</si>
  <si>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</si>
  <si>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</si>
  <si>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</si>
  <si>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</si>
  <si>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</si>
  <si>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</si>
  <si>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</si>
  <si>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</si>
  <si>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</si>
  <si>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</si>
  <si>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</si>
  <si>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</si>
  <si>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</si>
  <si>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</si>
  <si>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</si>
  <si>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</si>
  <si>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</si>
  <si>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</si>
  <si>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</si>
  <si>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</si>
  <si>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</si>
  <si>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</si>
  <si>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</si>
  <si>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</si>
  <si>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</si>
  <si>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</si>
  <si>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</si>
  <si>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</si>
  <si>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</si>
  <si>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</si>
  <si>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</si>
  <si>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</si>
  <si>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</si>
  <si>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</si>
  <si>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</si>
  <si>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</si>
  <si>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</si>
  <si>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</si>
  <si>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</si>
  <si>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</si>
  <si>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</si>
  <si>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</si>
  <si>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</si>
  <si>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</si>
  <si>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</si>
  <si>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</si>
  <si>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</si>
  <si>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</si>
  <si>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</si>
  <si>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</si>
  <si>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</si>
  <si>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</si>
  <si>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</si>
  <si>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</si>
  <si>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</si>
  <si>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</si>
  <si>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</si>
  <si>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</si>
  <si>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</si>
  <si>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</si>
  <si>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</si>
  <si>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</si>
  <si>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</si>
  <si>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</si>
  <si>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</si>
  <si>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</si>
  <si>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</si>
  <si>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</si>
  <si>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</si>
  <si>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</si>
  <si>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</si>
  <si>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</si>
  <si>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</si>
  <si>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</si>
  <si>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</si>
  <si>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</si>
  <si>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</si>
  <si>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</si>
  <si>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</si>
  <si>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</si>
  <si>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</si>
  <si>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</si>
  <si>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</si>
  <si>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</si>
  <si>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</si>
  <si>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</si>
  <si>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</si>
  <si>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</si>
  <si>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</si>
  <si>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</si>
  <si>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</si>
  <si>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</si>
  <si>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</si>
  <si>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</si>
  <si>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</si>
  <si>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</si>
  <si>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</si>
  <si>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</si>
  <si>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</si>
  <si>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</si>
  <si>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</si>
  <si>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</si>
  <si>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</si>
  <si>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</si>
  <si>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</si>
  <si>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</si>
  <si>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</si>
  <si>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</si>
  <si>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</si>
  <si>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</si>
  <si>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</si>
  <si>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</si>
  <si>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</si>
  <si>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</si>
  <si>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</si>
  <si>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</si>
  <si>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</si>
  <si>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</si>
  <si>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</si>
  <si>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</si>
  <si>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</si>
  <si>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</si>
  <si>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</si>
  <si>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</si>
  <si>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</si>
  <si>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</si>
  <si>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</si>
  <si>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</si>
  <si>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</si>
  <si>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</si>
  <si>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</si>
  <si>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</si>
  <si>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</si>
  <si>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</si>
  <si>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</si>
  <si>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</si>
  <si>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</si>
  <si>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</si>
  <si>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</si>
  <si>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</si>
  <si>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</si>
  <si>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</si>
  <si>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</si>
  <si>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</si>
  <si>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</si>
  <si>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</si>
  <si>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</si>
  <si>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</si>
  <si>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</si>
  <si>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</si>
  <si>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</si>
  <si>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</si>
  <si>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</si>
  <si>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</si>
  <si>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</si>
  <si>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</si>
  <si>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</si>
  <si>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</si>
  <si>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</si>
  <si>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</si>
  <si>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</si>
  <si>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</si>
  <si>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</si>
  <si>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</si>
  <si>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</si>
  <si>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</si>
  <si>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</si>
  <si>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</si>
  <si>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</si>
  <si>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</si>
  <si>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</si>
  <si>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</si>
  <si>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</si>
  <si>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</si>
  <si>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</si>
  <si>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</si>
  <si>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</si>
  <si>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</si>
  <si>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</si>
  <si>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</si>
  <si>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</si>
  <si>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</si>
  <si>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</si>
  <si>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</si>
  <si>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</si>
  <si>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</si>
  <si>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</si>
  <si>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</si>
  <si>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</si>
  <si>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</si>
  <si>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</si>
  <si>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</si>
  <si>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</si>
  <si>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</si>
  <si>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</si>
  <si>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</si>
  <si>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</si>
  <si>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</si>
  <si>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</si>
  <si>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</si>
  <si>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</si>
  <si>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</si>
  <si>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</si>
  <si>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</si>
  <si>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</si>
  <si>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</si>
  <si>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</si>
  <si>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</si>
  <si>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</si>
  <si>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</si>
  <si>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</si>
  <si>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</si>
  <si>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</si>
  <si>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</si>
  <si>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</si>
  <si>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</si>
  <si>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</si>
  <si>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</si>
  <si>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</si>
  <si>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</si>
  <si>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</si>
  <si>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</si>
  <si>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</si>
  <si>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</si>
  <si>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</si>
  <si>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</si>
  <si>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</si>
  <si>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</si>
  <si>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</si>
  <si>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</si>
  <si>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</si>
  <si>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</si>
  <si>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</si>
  <si>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</si>
  <si>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</si>
  <si>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</si>
  <si>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</si>
  <si>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</si>
  <si>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</si>
  <si>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</si>
  <si>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</si>
  <si>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</si>
  <si>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</si>
  <si>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</si>
  <si>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</si>
  <si>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</si>
  <si>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</si>
  <si>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</si>
  <si>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</si>
  <si>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</si>
  <si>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</si>
  <si>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</si>
  <si>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</si>
  <si>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</si>
  <si>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</si>
  <si>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</si>
  <si>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</si>
  <si>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</si>
  <si>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</si>
  <si>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</si>
  <si>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</si>
  <si>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</si>
  <si>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</si>
  <si>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</si>
  <si>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</si>
  <si>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</si>
  <si>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</si>
  <si>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</si>
  <si>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</si>
  <si>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</si>
  <si>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</si>
  <si>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</si>
  <si>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</si>
  <si>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</si>
  <si>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</si>
  <si>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</si>
  <si>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</si>
  <si>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</si>
  <si>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</si>
  <si>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</si>
  <si>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</si>
  <si>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</si>
  <si>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</si>
  <si>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</si>
  <si>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</si>
  <si>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</si>
  <si>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</si>
  <si>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</si>
  <si>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</si>
  <si>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</si>
  <si>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</si>
  <si>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</si>
  <si>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</si>
  <si>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</si>
  <si>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</si>
  <si>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</si>
  <si>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</si>
  <si>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</si>
  <si>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</si>
  <si>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</si>
  <si>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</si>
  <si>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</si>
  <si>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</si>
  <si>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</si>
  <si>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</si>
  <si>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</si>
  <si>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</si>
  <si>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</si>
  <si>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</si>
  <si>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</si>
  <si>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</si>
  <si>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</si>
  <si>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</si>
  <si>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</si>
  <si>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</si>
  <si>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</si>
  <si>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</si>
  <si>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</si>
  <si>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</si>
  <si>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</si>
  <si>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</si>
  <si>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</si>
  <si>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</si>
  <si>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</si>
  <si>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</si>
  <si>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</si>
  <si>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</si>
  <si>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</si>
  <si>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</si>
  <si>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</si>
  <si>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</si>
  <si>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</si>
  <si>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</si>
  <si>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</si>
  <si>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</si>
  <si>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</si>
  <si>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</si>
  <si>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</si>
  <si>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</si>
  <si>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</si>
  <si>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</si>
  <si>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</si>
  <si>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</si>
  <si>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</si>
  <si>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</si>
  <si>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</si>
  <si>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</si>
  <si>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</si>
  <si>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</si>
  <si>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</si>
  <si>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</si>
  <si>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</si>
  <si>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</si>
  <si>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</si>
  <si>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</si>
  <si>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</si>
  <si>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</si>
  <si>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</si>
  <si>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</si>
  <si>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</si>
  <si>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</si>
  <si>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</si>
  <si>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</si>
  <si>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</si>
  <si>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</si>
  <si>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</si>
  <si>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</si>
  <si>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</si>
  <si>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</si>
  <si>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</si>
  <si>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</si>
  <si>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</si>
  <si>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</si>
  <si>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</si>
  <si>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</si>
  <si>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</si>
  <si>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</si>
  <si>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</si>
  <si>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</si>
  <si>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</si>
  <si>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</si>
  <si>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</si>
  <si>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</si>
  <si>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</si>
  <si>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</si>
  <si>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</si>
  <si>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</si>
  <si>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</si>
  <si>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</si>
  <si>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</si>
  <si>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</si>
  <si>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</si>
  <si>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</si>
  <si>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</si>
  <si>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</si>
  <si>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</si>
  <si>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</si>
  <si>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</si>
  <si>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</si>
  <si>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</si>
  <si>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</si>
  <si>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</si>
  <si>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</si>
  <si>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</si>
  <si>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</si>
  <si>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</si>
  <si>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</si>
  <si>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</si>
  <si>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</si>
  <si>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</si>
  <si>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</si>
  <si>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</si>
  <si>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</si>
  <si>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</si>
  <si>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</si>
  <si>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</si>
  <si>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</si>
  <si>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</si>
  <si>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</si>
  <si>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</si>
  <si>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</si>
  <si>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</si>
  <si>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</si>
  <si>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</si>
  <si>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</si>
  <si>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</si>
  <si>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</si>
  <si>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</si>
  <si>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</si>
  <si>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</si>
  <si>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</si>
  <si>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</si>
  <si>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</si>
  <si>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</si>
  <si>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</si>
  <si>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</si>
  <si>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</si>
  <si>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</si>
  <si>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</si>
  <si>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</si>
  <si>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</si>
  <si>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</si>
  <si>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</si>
  <si>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</si>
  <si>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</si>
  <si>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</si>
  <si>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</si>
  <si>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</si>
  <si>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</si>
  <si>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</si>
  <si>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</si>
  <si>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</si>
  <si>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</si>
  <si>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</si>
  <si>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</si>
  <si>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</si>
  <si>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</si>
  <si>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</si>
  <si>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</si>
  <si>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</si>
  <si>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</si>
  <si>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</si>
  <si>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</si>
  <si>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</si>
  <si>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</si>
  <si>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</si>
  <si>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</si>
  <si>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</si>
  <si>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</si>
  <si>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</si>
  <si>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</si>
  <si>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</si>
  <si>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</si>
  <si>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</si>
  <si>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</si>
  <si>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</si>
  <si>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</si>
  <si>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</si>
  <si>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VALOR</t>
  </si>
  <si>
    <t>FK_CURSO</t>
  </si>
  <si>
    <t>0.5</t>
  </si>
  <si>
    <t>0.2</t>
  </si>
  <si>
    <t>0.4</t>
  </si>
  <si>
    <t>0.08</t>
  </si>
  <si>
    <t>0.44</t>
  </si>
  <si>
    <t>0.52</t>
  </si>
  <si>
    <t>0.36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</si>
</sst>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64" fontId="0" fillId="0" borderId="0" xfId="0" applyNumberFormat="1"/>
    <xf numFmtId="14" fontId="0" fillId="0" borderId="0" xfId="0" applyNumberFormat="1"/>
    <xf numFmtId="2" fontId="0" fillId="0" borderId="0" xfId="2" applyNumberFormat="1" applyFont="1"/>
    <xf numFmtId="1" fontId="0" fillId="0" borderId="0" xfId="0" applyNumberFormat="1"/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604345</xdr:colOff>
      <xdr:row>0</xdr:row>
      <xdr:rowOff>151086</xdr:rowOff>
    </xdr:from>
    <xdr:to>
      <xdr:col>6</xdr:col>
      <xdr:colOff>479534</xdr:colOff>
      <xdr:row>3</xdr:row>
      <xdr:rowOff>177362</xdr:rowOff>
    </xdr:to>
    <xdr:sp macro="[0]!INSERT_ALUNOS" textlink="">
      <xdr:nvSpPr>
        <xdr:cNvPr id="2" name="Retângulo Arredondado 1"/>
        <xdr:cNvSpPr/>
      </xdr:nvSpPr>
      <xdr:spPr>
        <a:xfrm>
          <a:off x="4907017" y="151086"/>
          <a:ext cx="1097017" cy="59777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INSERT ALUNOS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520212</xdr:colOff>
      <xdr:row>1</xdr:row>
      <xdr:rowOff>73269</xdr:rowOff>
    </xdr:from>
    <xdr:to>
      <xdr:col>4</xdr:col>
      <xdr:colOff>542193</xdr:colOff>
      <xdr:row>4</xdr:row>
      <xdr:rowOff>168519</xdr:rowOff>
    </xdr:to>
    <xdr:sp macro="[0]!INSERT_CURSOS" textlink="">
      <xdr:nvSpPr>
        <xdr:cNvPr id="2" name="Retângulo Arredondado 1"/>
        <xdr:cNvSpPr/>
      </xdr:nvSpPr>
      <xdr:spPr>
        <a:xfrm>
          <a:off x="2212731" y="263769"/>
          <a:ext cx="1238250" cy="666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INSERT CURSOS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162414</xdr:colOff>
      <xdr:row>4</xdr:row>
      <xdr:rowOff>95250</xdr:rowOff>
    </xdr:to>
    <xdr:sp macro="[0]!INSERT_TURMAS" textlink="">
      <xdr:nvSpPr>
        <xdr:cNvPr id="3" name="Retângulo Arredondado 2"/>
        <xdr:cNvSpPr/>
      </xdr:nvSpPr>
      <xdr:spPr>
        <a:xfrm>
          <a:off x="3921125" y="190500"/>
          <a:ext cx="1384789" cy="666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INSERT TURMAS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57150</xdr:colOff>
      <xdr:row>5</xdr:row>
      <xdr:rowOff>95250</xdr:rowOff>
    </xdr:to>
    <xdr:sp macro="[0]!INSERT_ALUNOS_x_TURMAS" textlink="">
      <xdr:nvSpPr>
        <xdr:cNvPr id="2" name="Retângulo Arredondado 1"/>
        <xdr:cNvSpPr/>
      </xdr:nvSpPr>
      <xdr:spPr>
        <a:xfrm>
          <a:off x="4286250" y="381000"/>
          <a:ext cx="1885950" cy="666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INSERT ALUNOSxTURMAS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793"/>
  <sheetViews>
    <sheetView tabSelected="1" zoomScale="145" zoomScaleNormal="145" workbookViewId="0"/>
  </sheetViews>
  <sheetFormatPr defaultRowHeight="15" x14ac:dyDescent="0.25"/>
  <cols>
    <col min="1" max="1" width="6.28515625" customWidth="1"/>
    <col min="2" max="2" width="35.7109375" bestFit="1" customWidth="1"/>
    <col min="3" max="3" width="19.140625" bestFit="1" customWidth="1"/>
    <col min="4" max="4" width="7.7109375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23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24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25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26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27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28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29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30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31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32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33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34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35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36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37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38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39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40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41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42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43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44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45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46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47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48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49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50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51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52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53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54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55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56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57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58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59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60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61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62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63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64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65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66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67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68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69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70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71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72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73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74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75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76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77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78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79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80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81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82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83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84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85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86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87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88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89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90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91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92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93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94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95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96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97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98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99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100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101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102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103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104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105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106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107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108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109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110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111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112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113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114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115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116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117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118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119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120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121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122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123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124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125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126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127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128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129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130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131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132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133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134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135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136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137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138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139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140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141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142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143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144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145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146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147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148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149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150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151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152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153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154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155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156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157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158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159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160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161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162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163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164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165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166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167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168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169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170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171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172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173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174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175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176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177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178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179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180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181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182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183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184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185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186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187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188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189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190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191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192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193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194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195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196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197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198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199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200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201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202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203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204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205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206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207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208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209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210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211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212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213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214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215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216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217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218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219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220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221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222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223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224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225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226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227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228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229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230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231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232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233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234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235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236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237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238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239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240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241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242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243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244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245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246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247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248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249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250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251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252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253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254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255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256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257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258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259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260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261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262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263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264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265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266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267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268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269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270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271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272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273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274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275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276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277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278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279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280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281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282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283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284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285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286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287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288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289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290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291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292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293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294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295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296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297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298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299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300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301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302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303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304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305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306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307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308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309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310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311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312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313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314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315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316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317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318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319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320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321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322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323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324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325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326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327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328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329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330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331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332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333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334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335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336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337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338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339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340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341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342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343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344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345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346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347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348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349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350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351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352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353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354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355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356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357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358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359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360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361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362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363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364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365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366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367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368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369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370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371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372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373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374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375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376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377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378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379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380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381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382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383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384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385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386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387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388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389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390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391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392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393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394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395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396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397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398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399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400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401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402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403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404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405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406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407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408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409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410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411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412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413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414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415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416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417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418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419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420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421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422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423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424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425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426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427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428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429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430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431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432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433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434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435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436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437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438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439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440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441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442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443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444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445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446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447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448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449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450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451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452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453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454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455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456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457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458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459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460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461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462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463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464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465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466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467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468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469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470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471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472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473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474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475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476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477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478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479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480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481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482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483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484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485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486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487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488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489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490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491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492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493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494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495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496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497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498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499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500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501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502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503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504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505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506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507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508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509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510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511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512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513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514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515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516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517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518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519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520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521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522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523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524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525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526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527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528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529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530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531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532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533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534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535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536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537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538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539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538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540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541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542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543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544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545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546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547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548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549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550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551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552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553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554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555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556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557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558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559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560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561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562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563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564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565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566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567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568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569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570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571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572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573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574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575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576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577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578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579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580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581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582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583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584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585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586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587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588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589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590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591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592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593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594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595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596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597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598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599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600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601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602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603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604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605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605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606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607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608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609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610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611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612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613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614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615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616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617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618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619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620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621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622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623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624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625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626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627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628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629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630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631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632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633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634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635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636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637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638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639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640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641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642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643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644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645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646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647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648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649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650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651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652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653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654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655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656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657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658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659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660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661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662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663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664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665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666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667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668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669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670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671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672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673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674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675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676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677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678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679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680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681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682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683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684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685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686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687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688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689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690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691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692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693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694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695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696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697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698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699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700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701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702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703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704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705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706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707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708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709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710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711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712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713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714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715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716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717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718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719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720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721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722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723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724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725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726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727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728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729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730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731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732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733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734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735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736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737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738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739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740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741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742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743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744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745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746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747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748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749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750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751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752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753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754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755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756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757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758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759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760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761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762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763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764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765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766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767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768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769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770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771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772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773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774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775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776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777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778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779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780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781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782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783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784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785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786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787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788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789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790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791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792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793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794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783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795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796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797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798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799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800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801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802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803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804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805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806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807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808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809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810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811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2"/>
  <sheetViews>
    <sheetView zoomScale="130" zoomScaleNormal="130" workbookViewId="0">
      <selection activeCell="B2" sqref="B2"/>
    </sheetView>
  </sheetViews>
  <sheetFormatPr defaultRowHeight="15" x14ac:dyDescent="0.25"/>
  <cols>
    <col min="1" max="1" width="3" bestFit="1" customWidth="1"/>
    <col min="2" max="2" width="22.42578125" bestFit="1" customWidth="1"/>
    <col min="4" max="4" width="11.28515625" bestFit="1" customWidth="1"/>
  </cols>
  <sheetData>
    <row r="1" spans="1:7" x14ac:dyDescent="0.25">
      <c r="A1" s="5" t="s">
        <v>0</v>
      </c>
      <c r="B1" s="5" t="s">
        <v>6</v>
      </c>
      <c r="D1" s="8"/>
    </row>
    <row r="2" spans="1:7" x14ac:dyDescent="0.25">
      <c r="A2">
        <v>1</v>
      </c>
      <c r="B2" t="s">
        <v>7</v>
      </c>
      <c r="G2" t="str">
        <f ca="1">"INSERT INTO CURSOS(ID_CURSO, NOME_CURSO) VALUES("&amp;"'"&amp;A2&amp;"','"&amp;B2&amp;"','"&amp;TODAY()&amp;"','"&amp;"BETH"&amp;"');"</f>
        <v>INSERT INTO CURSOS(ID_CURSO, NOME_CURSO) VALUES('1','VBA I','44746','BETH');</v>
      </c>
    </row>
    <row r="3" spans="1:7" x14ac:dyDescent="0.25">
      <c r="A3">
        <v>2</v>
      </c>
      <c r="B3" t="s">
        <v>8</v>
      </c>
      <c r="G3" t="str">
        <f t="shared" ref="G3:G12" ca="1" si="0">"INSERT INTO CURSOS(ID_CURSO, NOME_CURSO) VALUES("&amp;"'"&amp;A3&amp;"','"&amp;B3&amp;"','"&amp;TODAY()&amp;"','"&amp;"BETH"&amp;"');"</f>
        <v>INSERT INTO CURSOS(ID_CURSO, NOME_CURSO) VALUES('2','VBA II','44746','BETH');</v>
      </c>
    </row>
    <row r="4" spans="1:7" x14ac:dyDescent="0.25">
      <c r="A4">
        <v>3</v>
      </c>
      <c r="B4" t="s">
        <v>9</v>
      </c>
      <c r="G4" t="str">
        <f t="shared" ca="1" si="0"/>
        <v>INSERT INTO CURSOS(ID_CURSO, NOME_CURSO) VALUES('3','VBA III','44746','BETH');</v>
      </c>
    </row>
    <row r="5" spans="1:7" x14ac:dyDescent="0.25">
      <c r="A5">
        <v>4</v>
      </c>
      <c r="B5" t="s">
        <v>10</v>
      </c>
      <c r="G5" t="str">
        <f t="shared" ca="1" si="0"/>
        <v>INSERT INTO CURSOS(ID_CURSO, NOME_CURSO) VALUES('4','Excel Básico','44746','BETH');</v>
      </c>
    </row>
    <row r="6" spans="1:7" x14ac:dyDescent="0.25">
      <c r="A6">
        <v>5</v>
      </c>
      <c r="B6" t="s">
        <v>11</v>
      </c>
      <c r="G6" t="str">
        <f t="shared" ca="1" si="0"/>
        <v>INSERT INTO CURSOS(ID_CURSO, NOME_CURSO) VALUES('5','Excel Intermediário','44746','BETH');</v>
      </c>
    </row>
    <row r="7" spans="1:7" x14ac:dyDescent="0.25">
      <c r="A7">
        <v>6</v>
      </c>
      <c r="B7" t="s">
        <v>12</v>
      </c>
      <c r="G7" t="str">
        <f t="shared" ca="1" si="0"/>
        <v>INSERT INTO CURSOS(ID_CURSO, NOME_CURSO) VALUES('6','Excel Avançado','44746','BETH');</v>
      </c>
    </row>
    <row r="8" spans="1:7" x14ac:dyDescent="0.25">
      <c r="A8">
        <v>7</v>
      </c>
      <c r="B8" t="s">
        <v>13</v>
      </c>
      <c r="G8" t="str">
        <f t="shared" ca="1" si="0"/>
        <v>INSERT INTO CURSOS(ID_CURSO, NOME_CURSO) VALUES('7','Pacote Office Completo','44746','BETH');</v>
      </c>
    </row>
    <row r="9" spans="1:7" x14ac:dyDescent="0.25">
      <c r="A9">
        <v>8</v>
      </c>
      <c r="B9" t="s">
        <v>14</v>
      </c>
      <c r="G9" t="str">
        <f t="shared" ca="1" si="0"/>
        <v>INSERT INTO CURSOS(ID_CURSO, NOME_CURSO) VALUES('8','Word','44746','BETH');</v>
      </c>
    </row>
    <row r="10" spans="1:7" x14ac:dyDescent="0.25">
      <c r="A10">
        <v>9</v>
      </c>
      <c r="B10" t="s">
        <v>15</v>
      </c>
      <c r="G10" t="str">
        <f t="shared" ca="1" si="0"/>
        <v>INSERT INTO CURSOS(ID_CURSO, NOME_CURSO) VALUES('9','PowerPoint','44746','BETH');</v>
      </c>
    </row>
    <row r="11" spans="1:7" x14ac:dyDescent="0.25">
      <c r="A11">
        <v>10</v>
      </c>
      <c r="B11" t="s">
        <v>16</v>
      </c>
      <c r="G11" t="str">
        <f t="shared" ca="1" si="0"/>
        <v>INSERT INTO CURSOS(ID_CURSO, NOME_CURSO) VALUES('10','Access','44746','BETH');</v>
      </c>
    </row>
    <row r="12" spans="1:7" x14ac:dyDescent="0.25">
      <c r="A12">
        <v>11</v>
      </c>
      <c r="B12" t="s">
        <v>17</v>
      </c>
      <c r="G12" t="str">
        <f t="shared" ca="1" si="0"/>
        <v>INSERT INTO CURSOS(ID_CURSO, NOME_CURSO) VALUES('11','Word Avançado','44746','BETH');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18"/>
  <sheetViews>
    <sheetView zoomScale="120" zoomScaleNormal="120" workbookViewId="0">
      <selection activeCell="I8" sqref="I8"/>
    </sheetView>
  </sheetViews>
  <sheetFormatPr defaultRowHeight="15" x14ac:dyDescent="0.25"/>
  <cols>
    <col min="1" max="1" width="10.7109375" bestFit="1" customWidth="1"/>
    <col min="2" max="2" width="10.5703125" bestFit="1" customWidth="1"/>
    <col min="3" max="3" width="12.7109375" bestFit="1" customWidth="1"/>
    <col min="4" max="4" width="15.5703125" bestFit="1" customWidth="1"/>
  </cols>
  <sheetData>
    <row r="1" spans="1:4" x14ac:dyDescent="0.25">
      <c r="A1" s="7" t="s">
        <v>18</v>
      </c>
      <c r="B1" s="7" t="s">
        <v>813</v>
      </c>
      <c r="C1" s="7" t="s">
        <v>21</v>
      </c>
      <c r="D1" s="7" t="s">
        <v>22</v>
      </c>
    </row>
    <row r="2" spans="1:4" x14ac:dyDescent="0.25">
      <c r="A2">
        <v>1</v>
      </c>
      <c r="B2">
        <v>1</v>
      </c>
      <c r="C2" s="9">
        <v>43786</v>
      </c>
      <c r="D2" s="9">
        <v>43826</v>
      </c>
    </row>
    <row r="3" spans="1:4" x14ac:dyDescent="0.25">
      <c r="A3">
        <v>2</v>
      </c>
      <c r="B3">
        <v>1</v>
      </c>
      <c r="C3" s="9">
        <v>43831</v>
      </c>
      <c r="D3" s="9">
        <f>C3+D2-C2</f>
        <v>43871</v>
      </c>
    </row>
    <row r="4" spans="1:4" x14ac:dyDescent="0.25">
      <c r="A4">
        <v>3</v>
      </c>
      <c r="B4">
        <v>1</v>
      </c>
      <c r="C4" s="9">
        <v>43874</v>
      </c>
      <c r="D4" s="9">
        <f>C4+D3-C3</f>
        <v>43914</v>
      </c>
    </row>
    <row r="5" spans="1:4" x14ac:dyDescent="0.25">
      <c r="A5">
        <v>4</v>
      </c>
      <c r="B5">
        <v>4</v>
      </c>
      <c r="C5" s="9">
        <v>43526</v>
      </c>
      <c r="D5" s="9">
        <v>43557</v>
      </c>
    </row>
    <row r="6" spans="1:4" x14ac:dyDescent="0.25">
      <c r="A6">
        <v>5</v>
      </c>
      <c r="B6">
        <v>4</v>
      </c>
      <c r="C6" s="9">
        <v>43648</v>
      </c>
      <c r="D6" s="9">
        <f>C6+D5-C5-10</f>
        <v>43669</v>
      </c>
    </row>
    <row r="7" spans="1:4" x14ac:dyDescent="0.25">
      <c r="A7">
        <v>6</v>
      </c>
      <c r="B7">
        <v>11</v>
      </c>
      <c r="C7" s="9">
        <v>43710</v>
      </c>
      <c r="D7" s="9">
        <v>43723</v>
      </c>
    </row>
    <row r="8" spans="1:4" x14ac:dyDescent="0.25">
      <c r="A8">
        <v>7</v>
      </c>
      <c r="B8">
        <v>11</v>
      </c>
      <c r="C8" s="9">
        <v>43499</v>
      </c>
      <c r="D8" s="9">
        <v>43512</v>
      </c>
    </row>
    <row r="9" spans="1:4" x14ac:dyDescent="0.25">
      <c r="A9">
        <v>8</v>
      </c>
      <c r="B9">
        <v>9</v>
      </c>
      <c r="C9" s="9">
        <v>43874</v>
      </c>
      <c r="D9" s="9">
        <v>43914</v>
      </c>
    </row>
    <row r="10" spans="1:4" x14ac:dyDescent="0.25">
      <c r="A10">
        <v>9</v>
      </c>
      <c r="B10">
        <v>6</v>
      </c>
      <c r="C10" s="9">
        <f>C9+10</f>
        <v>43884</v>
      </c>
      <c r="D10" s="9">
        <f>C10+45</f>
        <v>43929</v>
      </c>
    </row>
    <row r="11" spans="1:4" x14ac:dyDescent="0.25">
      <c r="A11">
        <v>10</v>
      </c>
      <c r="B11">
        <v>6</v>
      </c>
      <c r="C11" s="9">
        <f>D10+10</f>
        <v>43939</v>
      </c>
      <c r="D11" s="9">
        <f>C11+45</f>
        <v>43984</v>
      </c>
    </row>
    <row r="12" spans="1:4" x14ac:dyDescent="0.25">
      <c r="A12">
        <v>11</v>
      </c>
      <c r="B12">
        <v>6</v>
      </c>
      <c r="C12" s="9">
        <f t="shared" ref="C12:C18" si="0">D11+10</f>
        <v>43994</v>
      </c>
      <c r="D12" s="9">
        <f t="shared" ref="D12:D17" si="1">C12+45</f>
        <v>44039</v>
      </c>
    </row>
    <row r="13" spans="1:4" x14ac:dyDescent="0.25">
      <c r="A13">
        <v>12</v>
      </c>
      <c r="B13">
        <v>6</v>
      </c>
      <c r="C13" s="9">
        <f t="shared" si="0"/>
        <v>44049</v>
      </c>
      <c r="D13" s="9">
        <f t="shared" si="1"/>
        <v>44094</v>
      </c>
    </row>
    <row r="14" spans="1:4" x14ac:dyDescent="0.25">
      <c r="A14">
        <v>13</v>
      </c>
      <c r="B14">
        <v>6</v>
      </c>
      <c r="C14" s="9">
        <f t="shared" si="0"/>
        <v>44104</v>
      </c>
      <c r="D14" s="9">
        <f t="shared" si="1"/>
        <v>44149</v>
      </c>
    </row>
    <row r="15" spans="1:4" x14ac:dyDescent="0.25">
      <c r="A15">
        <v>14</v>
      </c>
      <c r="B15">
        <v>5</v>
      </c>
      <c r="C15" s="9">
        <v>43649</v>
      </c>
      <c r="D15" s="9">
        <f>C15+45</f>
        <v>43694</v>
      </c>
    </row>
    <row r="16" spans="1:4" x14ac:dyDescent="0.25">
      <c r="A16">
        <v>15</v>
      </c>
      <c r="B16">
        <v>5</v>
      </c>
      <c r="C16" s="9">
        <f t="shared" si="0"/>
        <v>43704</v>
      </c>
      <c r="D16" s="9">
        <f t="shared" si="1"/>
        <v>43749</v>
      </c>
    </row>
    <row r="17" spans="1:4" x14ac:dyDescent="0.25">
      <c r="A17">
        <v>16</v>
      </c>
      <c r="B17">
        <v>5</v>
      </c>
      <c r="C17" s="9">
        <f t="shared" si="0"/>
        <v>43759</v>
      </c>
      <c r="D17" s="9">
        <f t="shared" si="1"/>
        <v>43804</v>
      </c>
    </row>
    <row r="18" spans="1:4" x14ac:dyDescent="0.25">
      <c r="A18">
        <v>17</v>
      </c>
      <c r="B18">
        <v>5</v>
      </c>
      <c r="C18" s="9">
        <f t="shared" si="0"/>
        <v>43814</v>
      </c>
      <c r="D18" s="9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5"/>
  <sheetViews>
    <sheetView workbookViewId="0">
      <selection activeCell="J7" sqref="J7"/>
    </sheetView>
  </sheetViews>
  <sheetFormatPr defaultRowHeight="15" x14ac:dyDescent="0.25"/>
  <cols>
    <col min="1" max="1" width="10.28515625" bestFit="1" customWidth="1"/>
    <col min="2" max="2" width="10.140625" bestFit="1" customWidth="1"/>
    <col min="3" max="3" width="16.7109375" customWidth="1"/>
    <col min="4" max="4" width="18" bestFit="1" customWidth="1"/>
    <col min="5" max="5" width="9.5703125" customWidth="1"/>
  </cols>
  <sheetData>
    <row r="1" spans="1:10" x14ac:dyDescent="0.25">
      <c r="A1" s="7" t="s">
        <v>18</v>
      </c>
      <c r="B1" s="7" t="s">
        <v>19</v>
      </c>
      <c r="C1" s="7" t="s">
        <v>812</v>
      </c>
      <c r="D1" s="7" t="s">
        <v>20</v>
      </c>
    </row>
    <row r="2" spans="1:10" x14ac:dyDescent="0.25">
      <c r="A2">
        <v>6</v>
      </c>
      <c r="B2">
        <v>12</v>
      </c>
      <c r="C2" s="11">
        <v>1100</v>
      </c>
      <c r="D2" s="10">
        <f>IF(1100-C2&gt;0,(1100-C2)/1100,0)</f>
        <v>0</v>
      </c>
      <c r="E2" s="10">
        <v>0</v>
      </c>
      <c r="J2" t="str">
        <f>"INSERT INTO ALUNOS_TURMAS (FK_TURMA, FK_ALUNO, VALOR, DESCONTO, DATA_CADASTRO, LOGIN_CADASTRO) VALUES ("&amp;A2&amp;","&amp;B2&amp;","&amp;C2&amp;","&amp;E2&amp;","&amp;"GETDATE()"&amp;",'BETHARLEY')"</f>
        <v>INSERT INTO ALUNOS_TURMAS (FK_TURMA, FK_ALUNO, VALOR, DESCONTO, DATA_CADASTRO, LOGIN_CADASTRO) VALUES (6,12,1100,0,GETDATE(),'BETHARLEY')</v>
      </c>
    </row>
    <row r="3" spans="1:10" x14ac:dyDescent="0.25">
      <c r="A3">
        <v>6</v>
      </c>
      <c r="B3">
        <v>47</v>
      </c>
      <c r="C3" s="11">
        <v>1100</v>
      </c>
      <c r="D3" s="10">
        <f t="shared" ref="D3:D10" si="0">IF(1100-C3&gt;0,(1100-C3)/1100,0)</f>
        <v>0</v>
      </c>
      <c r="E3" s="10">
        <v>0</v>
      </c>
      <c r="J3" t="str">
        <f t="shared" ref="J3:J25" si="1">"INSERT INTO ALUNOS_TURMAS (FK_TURMA, FK_ALUNO, VALOR, DESCONTO, DATA_CADASTRO, LOGIN_CADASTRO) VALUES ("&amp;A3&amp;","&amp;B3&amp;","&amp;C3&amp;","&amp;E3&amp;","&amp;"GETDATE()"&amp;",'BETHARLEY')"</f>
        <v>INSERT INTO ALUNOS_TURMAS (FK_TURMA, FK_ALUNO, VALOR, DESCONTO, DATA_CADASTRO, LOGIN_CADASTRO) VALUES (6,47,1100,0,GETDATE(),'BETHARLEY')</v>
      </c>
    </row>
    <row r="4" spans="1:10" x14ac:dyDescent="0.25">
      <c r="A4">
        <v>6</v>
      </c>
      <c r="B4">
        <v>30</v>
      </c>
      <c r="C4" s="11">
        <v>1100</v>
      </c>
      <c r="D4" s="10">
        <f t="shared" si="0"/>
        <v>0</v>
      </c>
      <c r="E4" s="10">
        <v>0</v>
      </c>
      <c r="J4" t="str">
        <f t="shared" si="1"/>
        <v>INSERT INTO ALUNOS_TURMAS (FK_TURMA, FK_ALUNO, VALOR, DESCONTO, DATA_CADASTRO, LOGIN_CADASTRO) VALUES (6,30,1100,0,GETDATE(),'BETHARLEY')</v>
      </c>
    </row>
    <row r="5" spans="1:10" x14ac:dyDescent="0.25">
      <c r="A5">
        <v>6</v>
      </c>
      <c r="B5">
        <v>65</v>
      </c>
      <c r="C5" s="11">
        <v>1100</v>
      </c>
      <c r="D5" s="10">
        <f t="shared" si="0"/>
        <v>0</v>
      </c>
      <c r="E5" s="10">
        <v>0</v>
      </c>
      <c r="J5" t="str">
        <f t="shared" si="1"/>
        <v>INSERT INTO ALUNOS_TURMAS (FK_TURMA, FK_ALUNO, VALOR, DESCONTO, DATA_CADASTRO, LOGIN_CADASTRO) VALUES (6,65,1100,0,GETDATE(),'BETHARLEY')</v>
      </c>
    </row>
    <row r="6" spans="1:10" x14ac:dyDescent="0.25">
      <c r="A6">
        <v>6</v>
      </c>
      <c r="B6">
        <v>76</v>
      </c>
      <c r="C6" s="11">
        <v>1100</v>
      </c>
      <c r="D6" s="10">
        <f t="shared" si="0"/>
        <v>0</v>
      </c>
      <c r="E6" s="10">
        <v>0</v>
      </c>
      <c r="J6" t="str">
        <f t="shared" si="1"/>
        <v>INSERT INTO ALUNOS_TURMAS (FK_TURMA, FK_ALUNO, VALOR, DESCONTO, DATA_CADASTRO, LOGIN_CADASTRO) VALUES (6,76,1100,0,GETDATE(),'BETHARLEY')</v>
      </c>
    </row>
    <row r="7" spans="1:10" x14ac:dyDescent="0.25">
      <c r="A7">
        <v>6</v>
      </c>
      <c r="B7">
        <v>27</v>
      </c>
      <c r="C7" s="11">
        <v>550</v>
      </c>
      <c r="D7" s="10">
        <f t="shared" si="0"/>
        <v>0.5</v>
      </c>
      <c r="E7" s="10" t="s">
        <v>814</v>
      </c>
      <c r="J7" t="str">
        <f t="shared" si="1"/>
        <v>INSERT INTO ALUNOS_TURMAS (FK_TURMA, FK_ALUNO, VALOR, DESCONTO, DATA_CADASTRO, LOGIN_CADASTRO) VALUES (6,27,550,0.5,GETDATE(),'BETHARLEY')</v>
      </c>
    </row>
    <row r="8" spans="1:10" x14ac:dyDescent="0.25">
      <c r="A8">
        <v>6</v>
      </c>
      <c r="B8">
        <v>2</v>
      </c>
      <c r="C8" s="11">
        <v>550</v>
      </c>
      <c r="D8" s="10">
        <f t="shared" si="0"/>
        <v>0.5</v>
      </c>
      <c r="E8" s="10" t="s">
        <v>814</v>
      </c>
      <c r="J8" t="str">
        <f t="shared" si="1"/>
        <v>INSERT INTO ALUNOS_TURMAS (FK_TURMA, FK_ALUNO, VALOR, DESCONTO, DATA_CADASTRO, LOGIN_CADASTRO) VALUES (6,2,550,0.5,GETDATE(),'BETHARLEY')</v>
      </c>
    </row>
    <row r="9" spans="1:10" x14ac:dyDescent="0.25">
      <c r="A9">
        <v>6</v>
      </c>
      <c r="B9">
        <v>80</v>
      </c>
      <c r="C9" s="11">
        <v>700</v>
      </c>
      <c r="D9" s="10">
        <f t="shared" si="0"/>
        <v>0.36363636363636365</v>
      </c>
      <c r="E9" s="10" t="s">
        <v>820</v>
      </c>
      <c r="J9" t="str">
        <f t="shared" si="1"/>
        <v>INSERT INTO ALUNOS_TURMAS (FK_TURMA, FK_ALUNO, VALOR, DESCONTO, DATA_CADASTRO, LOGIN_CADASTRO) VALUES (6,80,700,0.36,GETDATE(),'BETHARLEY')</v>
      </c>
    </row>
    <row r="10" spans="1:10" x14ac:dyDescent="0.25">
      <c r="A10">
        <v>6</v>
      </c>
      <c r="B10">
        <v>55</v>
      </c>
      <c r="C10" s="11">
        <v>1100</v>
      </c>
      <c r="D10" s="10">
        <f t="shared" si="0"/>
        <v>0</v>
      </c>
      <c r="E10" s="10">
        <v>0</v>
      </c>
      <c r="J10" t="str">
        <f t="shared" si="1"/>
        <v>INSERT INTO ALUNOS_TURMAS (FK_TURMA, FK_ALUNO, VALOR, DESCONTO, DATA_CADASTRO, LOGIN_CADASTRO) VALUES (6,55,1100,0,GETDATE(),'BETHARLEY')</v>
      </c>
    </row>
    <row r="11" spans="1:10" x14ac:dyDescent="0.25">
      <c r="A11">
        <v>10</v>
      </c>
      <c r="B11">
        <v>237</v>
      </c>
      <c r="C11" s="11">
        <v>125</v>
      </c>
      <c r="D11" s="10">
        <f>IF(125-C11&gt;0,(125-C11)/125,0)</f>
        <v>0</v>
      </c>
      <c r="E11" s="10">
        <v>0</v>
      </c>
      <c r="J11" t="str">
        <f t="shared" si="1"/>
        <v>INSERT INTO ALUNOS_TURMAS (FK_TURMA, FK_ALUNO, VALOR, DESCONTO, DATA_CADASTRO, LOGIN_CADASTRO) VALUES (10,237,125,0,GETDATE(),'BETHARLEY')</v>
      </c>
    </row>
    <row r="12" spans="1:10" x14ac:dyDescent="0.25">
      <c r="A12">
        <v>10</v>
      </c>
      <c r="B12">
        <v>350</v>
      </c>
      <c r="C12" s="11">
        <v>125</v>
      </c>
      <c r="D12" s="10">
        <f t="shared" ref="D12:D25" si="2">IF(125-C12&gt;0,(125-C12)/125,0)</f>
        <v>0</v>
      </c>
      <c r="E12" s="10">
        <v>0</v>
      </c>
      <c r="J12" t="str">
        <f t="shared" si="1"/>
        <v>INSERT INTO ALUNOS_TURMAS (FK_TURMA, FK_ALUNO, VALOR, DESCONTO, DATA_CADASTRO, LOGIN_CADASTRO) VALUES (10,350,125,0,GETDATE(),'BETHARLEY')</v>
      </c>
    </row>
    <row r="13" spans="1:10" x14ac:dyDescent="0.25">
      <c r="A13">
        <v>10</v>
      </c>
      <c r="B13">
        <v>426</v>
      </c>
      <c r="C13" s="11">
        <v>100</v>
      </c>
      <c r="D13" s="10">
        <f t="shared" si="2"/>
        <v>0.2</v>
      </c>
      <c r="E13" s="10" t="s">
        <v>815</v>
      </c>
      <c r="J13" t="str">
        <f t="shared" si="1"/>
        <v>INSERT INTO ALUNOS_TURMAS (FK_TURMA, FK_ALUNO, VALOR, DESCONTO, DATA_CADASTRO, LOGIN_CADASTRO) VALUES (10,426,100,0.2,GETDATE(),'BETHARLEY')</v>
      </c>
    </row>
    <row r="14" spans="1:10" x14ac:dyDescent="0.25">
      <c r="A14">
        <v>10</v>
      </c>
      <c r="B14">
        <v>194</v>
      </c>
      <c r="C14" s="11">
        <v>100</v>
      </c>
      <c r="D14" s="10">
        <f t="shared" si="2"/>
        <v>0.2</v>
      </c>
      <c r="E14" s="10" t="s">
        <v>815</v>
      </c>
      <c r="J14" t="str">
        <f t="shared" si="1"/>
        <v>INSERT INTO ALUNOS_TURMAS (FK_TURMA, FK_ALUNO, VALOR, DESCONTO, DATA_CADASTRO, LOGIN_CADASTRO) VALUES (10,194,100,0.2,GETDATE(),'BETHARLEY')</v>
      </c>
    </row>
    <row r="15" spans="1:10" x14ac:dyDescent="0.25">
      <c r="A15">
        <v>10</v>
      </c>
      <c r="B15">
        <v>436</v>
      </c>
      <c r="C15" s="11">
        <v>100</v>
      </c>
      <c r="D15" s="10">
        <f t="shared" si="2"/>
        <v>0.2</v>
      </c>
      <c r="E15" s="10" t="s">
        <v>815</v>
      </c>
      <c r="J15" t="str">
        <f t="shared" si="1"/>
        <v>INSERT INTO ALUNOS_TURMAS (FK_TURMA, FK_ALUNO, VALOR, DESCONTO, DATA_CADASTRO, LOGIN_CADASTRO) VALUES (10,436,100,0.2,GETDATE(),'BETHARLEY')</v>
      </c>
    </row>
    <row r="16" spans="1:10" x14ac:dyDescent="0.25">
      <c r="A16">
        <v>10</v>
      </c>
      <c r="B16">
        <v>155</v>
      </c>
      <c r="C16" s="11">
        <v>100</v>
      </c>
      <c r="D16" s="10">
        <f t="shared" si="2"/>
        <v>0.2</v>
      </c>
      <c r="E16" s="10" t="s">
        <v>815</v>
      </c>
      <c r="J16" t="str">
        <f t="shared" si="1"/>
        <v>INSERT INTO ALUNOS_TURMAS (FK_TURMA, FK_ALUNO, VALOR, DESCONTO, DATA_CADASTRO, LOGIN_CADASTRO) VALUES (10,155,100,0.2,GETDATE(),'BETHARLEY')</v>
      </c>
    </row>
    <row r="17" spans="1:10" x14ac:dyDescent="0.25">
      <c r="A17">
        <v>10</v>
      </c>
      <c r="B17">
        <v>159</v>
      </c>
      <c r="C17" s="11">
        <v>100</v>
      </c>
      <c r="D17" s="10">
        <f t="shared" si="2"/>
        <v>0.2</v>
      </c>
      <c r="E17" s="10" t="s">
        <v>815</v>
      </c>
      <c r="J17" t="str">
        <f t="shared" si="1"/>
        <v>INSERT INTO ALUNOS_TURMAS (FK_TURMA, FK_ALUNO, VALOR, DESCONTO, DATA_CADASTRO, LOGIN_CADASTRO) VALUES (10,159,100,0.2,GETDATE(),'BETHARLEY')</v>
      </c>
    </row>
    <row r="18" spans="1:10" x14ac:dyDescent="0.25">
      <c r="A18">
        <v>10</v>
      </c>
      <c r="B18">
        <v>397</v>
      </c>
      <c r="C18" s="11">
        <v>75</v>
      </c>
      <c r="D18" s="10">
        <f t="shared" si="2"/>
        <v>0.4</v>
      </c>
      <c r="E18" s="10" t="s">
        <v>816</v>
      </c>
      <c r="J18" t="str">
        <f t="shared" si="1"/>
        <v>INSERT INTO ALUNOS_TURMAS (FK_TURMA, FK_ALUNO, VALOR, DESCONTO, DATA_CADASTRO, LOGIN_CADASTRO) VALUES (10,397,75,0.4,GETDATE(),'BETHARLEY')</v>
      </c>
    </row>
    <row r="19" spans="1:10" x14ac:dyDescent="0.25">
      <c r="A19">
        <v>10</v>
      </c>
      <c r="B19">
        <v>151</v>
      </c>
      <c r="C19" s="11">
        <v>115</v>
      </c>
      <c r="D19" s="10">
        <f t="shared" si="2"/>
        <v>0.08</v>
      </c>
      <c r="E19" s="10" t="s">
        <v>817</v>
      </c>
      <c r="J19" t="str">
        <f t="shared" si="1"/>
        <v>INSERT INTO ALUNOS_TURMAS (FK_TURMA, FK_ALUNO, VALOR, DESCONTO, DATA_CADASTRO, LOGIN_CADASTRO) VALUES (10,151,115,0.08,GETDATE(),'BETHARLEY')</v>
      </c>
    </row>
    <row r="20" spans="1:10" x14ac:dyDescent="0.25">
      <c r="A20">
        <v>10</v>
      </c>
      <c r="B20">
        <v>153</v>
      </c>
      <c r="C20" s="11">
        <v>115</v>
      </c>
      <c r="D20" s="10">
        <f t="shared" si="2"/>
        <v>0.08</v>
      </c>
      <c r="E20" s="10" t="s">
        <v>817</v>
      </c>
      <c r="J20" t="str">
        <f t="shared" si="1"/>
        <v>INSERT INTO ALUNOS_TURMAS (FK_TURMA, FK_ALUNO, VALOR, DESCONTO, DATA_CADASTRO, LOGIN_CADASTRO) VALUES (10,153,115,0.08,GETDATE(),'BETHARLEY')</v>
      </c>
    </row>
    <row r="21" spans="1:10" x14ac:dyDescent="0.25">
      <c r="A21">
        <v>10</v>
      </c>
      <c r="B21">
        <v>282</v>
      </c>
      <c r="C21" s="11">
        <v>75</v>
      </c>
      <c r="D21" s="10">
        <f t="shared" si="2"/>
        <v>0.4</v>
      </c>
      <c r="E21" s="10" t="s">
        <v>816</v>
      </c>
      <c r="J21" t="str">
        <f t="shared" si="1"/>
        <v>INSERT INTO ALUNOS_TURMAS (FK_TURMA, FK_ALUNO, VALOR, DESCONTO, DATA_CADASTRO, LOGIN_CADASTRO) VALUES (10,282,75,0.4,GETDATE(),'BETHARLEY')</v>
      </c>
    </row>
    <row r="22" spans="1:10" x14ac:dyDescent="0.25">
      <c r="A22">
        <v>10</v>
      </c>
      <c r="B22">
        <v>232</v>
      </c>
      <c r="C22" s="11">
        <v>70</v>
      </c>
      <c r="D22" s="10">
        <f t="shared" si="2"/>
        <v>0.44</v>
      </c>
      <c r="E22" s="10" t="s">
        <v>818</v>
      </c>
      <c r="J22" t="str">
        <f t="shared" si="1"/>
        <v>INSERT INTO ALUNOS_TURMAS (FK_TURMA, FK_ALUNO, VALOR, DESCONTO, DATA_CADASTRO, LOGIN_CADASTRO) VALUES (10,232,70,0.44,GETDATE(),'BETHARLEY')</v>
      </c>
    </row>
    <row r="23" spans="1:10" x14ac:dyDescent="0.25">
      <c r="A23">
        <v>10</v>
      </c>
      <c r="B23">
        <v>223</v>
      </c>
      <c r="C23" s="11">
        <v>70</v>
      </c>
      <c r="D23" s="10">
        <f t="shared" si="2"/>
        <v>0.44</v>
      </c>
      <c r="E23" s="10" t="s">
        <v>818</v>
      </c>
      <c r="J23" t="str">
        <f t="shared" si="1"/>
        <v>INSERT INTO ALUNOS_TURMAS (FK_TURMA, FK_ALUNO, VALOR, DESCONTO, DATA_CADASTRO, LOGIN_CADASTRO) VALUES (10,223,70,0.44,GETDATE(),'BETHARLEY')</v>
      </c>
    </row>
    <row r="24" spans="1:10" x14ac:dyDescent="0.25">
      <c r="A24">
        <v>10</v>
      </c>
      <c r="B24">
        <v>223</v>
      </c>
      <c r="C24" s="11">
        <v>60</v>
      </c>
      <c r="D24" s="10">
        <f t="shared" si="2"/>
        <v>0.52</v>
      </c>
      <c r="E24" s="10" t="s">
        <v>819</v>
      </c>
      <c r="J24" t="str">
        <f t="shared" si="1"/>
        <v>INSERT INTO ALUNOS_TURMAS (FK_TURMA, FK_ALUNO, VALOR, DESCONTO, DATA_CADASTRO, LOGIN_CADASTRO) VALUES (10,223,60,0.52,GETDATE(),'BETHARLEY')</v>
      </c>
    </row>
    <row r="25" spans="1:10" x14ac:dyDescent="0.25">
      <c r="A25">
        <v>10</v>
      </c>
      <c r="B25">
        <v>229</v>
      </c>
      <c r="C25" s="11">
        <v>125</v>
      </c>
      <c r="D25" s="10">
        <f t="shared" si="2"/>
        <v>0</v>
      </c>
      <c r="E25" s="10">
        <v>0</v>
      </c>
      <c r="J25" t="str">
        <f t="shared" si="1"/>
        <v>INSERT INTO ALUNOS_TURMAS (FK_TURMA, FK_ALUNO, VALOR, DESCONTO, DATA_CADASTRO, LOGIN_CADASTRO) VALUES (10,229,125,0,GETDATE(),'BETHARLEY')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BETH_ARLEY</cp:lastModifiedBy>
  <dcterms:created xsi:type="dcterms:W3CDTF">2019-11-02T17:37:16Z</dcterms:created>
  <dcterms:modified xsi:type="dcterms:W3CDTF">2022-07-04T21:11:44Z</dcterms:modified>
</cp:coreProperties>
</file>