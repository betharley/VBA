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Z:\02_Staff\BO_MACRO\06_Distribuir\"/>
    </mc:Choice>
  </mc:AlternateContent>
  <bookViews>
    <workbookView xWindow="0" yWindow="0" windowWidth="28800" windowHeight="12435"/>
  </bookViews>
  <sheets>
    <sheet name="Plan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O6" i="1" l="1"/>
  <c r="O5" i="1"/>
  <c r="P4" i="1" l="1"/>
  <c r="O4" i="1" l="1"/>
  <c r="N6" i="1"/>
  <c r="N5" i="1"/>
  <c r="E9" i="1" s="1"/>
  <c r="F9" i="1" s="1"/>
  <c r="N4" i="1"/>
  <c r="E5" i="1" l="1"/>
  <c r="F5" i="1" s="1"/>
  <c r="G8" i="1"/>
  <c r="G9" i="1"/>
  <c r="G6" i="1"/>
  <c r="G7" i="1"/>
  <c r="E7" i="1"/>
  <c r="F7" i="1" s="1"/>
  <c r="E6" i="1"/>
  <c r="F6" i="1" s="1"/>
  <c r="E8" i="1"/>
  <c r="F8" i="1" s="1"/>
</calcChain>
</file>

<file path=xl/sharedStrings.xml><?xml version="1.0" encoding="utf-8"?>
<sst xmlns="http://schemas.openxmlformats.org/spreadsheetml/2006/main" count="56" uniqueCount="44">
  <si>
    <t>Meses Ano</t>
  </si>
  <si>
    <t>Data Atual</t>
  </si>
  <si>
    <t>Mês</t>
  </si>
  <si>
    <t>HOJE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</si>
  <si>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</si>
  <si>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</si>
  <si>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</si>
  <si>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</si>
  <si>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</si>
  <si>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</si>
  <si>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</si>
  <si>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</si>
  <si>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</si>
  <si>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</si>
  <si>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</si>
  <si>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</si>
  <si>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.xlsx</t>
  </si>
  <si>
    <t>TT's Abertos</t>
  </si>
  <si>
    <t>FORMATO ARQUIVO</t>
  </si>
  <si>
    <t>\\naspc31\bo_oct$\22-Extração\BO EMPRESARIAL\</t>
  </si>
  <si>
    <t>DE (ORIGEM)</t>
  </si>
  <si>
    <t>PARA (DESTINO)</t>
  </si>
  <si>
    <t>BO BLINDAGEM ABERTOS</t>
  </si>
  <si>
    <t>\\naspc31\bo_oct$\22-Extração\BO BLINDAGEM\ABERTO\ABRIL\BO BLINDAGEM ABERTOS 30-04.xlsx</t>
  </si>
  <si>
    <t>\\naspc31\bo_oct$\22-Extração\BO CONTROLE\ABERTO\ABRIL\BO CONTROLE ABERTOS 30-04.xlsx</t>
  </si>
  <si>
    <t>\\naspc31\bo_oct$\22-Extração\BO MOB OIT UNIFICADO\ABERTO\ABRIL\BO OIT UNIFICADO 30-04.xlsx</t>
  </si>
  <si>
    <t>\\naspc31\bo_oct$\22-Extração\BO MOB POS_OCT\ABERTOS\ABRIL\Abertos_BASE 30 04 2021.xlsx</t>
  </si>
  <si>
    <t>SETOR</t>
  </si>
  <si>
    <t>TT's Abertos Empresarial</t>
  </si>
  <si>
    <t>NOME Base Extraida</t>
  </si>
  <si>
    <t>NOME de DESTINO</t>
  </si>
  <si>
    <t>BO EMPRESARIAL</t>
  </si>
  <si>
    <t>\\naspc31\bo_oct$\02_Staff\BO_MACRO\Empresarial\Extração\</t>
  </si>
  <si>
    <t>BO MOBIILIDADE UNIFICADO</t>
  </si>
  <si>
    <t>BO OIT UNIFICADO</t>
  </si>
  <si>
    <t>Abertos_BASE</t>
  </si>
  <si>
    <t>BO CONTROLE ABERTOS</t>
  </si>
  <si>
    <t>RACO</t>
  </si>
  <si>
    <t>AJUSTE</t>
  </si>
  <si>
    <t>BO RACO Empresarial</t>
  </si>
  <si>
    <t>SIM</t>
  </si>
  <si>
    <t>COPY ?</t>
  </si>
  <si>
    <t>\\naspc31\bo_oct$\02_Staff\BO_MACRO\06_Distribuir\BASES\</t>
  </si>
  <si>
    <t>LOCAL_DE_REDE_DA_ORIEGEM_DAS_BASES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</si>
</sst>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1" xfId="0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/>
    <xf numFmtId="1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5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C5B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281827</xdr:colOff>
      <xdr:row>2</xdr:row>
      <xdr:rowOff>90207</xdr:rowOff>
    </xdr:from>
    <xdr:to>
      <xdr:col>10</xdr:col>
      <xdr:colOff>268941</xdr:colOff>
      <xdr:row>6</xdr:row>
      <xdr:rowOff>0</xdr:rowOff>
    </xdr:to>
    <xdr:sp macro="[0]!DISTRIBUIR_ARQUIVOS" textlink="">
      <xdr:nvSpPr>
        <xdr:cNvPr id="2" name="Retângulo de cantos arredondados 1"/>
        <xdr:cNvSpPr/>
      </xdr:nvSpPr>
      <xdr:spPr>
        <a:xfrm>
          <a:off x="14871886" y="280707"/>
          <a:ext cx="1432673" cy="750234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DISTRIBUIR</a:t>
          </a:r>
        </a:p>
        <a:p>
          <a:pPr algn="ctr"/>
          <a:r>
            <a:rPr lang="pt-BR" sz="1600" b="1">
              <a:solidFill>
                <a:schemeClr val="bg1"/>
              </a:solidFill>
            </a:rPr>
            <a:t>BASES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BASES/" TargetMode="External"/><Relationship Id="rId1" Type="http://schemas.openxmlformats.org/officeDocument/2006/relationships/hyperlink" Target="BASES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3:T37"/>
  <sheetViews>
    <sheetView showGridLines="0" tabSelected="1" zoomScale="85" zoomScaleNormal="85" workbookViewId="0">
      <selection activeCell="C10" sqref="C10"/>
    </sheetView>
  </sheetViews>
  <sheetFormatPr defaultRowHeight="15" x14ac:dyDescent="0.25"/>
  <cols>
    <col min="1" max="1" width="12" customWidth="1"/>
    <col min="2" max="2" width="27.140625" bestFit="1" customWidth="1"/>
    <col min="3" max="3" width="35.7109375" customWidth="1"/>
    <col min="4" max="4" width="60.140625" customWidth="1"/>
    <col min="5" max="5" width="14.140625" customWidth="1"/>
    <col min="6" max="6" width="36.85546875" customWidth="1"/>
    <col min="7" max="7" width="72.85546875" customWidth="1"/>
    <col min="8" max="9" width="6.85546875" customWidth="1"/>
    <col min="10" max="10" width="7.85546875" customWidth="1"/>
    <col min="11" max="11" width="8.7109375" customWidth="1"/>
    <col min="12" max="12" width="6.5703125" customWidth="1"/>
    <col min="13" max="13" width="11.5703125" bestFit="1" customWidth="1"/>
    <col min="14" max="14" width="10.140625" bestFit="1" customWidth="1"/>
    <col min="15" max="15" width="7.140625" bestFit="1" customWidth="1"/>
    <col min="16" max="16" width="12.5703125" customWidth="1"/>
    <col min="18" max="18" width="19.42578125" bestFit="1" customWidth="1"/>
    <col min="20" max="20" width="58.42578125" bestFit="1" customWidth="1"/>
  </cols>
  <sheetData>
    <row r="3" spans="1:20" ht="21" x14ac:dyDescent="0.25">
      <c r="A3" s="16" t="s">
        <v>41</v>
      </c>
      <c r="B3" s="16" t="s">
        <v>27</v>
      </c>
      <c r="C3" s="12" t="s">
        <v>29</v>
      </c>
      <c r="D3" s="13" t="s">
        <v>20</v>
      </c>
      <c r="E3" s="15" t="s">
        <v>38</v>
      </c>
      <c r="F3" s="12" t="s">
        <v>30</v>
      </c>
      <c r="G3" s="13" t="s">
        <v>21</v>
      </c>
      <c r="L3" s="18" t="s">
        <v>0</v>
      </c>
      <c r="M3" s="18"/>
      <c r="N3" s="1" t="s">
        <v>1</v>
      </c>
      <c r="O3" s="1" t="s">
        <v>2</v>
      </c>
      <c r="P3" s="1" t="s">
        <v>3</v>
      </c>
      <c r="R3" s="11" t="s">
        <v>18</v>
      </c>
      <c r="T3" s="17" t="s">
        <v>43</v>
      </c>
    </row>
    <row r="4" spans="1:20" x14ac:dyDescent="0.25">
      <c r="A4" s="14" t="s">
        <v>40</v>
      </c>
      <c r="B4" s="14" t="s">
        <v>31</v>
      </c>
      <c r="C4" s="14" t="s">
        <v>28</v>
      </c>
      <c r="D4" s="14" t="str">
        <f>$T$4</f>
        <v>\\naspc31\bo_oct$\02_Staff\BO_MACRO\06_Distribuir\BASES\</v>
      </c>
      <c r="E4" s="14"/>
      <c r="F4" s="14" t="s">
        <v>17</v>
      </c>
      <c r="G4" s="14" t="s">
        <v>32</v>
      </c>
      <c r="L4" s="2">
        <v>1</v>
      </c>
      <c r="M4" s="3" t="s">
        <v>4</v>
      </c>
      <c r="N4" s="4" t="str">
        <f ca="1">TEXT(TODAY(),"DD MM AAAA")</f>
        <v>10 09 2021</v>
      </c>
      <c r="O4" s="4" t="str">
        <f ca="1">VLOOKUP(MONTH(TODAY()),$L:$M,2,0)</f>
        <v>SETEMBRO</v>
      </c>
      <c r="P4" s="5" t="str">
        <f ca="1">"_"&amp;TEXT(TODAY(),"DDMMAAAA")</f>
        <v>_10092021</v>
      </c>
      <c r="R4" s="11" t="s">
        <v>16</v>
      </c>
      <c r="T4" s="14" t="s">
        <v>42</v>
      </c>
    </row>
    <row r="5" spans="1:20" x14ac:dyDescent="0.25">
      <c r="A5" s="14" t="s">
        <v>40</v>
      </c>
      <c r="B5" s="14" t="s">
        <v>31</v>
      </c>
      <c r="C5" s="14" t="s">
        <v>28</v>
      </c>
      <c r="D5" s="14" t="str">
        <f t="shared" ref="D5:D10" si="0">$T$4</f>
        <v>\\naspc31\bo_oct$\02_Staff\BO_MACRO\06_Distribuir\BASES\</v>
      </c>
      <c r="E5" s="14" t="str">
        <f ca="1">" "&amp;$N$5</f>
        <v xml:space="preserve"> 10-09</v>
      </c>
      <c r="F5" s="14" t="str">
        <f ca="1">C5&amp;E5</f>
        <v>TT's Abertos Empresarial 10-09</v>
      </c>
      <c r="G5" s="14" t="s">
        <v>19</v>
      </c>
      <c r="L5" s="6">
        <v>2</v>
      </c>
      <c r="M5" s="7" t="s">
        <v>5</v>
      </c>
      <c r="N5" s="8" t="str">
        <f ca="1">TEXT(TODAY(),"DD-MM")</f>
        <v>10-09</v>
      </c>
      <c r="O5" s="8" t="str">
        <f ca="1">TEXT(TODAY(),"MM")</f>
        <v>09</v>
      </c>
    </row>
    <row r="6" spans="1:20" x14ac:dyDescent="0.25">
      <c r="A6" s="14" t="s">
        <v>40</v>
      </c>
      <c r="B6" s="14" t="s">
        <v>33</v>
      </c>
      <c r="C6" s="14" t="s">
        <v>22</v>
      </c>
      <c r="D6" s="14" t="str">
        <f t="shared" si="0"/>
        <v>\\naspc31\bo_oct$\02_Staff\BO_MACRO\06_Distribuir\BASES\</v>
      </c>
      <c r="E6" s="14" t="str">
        <f ca="1">" "&amp;$N$5</f>
        <v xml:space="preserve"> 10-09</v>
      </c>
      <c r="F6" s="14" t="str">
        <f ca="1">C6&amp;E6</f>
        <v>BO BLINDAGEM ABERTOS 10-09</v>
      </c>
      <c r="G6" s="14" t="str">
        <f ca="1">"\\naspc31\bo_oct$\22-Extração\BO BLINDAGEM\ABERTO\"&amp;$O$4&amp;"\"</f>
        <v>\\naspc31\bo_oct$\22-Extração\BO BLINDAGEM\ABERTO\SETEMBRO\</v>
      </c>
      <c r="L6" s="6">
        <v>3</v>
      </c>
      <c r="M6" s="7" t="s">
        <v>6</v>
      </c>
      <c r="N6" s="8" t="str">
        <f ca="1">TEXT(TODAY(),"DD")</f>
        <v>10</v>
      </c>
      <c r="O6" s="8" t="str">
        <f ca="1">TEXT(TODAY(),"AAAA")</f>
        <v>2021</v>
      </c>
    </row>
    <row r="7" spans="1:20" x14ac:dyDescent="0.25">
      <c r="A7" s="14" t="s">
        <v>40</v>
      </c>
      <c r="B7" s="14" t="s">
        <v>33</v>
      </c>
      <c r="C7" s="14" t="s">
        <v>36</v>
      </c>
      <c r="D7" s="14" t="str">
        <f t="shared" si="0"/>
        <v>\\naspc31\bo_oct$\02_Staff\BO_MACRO\06_Distribuir\BASES\</v>
      </c>
      <c r="E7" s="14" t="str">
        <f ca="1">" "&amp;$N$5</f>
        <v xml:space="preserve"> 10-09</v>
      </c>
      <c r="F7" s="14" t="str">
        <f ca="1">C7&amp;E7</f>
        <v>BO CONTROLE ABERTOS 10-09</v>
      </c>
      <c r="G7" s="14" t="str">
        <f ca="1">"\\naspc31\bo_oct$\22-Extração\BO CONTROLE\ABERTO\"&amp;$O$4&amp;"\"</f>
        <v>\\naspc31\bo_oct$\22-Extração\BO CONTROLE\ABERTO\SETEMBRO\</v>
      </c>
      <c r="L7" s="6">
        <v>4</v>
      </c>
      <c r="M7" s="7" t="s">
        <v>7</v>
      </c>
      <c r="N7" s="9"/>
    </row>
    <row r="8" spans="1:20" x14ac:dyDescent="0.25">
      <c r="A8" s="14" t="s">
        <v>40</v>
      </c>
      <c r="B8" s="14" t="s">
        <v>33</v>
      </c>
      <c r="C8" s="14" t="s">
        <v>35</v>
      </c>
      <c r="D8" s="14" t="str">
        <f t="shared" si="0"/>
        <v>\\naspc31\bo_oct$\02_Staff\BO_MACRO\06_Distribuir\BASES\</v>
      </c>
      <c r="E8" s="14" t="str">
        <f ca="1">" "&amp;$N$6&amp;" "&amp;$O$5&amp;" "&amp;$O$6</f>
        <v xml:space="preserve"> 10 09 2021</v>
      </c>
      <c r="F8" s="14" t="str">
        <f ca="1">C8&amp;E8</f>
        <v>Abertos_BASE 10 09 2021</v>
      </c>
      <c r="G8" s="14" t="str">
        <f ca="1">"\\naspc31\bo_oct$\22-Extração\BO MOB POS_OCT\ABERTOS\"&amp;$O$4&amp;"\"</f>
        <v>\\naspc31\bo_oct$\22-Extração\BO MOB POS_OCT\ABERTOS\SETEMBRO\</v>
      </c>
      <c r="L8" s="6">
        <v>5</v>
      </c>
      <c r="M8" s="7" t="s">
        <v>8</v>
      </c>
      <c r="N8" s="9"/>
    </row>
    <row r="9" spans="1:20" x14ac:dyDescent="0.25">
      <c r="A9" s="14" t="s">
        <v>40</v>
      </c>
      <c r="B9" s="14" t="s">
        <v>33</v>
      </c>
      <c r="C9" s="14" t="s">
        <v>34</v>
      </c>
      <c r="D9" s="14" t="str">
        <f t="shared" si="0"/>
        <v>\\naspc31\bo_oct$\02_Staff\BO_MACRO\06_Distribuir\BASES\</v>
      </c>
      <c r="E9" s="14" t="str">
        <f ca="1">" "&amp;$N$5</f>
        <v xml:space="preserve"> 10-09</v>
      </c>
      <c r="F9" s="14" t="str">
        <f ca="1">C9&amp;E9</f>
        <v>BO OIT UNIFICADO 10-09</v>
      </c>
      <c r="G9" s="14" t="str">
        <f ca="1">"\\naspc31\bo_oct$\22-Extração\BO MOB OIT UNIFICADO\ABERTO\"&amp;$O$4&amp;"\"</f>
        <v>\\naspc31\bo_oct$\22-Extração\BO MOB OIT UNIFICADO\ABERTO\SETEMBRO\</v>
      </c>
      <c r="L9" s="6">
        <v>6</v>
      </c>
      <c r="M9" s="7" t="s">
        <v>9</v>
      </c>
      <c r="N9" s="9"/>
    </row>
    <row r="10" spans="1:20" x14ac:dyDescent="0.25">
      <c r="A10" s="14"/>
      <c r="B10" s="14" t="s">
        <v>31</v>
      </c>
      <c r="C10" s="14" t="s">
        <v>39</v>
      </c>
      <c r="D10" s="14" t="str">
        <f t="shared" si="0"/>
        <v>\\naspc31\bo_oct$\02_Staff\BO_MACRO\06_Distribuir\BASES\</v>
      </c>
      <c r="E10" s="14"/>
      <c r="F10" s="14" t="s">
        <v>37</v>
      </c>
      <c r="G10" s="14" t="s">
        <v>32</v>
      </c>
      <c r="L10" s="6">
        <v>7</v>
      </c>
      <c r="M10" s="7" t="s">
        <v>10</v>
      </c>
      <c r="N10" s="9"/>
    </row>
    <row r="11" spans="1:20" x14ac:dyDescent="0.25">
      <c r="A11" s="14"/>
      <c r="B11" s="14"/>
      <c r="C11" s="10"/>
      <c r="D11" s="14"/>
      <c r="E11" s="14"/>
      <c r="F11" s="10"/>
      <c r="G11" s="14"/>
      <c r="L11" s="6">
        <v>8</v>
      </c>
      <c r="M11" s="7" t="s">
        <v>11</v>
      </c>
      <c r="N11" s="9"/>
    </row>
    <row r="12" spans="1:20" x14ac:dyDescent="0.25">
      <c r="A12" s="14"/>
      <c r="B12" s="14"/>
      <c r="C12" s="10"/>
      <c r="D12" s="14"/>
      <c r="E12" s="14"/>
      <c r="F12" s="10"/>
      <c r="G12" s="14"/>
      <c r="L12" s="6">
        <v>9</v>
      </c>
      <c r="M12" s="7" t="s">
        <v>12</v>
      </c>
      <c r="N12" s="9"/>
    </row>
    <row r="13" spans="1:20" x14ac:dyDescent="0.25">
      <c r="A13" s="14"/>
      <c r="B13" s="14"/>
      <c r="C13" s="10"/>
      <c r="D13" s="14"/>
      <c r="E13" s="14"/>
      <c r="F13" s="10"/>
      <c r="G13" s="14"/>
      <c r="L13" s="6">
        <v>10</v>
      </c>
      <c r="M13" s="7" t="s">
        <v>13</v>
      </c>
      <c r="N13" s="9"/>
    </row>
    <row r="14" spans="1:20" x14ac:dyDescent="0.25">
      <c r="A14" s="14"/>
      <c r="B14" s="14"/>
      <c r="C14" s="10"/>
      <c r="D14" s="14"/>
      <c r="E14" s="14"/>
      <c r="F14" s="10"/>
      <c r="G14" s="14"/>
      <c r="L14" s="6">
        <v>11</v>
      </c>
      <c r="M14" s="7" t="s">
        <v>14</v>
      </c>
      <c r="N14" s="9"/>
    </row>
    <row r="15" spans="1:20" x14ac:dyDescent="0.25">
      <c r="A15" s="14"/>
      <c r="B15" s="14"/>
      <c r="C15" s="10"/>
      <c r="D15" s="14"/>
      <c r="E15" s="14"/>
      <c r="F15" s="10"/>
      <c r="G15" s="14"/>
      <c r="L15" s="6">
        <v>12</v>
      </c>
      <c r="M15" s="7" t="s">
        <v>15</v>
      </c>
      <c r="N15" s="9"/>
    </row>
    <row r="16" spans="1:20" x14ac:dyDescent="0.25">
      <c r="A16" s="14"/>
      <c r="B16" s="14"/>
      <c r="C16" s="10"/>
      <c r="D16" s="14"/>
      <c r="E16" s="14"/>
      <c r="F16" s="10"/>
      <c r="G16" s="14"/>
    </row>
    <row r="17" spans="1:7" x14ac:dyDescent="0.25">
      <c r="A17" s="14"/>
      <c r="B17" s="14"/>
      <c r="C17" s="10"/>
      <c r="D17" s="14"/>
      <c r="E17" s="14"/>
      <c r="F17" s="10"/>
      <c r="G17" s="14"/>
    </row>
    <row r="18" spans="1:7" x14ac:dyDescent="0.25">
      <c r="A18" s="14"/>
      <c r="B18" s="14"/>
      <c r="C18" s="10"/>
      <c r="D18" s="14"/>
      <c r="E18" s="14"/>
      <c r="F18" s="10"/>
      <c r="G18" s="14"/>
    </row>
    <row r="19" spans="1:7" x14ac:dyDescent="0.25">
      <c r="A19" s="14"/>
      <c r="B19" s="14"/>
      <c r="C19" s="10"/>
      <c r="D19" s="14"/>
      <c r="E19" s="14"/>
      <c r="F19" s="10"/>
      <c r="G19" s="14"/>
    </row>
    <row r="20" spans="1:7" x14ac:dyDescent="0.25">
      <c r="A20" s="14"/>
      <c r="B20" s="14"/>
      <c r="C20" s="10"/>
      <c r="D20" s="14"/>
      <c r="E20" s="14"/>
      <c r="F20" s="10"/>
      <c r="G20" s="14"/>
    </row>
    <row r="34" spans="3:3" x14ac:dyDescent="0.25">
      <c r="C34" t="s">
        <v>23</v>
      </c>
    </row>
    <row r="35" spans="3:3" x14ac:dyDescent="0.25">
      <c r="C35" t="s">
        <v>24</v>
      </c>
    </row>
    <row r="36" spans="3:3" x14ac:dyDescent="0.25">
      <c r="C36" t="s">
        <v>25</v>
      </c>
    </row>
    <row r="37" spans="3:3" x14ac:dyDescent="0.25">
      <c r="C37" t="s">
        <v>26</v>
      </c>
    </row>
  </sheetData>
  <mergeCells count="1">
    <mergeCell ref="L3:M3"/>
  </mergeCells>
  <hyperlinks>
    <hyperlink ref="T4" r:id="rId1"/>
    <hyperlink ref="D4:D10" r:id="rId2" display="\\naspc31\bo_oct$\02_Staff\BO_MACRO\06_Distribuir\BASES\"/>
  </hyperlinks>
  <pageMargins left="0.511811024" right="0.511811024" top="0.78740157499999996" bottom="0.78740157499999996" header="0.31496062000000002" footer="0.31496062000000002"/>
  <pageSetup paperSize="9" orientation="portrait" r:id="rId3"/>
  <ignoredErrors>
    <ignoredError sqref="E8" formula="1"/>
  </ignoredErrors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BethArley</dc:creator>
  <cp:lastModifiedBy>Elienai Martins Silva</cp:lastModifiedBy>
  <dcterms:created xsi:type="dcterms:W3CDTF">2021-04-30T01:57:18Z</dcterms:created>
  <dcterms:modified xsi:type="dcterms:W3CDTF">2021-09-10T04:24:10Z</dcterms:modified>
</cp:coreProperties>
</file>