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ethArley\Desktop\"/>
    </mc:Choice>
  </mc:AlternateContent>
  <bookViews>
    <workbookView xWindow="0" yWindow="0" windowWidth="12525" windowHeight="4770" tabRatio="253" activeTab="1"/>
  </bookViews>
  <sheets>
    <sheet name="Gerador" sheetId="1" r:id="rId1"/>
    <sheet name="Gerador_New" sheetId="2" r:id="rId2"/>
    <sheet name="Categorização" sheetId="3" state="hidden" r:id="rId3"/>
  </sheets>
  <definedNames>
    <definedName name="_xlnm._FilterDatabase" localSheetId="0" hidden="1">Gerador!#REF!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1" i="2" l="1"/>
  <c r="Q10" i="2" l="1"/>
  <c r="J11" i="3"/>
  <c r="J10" i="3"/>
  <c r="J9" i="3"/>
  <c r="J8" i="3"/>
  <c r="J7" i="3"/>
  <c r="J6" i="3"/>
  <c r="J5" i="3"/>
  <c r="J4" i="3"/>
  <c r="J3" i="2"/>
  <c r="Q5" i="2" l="1"/>
  <c r="Q6" i="2"/>
  <c r="Q7" i="2"/>
  <c r="Q8" i="2"/>
  <c r="Q9" i="2"/>
  <c r="D11" i="3"/>
  <c r="D10" i="3"/>
  <c r="D9" i="3"/>
  <c r="D8" i="3"/>
  <c r="D7" i="3"/>
  <c r="D6" i="3"/>
  <c r="D5" i="3"/>
  <c r="D4" i="3"/>
  <c r="X17" i="2"/>
  <c r="X16" i="2"/>
  <c r="Q4" i="2"/>
  <c r="H2" i="2"/>
  <c r="I2" i="1" l="1"/>
  <c r="P16" i="1"/>
  <c r="P15" i="1"/>
  <c r="AQ7" i="1" l="1"/>
  <c r="AQ6" i="1"/>
  <c r="AQ5" i="1"/>
  <c r="AQ4" i="1"/>
  <c r="AC4" i="1"/>
  <c r="AJ5" i="1"/>
  <c r="AJ4" i="1"/>
  <c r="P17" i="1" l="1"/>
  <c r="H3" i="1" l="1"/>
  <c r="H5" i="1" l="1"/>
  <c r="H4" i="1"/>
  <c r="U4" i="1" l="1"/>
</calcChain>
</file>

<file path=xl/sharedStrings.xml><?xml version="1.0" encoding="utf-8"?>
<sst xmlns="http://schemas.openxmlformats.org/spreadsheetml/2006/main" count="203" uniqueCount="52">
  <si>
    <t>Mailings Importação</t>
  </si>
  <si>
    <t>Locais de Rede</t>
  </si>
  <si>
    <t>Categoria</t>
  </si>
  <si>
    <t>Sub-Categoria</t>
  </si>
  <si>
    <t>Detalhe</t>
  </si>
  <si>
    <t>Portabilidade</t>
  </si>
  <si>
    <t>Fila SISWEB</t>
  </si>
  <si>
    <t>BASE de Extração</t>
  </si>
  <si>
    <t>SIEBEL8</t>
  </si>
  <si>
    <t>clienteFibraSiebel8Invol</t>
  </si>
  <si>
    <t>clienteFibraSiebel8</t>
  </si>
  <si>
    <t>siebel8RetInvolOiTotal</t>
  </si>
  <si>
    <t>URL_REDE</t>
  </si>
  <si>
    <t>Dados - Siebel 8 / Mailings</t>
  </si>
  <si>
    <t>Retenção Fibra</t>
  </si>
  <si>
    <t>Aplicação de Oferta</t>
  </si>
  <si>
    <t>Cliente inadimplente - Fibra</t>
  </si>
  <si>
    <t>CLIENTE FIBRA - SIEBEL 8_INVOL</t>
  </si>
  <si>
    <t>RET INVOL OI TOTAL</t>
  </si>
  <si>
    <t>SIEBEL 8 - RET INVOL OI TOTAL</t>
  </si>
  <si>
    <t>BASE SIEBEL8</t>
  </si>
  <si>
    <t>TODOS</t>
  </si>
  <si>
    <t>URL_DISTRIBUICAO</t>
  </si>
  <si>
    <t>URL_BACKUP</t>
  </si>
  <si>
    <t>Cancelamento</t>
  </si>
  <si>
    <t>Cancelamento Fibra</t>
  </si>
  <si>
    <t>SIEBEL 8 - RET INVOL OI TOTAL_Aplicacao_de_Ofertas</t>
  </si>
  <si>
    <t>siebel8RetInvolOiTotalAplicacao</t>
  </si>
  <si>
    <t>&lt;&gt;Cancelamento</t>
  </si>
  <si>
    <t>&lt;&gt;Cancelamento Fibra</t>
  </si>
  <si>
    <t>CLIENTE FIBRA - SIEBEL 8</t>
  </si>
  <si>
    <t>Chave</t>
  </si>
  <si>
    <t>C:\Users\BethArley\Desktop\Extração\</t>
  </si>
  <si>
    <t>C:\Users\BethArley\Desktop\Distribuição\</t>
  </si>
  <si>
    <t>Volume de cada Mailing para Importação</t>
  </si>
  <si>
    <t>BASE SIEBEL8.xlsx</t>
  </si>
  <si>
    <t>Cancelamento FIBRA</t>
  </si>
  <si>
    <t>Possui flag inadimplência</t>
  </si>
  <si>
    <t>Aplicação de oferta</t>
  </si>
  <si>
    <t>Campanha Indisponível</t>
  </si>
  <si>
    <t>MUA Fora do AR</t>
  </si>
  <si>
    <t>Realizar agendamento</t>
  </si>
  <si>
    <t>Emissão Voucher/OPL</t>
  </si>
  <si>
    <t>Recolhimento aparelho</t>
  </si>
  <si>
    <t>Downgrade CHAT</t>
  </si>
  <si>
    <t>Downgrade Fibra</t>
  </si>
  <si>
    <t>APLICAÇÃO DE OFERTA</t>
  </si>
  <si>
    <t>INSTALAR OFERTA</t>
  </si>
  <si>
    <t>URL_EXTRACAO</t>
  </si>
  <si>
    <t>VOLUME DA BASE</t>
  </si>
  <si>
    <t>BASE de EXTRAÇÃO</t>
  </si>
  <si>
    <t>\\naspc31\bo_oct$\23-Distribuição\BO OIT FIBRA\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</si>
</sst>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0" borderId="1" xfId="0" applyFont="1" applyBorder="1" applyAlignment="1">
      <alignment horizontal="left" vertical="center"/>
    </xf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left" vertical="center"/>
    </xf>
    <xf numFmtId="0" fontId="1" fillId="0" borderId="0" xfId="0" applyFont="1"/>
    <xf numFmtId="0" fontId="1" fillId="0" borderId="3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3" fillId="3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1" fontId="2" fillId="0" borderId="3" xfId="0" applyNumberFormat="1" applyFont="1" applyBorder="1" applyAlignment="1">
      <alignment horizontal="right" vertical="center"/>
    </xf>
    <xf numFmtId="14" fontId="2" fillId="4" borderId="1" xfId="0" applyNumberFormat="1" applyFont="1" applyFill="1" applyBorder="1" applyAlignment="1">
      <alignment horizontal="left" vertical="center"/>
    </xf>
    <xf numFmtId="0" fontId="4" fillId="3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3" fillId="3" borderId="4" xfId="0" applyFont="1" applyFill="1" applyBorder="1" applyAlignment="1">
      <alignment vertical="center"/>
    </xf>
    <xf numFmtId="0" fontId="3" fillId="3" borderId="5" xfId="0" applyFont="1" applyFill="1" applyBorder="1" applyAlignment="1">
      <alignment vertical="center"/>
    </xf>
    <xf numFmtId="0" fontId="0" fillId="0" borderId="0" xfId="0" applyFont="1"/>
    <xf numFmtId="0" fontId="5" fillId="3" borderId="4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1" fontId="5" fillId="3" borderId="4" xfId="0" applyNumberFormat="1" applyFont="1" applyFill="1" applyBorder="1" applyAlignment="1">
      <alignment horizontal="right" vertical="center"/>
    </xf>
    <xf numFmtId="1" fontId="2" fillId="0" borderId="1" xfId="0" applyNumberFormat="1" applyFont="1" applyBorder="1" applyAlignment="1">
      <alignment horizontal="right" vertical="center"/>
    </xf>
    <xf numFmtId="1" fontId="2" fillId="0" borderId="0" xfId="0" applyNumberFormat="1" applyFont="1" applyAlignment="1">
      <alignment horizontal="right"/>
    </xf>
    <xf numFmtId="0" fontId="0" fillId="0" borderId="0" xfId="0" applyAlignment="1">
      <alignment horizontal="center"/>
    </xf>
    <xf numFmtId="0" fontId="5" fillId="3" borderId="4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636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372207</xdr:colOff>
      <xdr:row>1</xdr:row>
      <xdr:rowOff>112101</xdr:rowOff>
    </xdr:from>
    <xdr:to>
      <xdr:col>4</xdr:col>
      <xdr:colOff>257175</xdr:colOff>
      <xdr:row>4</xdr:row>
      <xdr:rowOff>114300</xdr:rowOff>
    </xdr:to>
    <xdr:sp macro="[0]!GERADOR_SIELBE8" textlink="">
      <xdr:nvSpPr>
        <xdr:cNvPr id="2" name="Retângulo de cantos arredondados 1"/>
        <xdr:cNvSpPr/>
      </xdr:nvSpPr>
      <xdr:spPr>
        <a:xfrm>
          <a:off x="372207" y="302601"/>
          <a:ext cx="1675668" cy="573699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SIEBEL</a:t>
          </a:r>
          <a:r>
            <a:rPr lang="pt-BR" sz="1400" b="1" baseline="0"/>
            <a:t> 8</a:t>
          </a:r>
          <a:endParaRPr lang="pt-BR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391257</xdr:colOff>
      <xdr:row>8</xdr:row>
      <xdr:rowOff>7326</xdr:rowOff>
    </xdr:from>
    <xdr:to>
      <xdr:col>2</xdr:col>
      <xdr:colOff>866775</xdr:colOff>
      <xdr:row>11</xdr:row>
      <xdr:rowOff>57150</xdr:rowOff>
    </xdr:to>
    <xdr:sp macro="[0]!GERADOR_SIELBE8_RETENCAO_DINAMICO" textlink="">
      <xdr:nvSpPr>
        <xdr:cNvPr id="2" name="Retângulo de cantos arredondados 1"/>
        <xdr:cNvSpPr/>
      </xdr:nvSpPr>
      <xdr:spPr>
        <a:xfrm>
          <a:off x="391257" y="1531326"/>
          <a:ext cx="2532918" cy="6213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SIEBEL</a:t>
          </a:r>
          <a:r>
            <a:rPr lang="pt-BR" sz="1400" b="1" baseline="0"/>
            <a:t> 8 - 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naspc31\bo_oct$\23-Distribui&#231;&#227;o\BO%20OIT%20FIBRA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R70"/>
  <sheetViews>
    <sheetView showGridLines="0" zoomScaleNormal="100" workbookViewId="0"/>
  </sheetViews>
  <sheetFormatPr defaultColWidth="9.140625" defaultRowHeight="15" x14ac:dyDescent="0.25"/>
  <cols>
    <col min="1" max="5" width="6.7109375" customWidth="1"/>
    <col min="6" max="6" width="6.7109375" style="2" customWidth="1"/>
    <col min="7" max="7" width="24.140625" style="2" bestFit="1" customWidth="1"/>
    <col min="8" max="8" width="42.42578125" style="2" bestFit="1" customWidth="1"/>
    <col min="9" max="9" width="6.5703125" style="2" bestFit="1" customWidth="1"/>
    <col min="10" max="10" width="8.7109375" style="2" customWidth="1"/>
    <col min="11" max="11" width="13.5703125" style="2" bestFit="1" customWidth="1"/>
    <col min="12" max="12" width="10.85546875" style="2" bestFit="1" customWidth="1"/>
    <col min="13" max="13" width="7.85546875" style="2" customWidth="1"/>
    <col min="14" max="14" width="8.5703125" style="2" customWidth="1"/>
    <col min="15" max="15" width="15.140625" style="2" customWidth="1"/>
    <col min="16" max="16" width="52.85546875" style="2" bestFit="1" customWidth="1"/>
    <col min="17" max="17" width="2.7109375" style="2" customWidth="1"/>
    <col min="18" max="18" width="20.28515625" style="2" bestFit="1" customWidth="1"/>
    <col min="19" max="19" width="16.42578125" style="2" customWidth="1"/>
    <col min="20" max="20" width="23.5703125" style="2" customWidth="1"/>
    <col min="21" max="21" width="51.5703125" style="2" bestFit="1" customWidth="1"/>
    <col min="22" max="22" width="25.140625" style="2" bestFit="1" customWidth="1"/>
    <col min="23" max="23" width="6.140625" style="2" customWidth="1"/>
    <col min="24" max="24" width="2.7109375" style="2" customWidth="1"/>
    <col min="25" max="25" width="9.140625" style="2" customWidth="1"/>
    <col min="26" max="26" width="20.28515625" style="2" bestFit="1" customWidth="1"/>
    <col min="27" max="27" width="10.85546875" style="2" bestFit="1" customWidth="1"/>
    <col min="28" max="28" width="6.5703125" style="2" bestFit="1" customWidth="1"/>
    <col min="29" max="29" width="16" style="2" bestFit="1" customWidth="1"/>
    <col min="30" max="30" width="23.85546875" style="2" bestFit="1" customWidth="1"/>
    <col min="31" max="32" width="5.28515625" style="2" customWidth="1"/>
    <col min="33" max="33" width="20.28515625" style="2" bestFit="1" customWidth="1"/>
    <col min="34" max="34" width="16.7109375" style="2" bestFit="1" customWidth="1"/>
    <col min="35" max="35" width="6.5703125" style="2" bestFit="1" customWidth="1"/>
    <col min="36" max="36" width="28.85546875" style="2" bestFit="1" customWidth="1"/>
    <col min="37" max="37" width="19.5703125" style="2" bestFit="1" customWidth="1"/>
    <col min="38" max="39" width="9.140625" style="2"/>
    <col min="40" max="40" width="20.28515625" style="2" bestFit="1" customWidth="1"/>
    <col min="41" max="41" width="18.5703125" style="2" bestFit="1" customWidth="1"/>
    <col min="42" max="42" width="6.5703125" style="2" bestFit="1" customWidth="1"/>
    <col min="43" max="43" width="17.28515625" style="2" customWidth="1"/>
    <col min="44" max="44" width="42.42578125" style="2" bestFit="1" customWidth="1"/>
    <col min="45" max="16384" width="9.140625" style="2"/>
  </cols>
  <sheetData>
    <row r="1" spans="7:44" x14ac:dyDescent="0.25">
      <c r="AA1" s="5"/>
    </row>
    <row r="2" spans="7:44" x14ac:dyDescent="0.25">
      <c r="G2" s="13" t="s">
        <v>0</v>
      </c>
      <c r="H2" s="14"/>
      <c r="I2" s="8" t="str">
        <f>"Qnt "&amp;SUM(I3:I7)</f>
        <v>Qnt 234</v>
      </c>
      <c r="K2" s="15" t="s">
        <v>7</v>
      </c>
      <c r="L2" s="16"/>
      <c r="M2"/>
      <c r="O2" s="8" t="s">
        <v>1</v>
      </c>
      <c r="P2" s="8"/>
      <c r="R2" s="9" t="s">
        <v>13</v>
      </c>
      <c r="S2" s="9"/>
      <c r="Z2" s="9" t="s">
        <v>13</v>
      </c>
      <c r="AG2" s="9" t="s">
        <v>13</v>
      </c>
      <c r="AN2" s="9" t="s">
        <v>13</v>
      </c>
    </row>
    <row r="3" spans="7:44" x14ac:dyDescent="0.25">
      <c r="G3" s="6" t="s">
        <v>9</v>
      </c>
      <c r="H3" s="7" t="str">
        <f>"CLIENTE FIBRA - SIEBEL 8_INVOL"&amp;L7</f>
        <v>CLIENTE FIBRA - SIEBEL 8_INVOL</v>
      </c>
      <c r="I3" s="11">
        <v>26</v>
      </c>
      <c r="K3" s="3" t="s">
        <v>8</v>
      </c>
      <c r="L3" s="1" t="s">
        <v>20</v>
      </c>
      <c r="M3"/>
      <c r="O3" s="3" t="s">
        <v>12</v>
      </c>
      <c r="P3" s="1" t="s">
        <v>32</v>
      </c>
      <c r="R3" s="10" t="s">
        <v>2</v>
      </c>
      <c r="S3" s="10" t="s">
        <v>3</v>
      </c>
      <c r="T3" s="10" t="s">
        <v>4</v>
      </c>
      <c r="U3" s="10" t="s">
        <v>31</v>
      </c>
      <c r="V3" s="10" t="s">
        <v>6</v>
      </c>
      <c r="W3"/>
      <c r="Z3" s="10" t="s">
        <v>2</v>
      </c>
      <c r="AA3" s="10" t="s">
        <v>3</v>
      </c>
      <c r="AB3" s="10" t="s">
        <v>4</v>
      </c>
      <c r="AC3" s="10" t="s">
        <v>31</v>
      </c>
      <c r="AD3" s="10" t="s">
        <v>6</v>
      </c>
      <c r="AG3" s="10" t="s">
        <v>2</v>
      </c>
      <c r="AH3" s="10" t="s">
        <v>3</v>
      </c>
      <c r="AI3" s="10" t="s">
        <v>4</v>
      </c>
      <c r="AJ3" s="10" t="s">
        <v>31</v>
      </c>
      <c r="AK3" s="10" t="s">
        <v>6</v>
      </c>
      <c r="AN3" s="10" t="s">
        <v>2</v>
      </c>
      <c r="AO3" s="10" t="s">
        <v>3</v>
      </c>
      <c r="AP3" s="10" t="s">
        <v>4</v>
      </c>
      <c r="AQ3" s="10" t="s">
        <v>31</v>
      </c>
      <c r="AR3" s="10" t="s">
        <v>6</v>
      </c>
    </row>
    <row r="4" spans="7:44" x14ac:dyDescent="0.25">
      <c r="G4" s="6" t="s">
        <v>10</v>
      </c>
      <c r="H4" s="7" t="str">
        <f>"CLIENTE FIBRA - SIEBEL 8"&amp;$L$7</f>
        <v>CLIENTE FIBRA - SIEBEL 8</v>
      </c>
      <c r="I4" s="11">
        <v>66</v>
      </c>
      <c r="K4" s="3"/>
      <c r="L4" s="1"/>
      <c r="M4"/>
      <c r="N4"/>
      <c r="O4" s="3" t="s">
        <v>22</v>
      </c>
      <c r="P4" s="1" t="s">
        <v>33</v>
      </c>
      <c r="R4" s="4" t="s">
        <v>14</v>
      </c>
      <c r="S4" s="4" t="s">
        <v>15</v>
      </c>
      <c r="T4" s="4" t="s">
        <v>16</v>
      </c>
      <c r="U4" s="4" t="str">
        <f t="shared" ref="U4" si="0">R4&amp;S4&amp;T4</f>
        <v>Retenção FibraAplicação de OfertaCliente inadimplente - Fibra</v>
      </c>
      <c r="V4" s="4" t="s">
        <v>17</v>
      </c>
      <c r="W4"/>
      <c r="Z4" s="4" t="s">
        <v>18</v>
      </c>
      <c r="AA4" s="12" t="s">
        <v>21</v>
      </c>
      <c r="AB4" s="12" t="s">
        <v>21</v>
      </c>
      <c r="AC4" s="4" t="str">
        <f>Z4</f>
        <v>RET INVOL OI TOTAL</v>
      </c>
      <c r="AD4" s="4" t="s">
        <v>19</v>
      </c>
      <c r="AG4" s="4" t="s">
        <v>14</v>
      </c>
      <c r="AH4" s="4" t="s">
        <v>24</v>
      </c>
      <c r="AI4" s="12" t="s">
        <v>21</v>
      </c>
      <c r="AJ4" s="4" t="str">
        <f>AG4&amp;AH4</f>
        <v>Retenção FibraCancelamento</v>
      </c>
      <c r="AK4" s="4" t="s">
        <v>30</v>
      </c>
      <c r="AN4" s="4" t="s">
        <v>14</v>
      </c>
      <c r="AO4" s="4" t="s">
        <v>28</v>
      </c>
      <c r="AP4" s="12" t="s">
        <v>21</v>
      </c>
      <c r="AQ4" s="4" t="str">
        <f>AN4</f>
        <v>Retenção Fibra</v>
      </c>
      <c r="AR4" s="4" t="s">
        <v>26</v>
      </c>
    </row>
    <row r="5" spans="7:44" x14ac:dyDescent="0.25">
      <c r="G5" s="6" t="s">
        <v>11</v>
      </c>
      <c r="H5" s="7" t="str">
        <f>"SIEBEL 8 - RET INVOL OI TOTAL"&amp;$L$7</f>
        <v>SIEBEL 8 - RET INVOL OI TOTAL</v>
      </c>
      <c r="I5" s="11">
        <v>1</v>
      </c>
      <c r="K5"/>
      <c r="L5"/>
      <c r="M5"/>
      <c r="N5"/>
      <c r="O5" s="3" t="s">
        <v>23</v>
      </c>
      <c r="P5" s="1" t="s">
        <v>33</v>
      </c>
      <c r="R5" s="4"/>
      <c r="S5" s="4"/>
      <c r="T5" s="4"/>
      <c r="U5" s="4"/>
      <c r="V5" s="1"/>
      <c r="W5"/>
      <c r="Z5" s="4"/>
      <c r="AA5" s="4"/>
      <c r="AB5" s="4"/>
      <c r="AC5" s="4"/>
      <c r="AD5" s="4"/>
      <c r="AG5" s="4" t="s">
        <v>14</v>
      </c>
      <c r="AH5" s="4" t="s">
        <v>25</v>
      </c>
      <c r="AI5" s="12" t="s">
        <v>21</v>
      </c>
      <c r="AJ5" s="4" t="str">
        <f>AG5&amp;AH5</f>
        <v>Retenção FibraCancelamento Fibra</v>
      </c>
      <c r="AK5" s="4" t="s">
        <v>30</v>
      </c>
      <c r="AN5" s="4" t="s">
        <v>14</v>
      </c>
      <c r="AO5" s="4" t="s">
        <v>29</v>
      </c>
      <c r="AP5" s="12" t="s">
        <v>21</v>
      </c>
      <c r="AQ5" s="4" t="str">
        <f t="shared" ref="AQ5:AQ7" si="1">AN5</f>
        <v>Retenção Fibra</v>
      </c>
      <c r="AR5" s="4" t="s">
        <v>26</v>
      </c>
    </row>
    <row r="6" spans="7:44" x14ac:dyDescent="0.25">
      <c r="G6" s="6" t="s">
        <v>27</v>
      </c>
      <c r="H6" s="7" t="s">
        <v>26</v>
      </c>
      <c r="I6" s="11">
        <v>141</v>
      </c>
      <c r="K6"/>
      <c r="L6"/>
      <c r="M6"/>
      <c r="N6"/>
      <c r="O6" s="1"/>
      <c r="P6" s="1"/>
      <c r="R6" s="4"/>
      <c r="S6" s="4"/>
      <c r="T6" s="4"/>
      <c r="U6" s="4"/>
      <c r="V6" s="1"/>
      <c r="W6"/>
      <c r="Z6" s="4"/>
      <c r="AA6" s="4"/>
      <c r="AB6" s="4"/>
      <c r="AC6" s="4"/>
      <c r="AD6" s="4"/>
      <c r="AG6" s="4"/>
      <c r="AH6" s="4"/>
      <c r="AI6" s="4"/>
      <c r="AJ6" s="4"/>
      <c r="AK6" s="4"/>
      <c r="AN6" s="4" t="s">
        <v>5</v>
      </c>
      <c r="AO6" s="4" t="s">
        <v>28</v>
      </c>
      <c r="AP6" s="12" t="s">
        <v>21</v>
      </c>
      <c r="AQ6" s="4" t="str">
        <f t="shared" si="1"/>
        <v>Portabilidade</v>
      </c>
      <c r="AR6" s="4" t="s">
        <v>26</v>
      </c>
    </row>
    <row r="7" spans="7:44" x14ac:dyDescent="0.25">
      <c r="G7" s="6"/>
      <c r="H7" s="7"/>
      <c r="I7" s="11"/>
      <c r="K7"/>
      <c r="L7"/>
      <c r="M7"/>
      <c r="N7"/>
      <c r="O7" s="1"/>
      <c r="P7" s="1"/>
      <c r="R7" s="4"/>
      <c r="S7" s="4"/>
      <c r="T7" s="4"/>
      <c r="U7" s="4"/>
      <c r="V7" s="4"/>
      <c r="W7"/>
      <c r="Z7" s="4"/>
      <c r="AA7" s="4"/>
      <c r="AB7" s="4"/>
      <c r="AC7" s="4"/>
      <c r="AD7" s="4"/>
      <c r="AG7" s="4"/>
      <c r="AH7" s="4"/>
      <c r="AI7" s="4"/>
      <c r="AJ7" s="4"/>
      <c r="AK7" s="4"/>
      <c r="AN7" s="4" t="s">
        <v>5</v>
      </c>
      <c r="AO7" s="4" t="s">
        <v>29</v>
      </c>
      <c r="AP7" s="12" t="s">
        <v>21</v>
      </c>
      <c r="AQ7" s="4" t="str">
        <f t="shared" si="1"/>
        <v>Portabilidade</v>
      </c>
      <c r="AR7" s="4" t="s">
        <v>26</v>
      </c>
    </row>
    <row r="8" spans="7:44" x14ac:dyDescent="0.25">
      <c r="H8"/>
      <c r="I8"/>
      <c r="K8"/>
      <c r="L8"/>
      <c r="M8"/>
      <c r="N8"/>
      <c r="O8"/>
      <c r="R8" s="4"/>
      <c r="S8" s="4"/>
      <c r="T8" s="4"/>
      <c r="U8" s="4"/>
      <c r="V8" s="4"/>
      <c r="W8"/>
      <c r="Z8" s="4"/>
      <c r="AA8" s="4"/>
      <c r="AB8" s="4"/>
      <c r="AC8" s="4"/>
      <c r="AD8" s="4"/>
      <c r="AG8" s="4"/>
      <c r="AH8" s="4"/>
      <c r="AI8" s="4"/>
      <c r="AJ8" s="4"/>
      <c r="AK8" s="4"/>
      <c r="AN8" s="4"/>
      <c r="AO8" s="4"/>
      <c r="AP8" s="4"/>
      <c r="AQ8" s="4"/>
      <c r="AR8" s="4"/>
    </row>
    <row r="9" spans="7:44" x14ac:dyDescent="0.25">
      <c r="H9"/>
      <c r="I9"/>
      <c r="K9"/>
      <c r="L9"/>
      <c r="M9"/>
      <c r="N9"/>
      <c r="O9"/>
      <c r="R9" s="4"/>
      <c r="S9" s="4"/>
      <c r="T9" s="4"/>
      <c r="U9" s="4"/>
      <c r="V9" s="1"/>
      <c r="W9"/>
      <c r="Z9" s="4"/>
      <c r="AA9" s="4"/>
      <c r="AB9" s="4"/>
      <c r="AC9" s="4"/>
      <c r="AD9" s="4"/>
      <c r="AG9" s="4"/>
      <c r="AH9" s="4"/>
      <c r="AI9" s="4"/>
      <c r="AJ9" s="4"/>
      <c r="AK9" s="4"/>
      <c r="AN9" s="4"/>
      <c r="AO9" s="4"/>
      <c r="AP9" s="4"/>
      <c r="AQ9" s="4"/>
      <c r="AR9" s="4"/>
    </row>
    <row r="10" spans="7:44" x14ac:dyDescent="0.25">
      <c r="H10"/>
      <c r="I10"/>
      <c r="K10"/>
      <c r="L10"/>
      <c r="M10"/>
      <c r="N10"/>
      <c r="O10"/>
      <c r="R10"/>
      <c r="S10"/>
      <c r="T10"/>
      <c r="U10"/>
      <c r="V10"/>
      <c r="W10"/>
    </row>
    <row r="11" spans="7:44" x14ac:dyDescent="0.25">
      <c r="K11"/>
      <c r="L11"/>
      <c r="M11"/>
      <c r="N11"/>
      <c r="O11"/>
      <c r="R11"/>
      <c r="S11"/>
      <c r="T11"/>
      <c r="U11"/>
      <c r="V11"/>
      <c r="W11"/>
    </row>
    <row r="12" spans="7:44" x14ac:dyDescent="0.25">
      <c r="K12"/>
      <c r="L12"/>
      <c r="M12"/>
      <c r="N12"/>
      <c r="O12"/>
      <c r="R12"/>
      <c r="S12"/>
      <c r="T12"/>
      <c r="U12"/>
      <c r="V12"/>
      <c r="W12"/>
    </row>
    <row r="13" spans="7:44" x14ac:dyDescent="0.25">
      <c r="K13"/>
      <c r="L13"/>
      <c r="M13"/>
      <c r="N13"/>
      <c r="R13"/>
      <c r="S13"/>
      <c r="T13"/>
      <c r="U13"/>
      <c r="V13"/>
      <c r="W13"/>
    </row>
    <row r="14" spans="7:44" x14ac:dyDescent="0.25">
      <c r="K14"/>
      <c r="L14"/>
      <c r="M14"/>
      <c r="N14"/>
      <c r="R14"/>
      <c r="S14"/>
      <c r="T14"/>
      <c r="U14"/>
      <c r="V14"/>
      <c r="W14"/>
    </row>
    <row r="15" spans="7:44" x14ac:dyDescent="0.25">
      <c r="K15"/>
      <c r="L15"/>
      <c r="M15"/>
      <c r="N15"/>
      <c r="P15" s="1" t="str">
        <f>"\\naspc31\bo_oct$\02_Staff\BO_MACRO\05_SIEBEL8\Extracao\"</f>
        <v>\\naspc31\bo_oct$\02_Staff\BO_MACRO\05_SIEBEL8\Extracao\</v>
      </c>
      <c r="R15"/>
      <c r="S15"/>
      <c r="T15"/>
      <c r="U15"/>
      <c r="V15"/>
      <c r="W15"/>
    </row>
    <row r="16" spans="7:44" x14ac:dyDescent="0.25">
      <c r="K16"/>
      <c r="L16"/>
      <c r="P16" s="1" t="str">
        <f>"\\naspc31\bo_oct$\02_Staff\BO_MACRO\05_SIEBEL8\Distribuicao\"</f>
        <v>\\naspc31\bo_oct$\02_Staff\BO_MACRO\05_SIEBEL8\Distribuicao\</v>
      </c>
      <c r="R16"/>
      <c r="S16"/>
      <c r="T16"/>
      <c r="U16"/>
      <c r="V16"/>
      <c r="W16"/>
    </row>
    <row r="17" spans="11:23" x14ac:dyDescent="0.25">
      <c r="K17"/>
      <c r="L17"/>
      <c r="P17" s="1" t="str">
        <f>"\\naspc31\bo_oct$\23-Distribuição\BO OIT FIBRA\"&amp;$D$3&amp;"\"&amp;$C$5&amp;"\"</f>
        <v>\\naspc31\bo_oct$\23-Distribuição\BO OIT FIBRA\\\</v>
      </c>
      <c r="R17"/>
      <c r="S17"/>
      <c r="T17"/>
      <c r="U17"/>
      <c r="V17"/>
      <c r="W17"/>
    </row>
    <row r="18" spans="11:23" x14ac:dyDescent="0.25">
      <c r="K18"/>
      <c r="L18"/>
      <c r="R18"/>
      <c r="S18"/>
      <c r="T18"/>
      <c r="U18"/>
      <c r="V18"/>
      <c r="W18"/>
    </row>
    <row r="19" spans="11:23" x14ac:dyDescent="0.25">
      <c r="K19"/>
      <c r="L19"/>
      <c r="R19"/>
      <c r="S19"/>
      <c r="T19"/>
      <c r="U19"/>
      <c r="V19"/>
      <c r="W19"/>
    </row>
    <row r="20" spans="11:23" x14ac:dyDescent="0.25">
      <c r="K20"/>
      <c r="L20"/>
      <c r="R20"/>
      <c r="S20"/>
      <c r="T20"/>
      <c r="U20"/>
      <c r="V20"/>
      <c r="W20"/>
    </row>
    <row r="21" spans="11:23" x14ac:dyDescent="0.25">
      <c r="K21"/>
      <c r="L21"/>
      <c r="R21"/>
      <c r="S21"/>
      <c r="T21"/>
      <c r="U21"/>
      <c r="V21"/>
      <c r="W21"/>
    </row>
    <row r="22" spans="11:23" x14ac:dyDescent="0.25">
      <c r="K22"/>
      <c r="L22"/>
      <c r="R22"/>
      <c r="S22"/>
      <c r="T22"/>
      <c r="U22"/>
      <c r="V22"/>
      <c r="W22"/>
    </row>
    <row r="23" spans="11:23" x14ac:dyDescent="0.25">
      <c r="K23"/>
      <c r="L23"/>
      <c r="R23"/>
      <c r="S23"/>
      <c r="T23"/>
      <c r="U23"/>
      <c r="V23"/>
      <c r="W23"/>
    </row>
    <row r="24" spans="11:23" x14ac:dyDescent="0.25">
      <c r="K24"/>
      <c r="L24"/>
      <c r="R24"/>
      <c r="S24"/>
      <c r="T24"/>
      <c r="U24"/>
      <c r="V24"/>
      <c r="W24"/>
    </row>
    <row r="25" spans="11:23" x14ac:dyDescent="0.25">
      <c r="K25"/>
      <c r="L25"/>
      <c r="R25"/>
      <c r="S25"/>
      <c r="T25"/>
      <c r="U25"/>
      <c r="V25"/>
      <c r="W25"/>
    </row>
    <row r="26" spans="11:23" x14ac:dyDescent="0.25">
      <c r="K26"/>
      <c r="L26"/>
      <c r="R26"/>
      <c r="S26"/>
      <c r="T26"/>
      <c r="U26"/>
      <c r="V26"/>
      <c r="W26"/>
    </row>
    <row r="27" spans="11:23" x14ac:dyDescent="0.25">
      <c r="K27"/>
      <c r="L27"/>
      <c r="R27"/>
      <c r="S27"/>
      <c r="T27"/>
      <c r="U27"/>
      <c r="V27"/>
      <c r="W27"/>
    </row>
    <row r="28" spans="11:23" x14ac:dyDescent="0.25">
      <c r="K28"/>
      <c r="L28"/>
      <c r="R28"/>
      <c r="S28"/>
      <c r="T28"/>
      <c r="U28"/>
      <c r="V28"/>
      <c r="W28"/>
    </row>
    <row r="29" spans="11:23" x14ac:dyDescent="0.25">
      <c r="K29"/>
      <c r="L29"/>
      <c r="R29"/>
      <c r="S29"/>
      <c r="T29"/>
      <c r="U29"/>
      <c r="V29"/>
      <c r="W29"/>
    </row>
    <row r="30" spans="11:23" x14ac:dyDescent="0.25">
      <c r="K30"/>
      <c r="L30"/>
      <c r="R30"/>
      <c r="S30"/>
      <c r="T30"/>
      <c r="U30"/>
      <c r="V30"/>
      <c r="W30"/>
    </row>
    <row r="31" spans="11:23" x14ac:dyDescent="0.25">
      <c r="K31"/>
      <c r="L31"/>
      <c r="R31"/>
      <c r="S31"/>
      <c r="T31"/>
      <c r="U31"/>
      <c r="V31"/>
      <c r="W31"/>
    </row>
    <row r="32" spans="11:23" x14ac:dyDescent="0.25">
      <c r="K32"/>
      <c r="L32"/>
      <c r="R32"/>
      <c r="S32"/>
      <c r="T32"/>
      <c r="U32"/>
      <c r="V32"/>
      <c r="W32"/>
    </row>
    <row r="33" spans="6:23" x14ac:dyDescent="0.25">
      <c r="K33"/>
      <c r="L33"/>
      <c r="R33"/>
      <c r="S33"/>
      <c r="T33"/>
      <c r="U33"/>
      <c r="V33"/>
      <c r="W33"/>
    </row>
    <row r="34" spans="6:23" x14ac:dyDescent="0.25">
      <c r="K34"/>
      <c r="L34"/>
      <c r="R34"/>
      <c r="S34"/>
      <c r="T34"/>
      <c r="U34"/>
      <c r="V34"/>
      <c r="W34"/>
    </row>
    <row r="35" spans="6:23" x14ac:dyDescent="0.25">
      <c r="K35"/>
      <c r="L35"/>
      <c r="R35"/>
      <c r="S35"/>
      <c r="T35"/>
      <c r="U35"/>
      <c r="V35"/>
      <c r="W35"/>
    </row>
    <row r="36" spans="6:23" x14ac:dyDescent="0.25">
      <c r="K36"/>
      <c r="L36"/>
      <c r="R36"/>
      <c r="S36"/>
      <c r="T36"/>
      <c r="U36"/>
      <c r="V36"/>
      <c r="W36"/>
    </row>
    <row r="37" spans="6:23" x14ac:dyDescent="0.25">
      <c r="K37"/>
      <c r="L37"/>
      <c r="R37"/>
      <c r="S37"/>
      <c r="T37"/>
      <c r="U37"/>
      <c r="V37"/>
      <c r="W37"/>
    </row>
    <row r="38" spans="6:23" x14ac:dyDescent="0.25">
      <c r="K38"/>
      <c r="L38"/>
      <c r="R38"/>
      <c r="S38"/>
      <c r="T38"/>
      <c r="U38"/>
      <c r="V38"/>
      <c r="W38"/>
    </row>
    <row r="39" spans="6:23" x14ac:dyDescent="0.25">
      <c r="F39"/>
      <c r="K39"/>
      <c r="L39"/>
      <c r="R39"/>
      <c r="S39"/>
      <c r="T39"/>
      <c r="U39"/>
      <c r="V39"/>
      <c r="W39"/>
    </row>
    <row r="40" spans="6:23" x14ac:dyDescent="0.25">
      <c r="F40"/>
      <c r="K40"/>
      <c r="L40"/>
      <c r="R40"/>
      <c r="S40"/>
      <c r="T40"/>
      <c r="U40"/>
      <c r="V40"/>
      <c r="W40"/>
    </row>
    <row r="41" spans="6:23" x14ac:dyDescent="0.25">
      <c r="F41"/>
      <c r="K41"/>
      <c r="L41"/>
      <c r="R41"/>
      <c r="S41"/>
      <c r="T41"/>
      <c r="U41"/>
      <c r="V41"/>
      <c r="W41"/>
    </row>
    <row r="42" spans="6:23" x14ac:dyDescent="0.25">
      <c r="F42"/>
      <c r="K42"/>
      <c r="L42"/>
      <c r="R42"/>
      <c r="S42"/>
      <c r="T42"/>
      <c r="U42"/>
      <c r="V42"/>
      <c r="W42"/>
    </row>
    <row r="43" spans="6:23" x14ac:dyDescent="0.25">
      <c r="F43"/>
      <c r="K43"/>
      <c r="L43"/>
      <c r="R43"/>
      <c r="S43"/>
      <c r="T43"/>
      <c r="U43"/>
      <c r="V43"/>
      <c r="W43"/>
    </row>
    <row r="44" spans="6:23" x14ac:dyDescent="0.25">
      <c r="F44"/>
      <c r="R44"/>
      <c r="S44"/>
      <c r="T44"/>
      <c r="U44"/>
      <c r="V44"/>
      <c r="W44"/>
    </row>
    <row r="45" spans="6:23" x14ac:dyDescent="0.25">
      <c r="F45"/>
      <c r="R45"/>
      <c r="S45"/>
      <c r="T45"/>
      <c r="U45"/>
      <c r="V45"/>
      <c r="W45"/>
    </row>
    <row r="46" spans="6:23" x14ac:dyDescent="0.25">
      <c r="F46"/>
      <c r="R46"/>
      <c r="S46"/>
      <c r="T46"/>
      <c r="U46"/>
      <c r="V46"/>
      <c r="W46"/>
    </row>
    <row r="47" spans="6:23" x14ac:dyDescent="0.25">
      <c r="F47"/>
      <c r="R47"/>
      <c r="S47"/>
      <c r="T47"/>
      <c r="U47"/>
      <c r="V47"/>
      <c r="W47"/>
    </row>
    <row r="48" spans="6:23" x14ac:dyDescent="0.25">
      <c r="F48"/>
      <c r="R48"/>
      <c r="S48"/>
      <c r="T48"/>
      <c r="U48"/>
      <c r="V48"/>
      <c r="W48"/>
    </row>
    <row r="49" spans="6:23" x14ac:dyDescent="0.25">
      <c r="F49"/>
      <c r="R49"/>
      <c r="S49"/>
      <c r="T49"/>
      <c r="U49"/>
      <c r="V49"/>
      <c r="W49"/>
    </row>
    <row r="50" spans="6:23" x14ac:dyDescent="0.25">
      <c r="F50"/>
      <c r="R50"/>
      <c r="S50"/>
      <c r="T50"/>
      <c r="U50"/>
      <c r="V50"/>
      <c r="W50"/>
    </row>
    <row r="51" spans="6:23" x14ac:dyDescent="0.25">
      <c r="R51"/>
      <c r="S51"/>
      <c r="T51"/>
      <c r="U51"/>
      <c r="V51"/>
      <c r="W51"/>
    </row>
    <row r="52" spans="6:23" x14ac:dyDescent="0.25">
      <c r="R52"/>
      <c r="S52"/>
      <c r="T52"/>
      <c r="U52"/>
      <c r="V52"/>
      <c r="W52"/>
    </row>
    <row r="53" spans="6:23" x14ac:dyDescent="0.25">
      <c r="R53"/>
      <c r="S53"/>
      <c r="T53"/>
      <c r="U53"/>
      <c r="V53"/>
      <c r="W53"/>
    </row>
    <row r="54" spans="6:23" x14ac:dyDescent="0.25">
      <c r="R54"/>
      <c r="S54"/>
      <c r="T54"/>
      <c r="U54"/>
      <c r="V54"/>
      <c r="W54"/>
    </row>
    <row r="55" spans="6:23" x14ac:dyDescent="0.25">
      <c r="R55"/>
      <c r="S55"/>
      <c r="T55"/>
      <c r="U55"/>
      <c r="V55"/>
      <c r="W55"/>
    </row>
    <row r="56" spans="6:23" x14ac:dyDescent="0.25">
      <c r="R56"/>
      <c r="S56"/>
      <c r="T56"/>
      <c r="U56"/>
      <c r="V56"/>
      <c r="W56"/>
    </row>
    <row r="57" spans="6:23" x14ac:dyDescent="0.25">
      <c r="R57"/>
      <c r="S57"/>
      <c r="T57"/>
      <c r="U57"/>
      <c r="V57"/>
      <c r="W57"/>
    </row>
    <row r="58" spans="6:23" x14ac:dyDescent="0.25">
      <c r="R58"/>
      <c r="S58"/>
      <c r="T58"/>
      <c r="U58"/>
      <c r="V58"/>
      <c r="W58"/>
    </row>
    <row r="59" spans="6:23" x14ac:dyDescent="0.25">
      <c r="R59"/>
      <c r="S59"/>
      <c r="T59"/>
      <c r="U59"/>
      <c r="V59"/>
      <c r="W59"/>
    </row>
    <row r="60" spans="6:23" x14ac:dyDescent="0.25">
      <c r="R60"/>
      <c r="S60"/>
      <c r="T60"/>
      <c r="U60"/>
      <c r="V60"/>
      <c r="W60"/>
    </row>
    <row r="61" spans="6:23" x14ac:dyDescent="0.25">
      <c r="R61"/>
      <c r="S61"/>
      <c r="T61"/>
      <c r="U61"/>
      <c r="V61"/>
      <c r="W61"/>
    </row>
    <row r="62" spans="6:23" x14ac:dyDescent="0.25">
      <c r="R62"/>
      <c r="S62"/>
      <c r="T62"/>
      <c r="U62"/>
      <c r="V62"/>
      <c r="W62"/>
    </row>
    <row r="63" spans="6:23" x14ac:dyDescent="0.25">
      <c r="R63"/>
      <c r="S63"/>
      <c r="T63"/>
      <c r="U63"/>
      <c r="V63"/>
      <c r="W63"/>
    </row>
    <row r="64" spans="6:23" x14ac:dyDescent="0.25">
      <c r="R64"/>
      <c r="S64"/>
      <c r="T64"/>
      <c r="U64"/>
      <c r="V64"/>
      <c r="W64"/>
    </row>
    <row r="65" spans="18:23" x14ac:dyDescent="0.25">
      <c r="R65"/>
      <c r="S65"/>
      <c r="T65"/>
      <c r="U65"/>
      <c r="V65"/>
      <c r="W65"/>
    </row>
    <row r="66" spans="18:23" x14ac:dyDescent="0.25">
      <c r="R66"/>
      <c r="S66"/>
      <c r="T66"/>
      <c r="U66"/>
      <c r="V66"/>
      <c r="W66"/>
    </row>
    <row r="67" spans="18:23" x14ac:dyDescent="0.25">
      <c r="R67"/>
      <c r="S67"/>
      <c r="T67"/>
      <c r="U67"/>
      <c r="V67"/>
      <c r="W67"/>
    </row>
    <row r="68" spans="18:23" x14ac:dyDescent="0.25">
      <c r="R68"/>
      <c r="S68"/>
      <c r="T68"/>
      <c r="U68"/>
      <c r="V68"/>
      <c r="W68"/>
    </row>
    <row r="69" spans="18:23" x14ac:dyDescent="0.25">
      <c r="R69"/>
      <c r="S69"/>
      <c r="T69"/>
      <c r="U69"/>
      <c r="V69"/>
      <c r="W69"/>
    </row>
    <row r="70" spans="18:23" x14ac:dyDescent="0.25">
      <c r="R70"/>
      <c r="S70"/>
      <c r="T70"/>
      <c r="U70"/>
      <c r="V70"/>
      <c r="W7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X50"/>
  <sheetViews>
    <sheetView showGridLines="0" tabSelected="1" zoomScale="90" zoomScaleNormal="90" workbookViewId="0"/>
  </sheetViews>
  <sheetFormatPr defaultColWidth="9.140625" defaultRowHeight="15" x14ac:dyDescent="0.25"/>
  <cols>
    <col min="1" max="1" width="9.140625" customWidth="1"/>
    <col min="2" max="2" width="14.5703125" customWidth="1"/>
    <col min="3" max="3" width="15.7109375" bestFit="1" customWidth="1"/>
    <col min="4" max="5" width="5.5703125" customWidth="1"/>
    <col min="6" max="6" width="5.5703125" style="2" customWidth="1"/>
    <col min="7" max="7" width="42.42578125" style="2" bestFit="1" customWidth="1"/>
    <col min="8" max="8" width="8.7109375" style="23" bestFit="1" customWidth="1"/>
    <col min="9" max="9" width="11.28515625" style="2" customWidth="1"/>
    <col min="10" max="10" width="11.28515625" customWidth="1"/>
    <col min="11" max="13" width="4.42578125" customWidth="1"/>
    <col min="14" max="14" width="16" bestFit="1" customWidth="1"/>
    <col min="15" max="15" width="17.85546875" style="2" bestFit="1" customWidth="1"/>
    <col min="16" max="16" width="23.5703125" style="2" bestFit="1" customWidth="1"/>
    <col min="17" max="17" width="51.5703125" style="2" bestFit="1" customWidth="1"/>
    <col min="18" max="18" width="42.42578125" style="2" bestFit="1" customWidth="1"/>
    <col min="19" max="19" width="5.85546875" style="2" customWidth="1"/>
    <col min="20" max="22" width="5.85546875" customWidth="1"/>
    <col min="23" max="23" width="15.42578125" bestFit="1" customWidth="1"/>
    <col min="24" max="24" width="52.85546875" bestFit="1" customWidth="1"/>
    <col min="25" max="16384" width="9.140625" style="2"/>
  </cols>
  <sheetData>
    <row r="2" spans="2:24" ht="15.75" x14ac:dyDescent="0.25">
      <c r="B2" s="27" t="s">
        <v>50</v>
      </c>
      <c r="C2" s="28"/>
      <c r="G2" s="19" t="s">
        <v>34</v>
      </c>
      <c r="H2" s="21" t="str">
        <f>"Qnt "&amp;SUM(H3:H7)</f>
        <v>Qnt 234</v>
      </c>
      <c r="I2" s="29" t="s">
        <v>49</v>
      </c>
      <c r="J2" s="30"/>
      <c r="N2" s="25" t="s">
        <v>13</v>
      </c>
      <c r="O2" s="26"/>
      <c r="P2" s="17"/>
      <c r="Q2" s="17"/>
      <c r="R2" s="17"/>
    </row>
    <row r="3" spans="2:24" ht="15.75" x14ac:dyDescent="0.25">
      <c r="B3" s="20" t="s">
        <v>20</v>
      </c>
      <c r="C3" s="20" t="s">
        <v>35</v>
      </c>
      <c r="G3" s="4" t="s">
        <v>17</v>
      </c>
      <c r="H3" s="22">
        <v>26</v>
      </c>
      <c r="I3" s="22">
        <v>234</v>
      </c>
      <c r="J3" s="24" t="str">
        <f>IF($I$3=SUM($H$3:$H$24),"OK","NÃO")</f>
        <v>OK</v>
      </c>
      <c r="N3" s="18" t="s">
        <v>2</v>
      </c>
      <c r="O3" s="18" t="s">
        <v>3</v>
      </c>
      <c r="P3" s="18" t="s">
        <v>4</v>
      </c>
      <c r="Q3" s="18" t="s">
        <v>31</v>
      </c>
      <c r="R3" s="18" t="s">
        <v>6</v>
      </c>
      <c r="W3" s="18" t="s">
        <v>1</v>
      </c>
      <c r="X3" s="18"/>
    </row>
    <row r="4" spans="2:24" x14ac:dyDescent="0.25">
      <c r="B4" s="3"/>
      <c r="C4" s="1"/>
      <c r="G4" s="4" t="s">
        <v>19</v>
      </c>
      <c r="H4" s="22">
        <v>1</v>
      </c>
      <c r="N4" s="4" t="s">
        <v>14</v>
      </c>
      <c r="O4" s="4" t="s">
        <v>15</v>
      </c>
      <c r="P4" s="4" t="s">
        <v>16</v>
      </c>
      <c r="Q4" s="4" t="str">
        <f t="shared" ref="Q4:Q12" si="0">N4&amp;O4&amp;P4</f>
        <v>Retenção FibraAplicação de OfertaCliente inadimplente - Fibra</v>
      </c>
      <c r="R4" s="4" t="s">
        <v>17</v>
      </c>
      <c r="W4" s="3" t="s">
        <v>48</v>
      </c>
      <c r="X4" s="1" t="s">
        <v>32</v>
      </c>
    </row>
    <row r="5" spans="2:24" x14ac:dyDescent="0.25">
      <c r="G5" s="4" t="s">
        <v>30</v>
      </c>
      <c r="H5" s="22">
        <v>66</v>
      </c>
      <c r="N5" s="4" t="s">
        <v>18</v>
      </c>
      <c r="O5" s="4" t="s">
        <v>46</v>
      </c>
      <c r="P5" s="4" t="s">
        <v>47</v>
      </c>
      <c r="Q5" s="4" t="str">
        <f t="shared" si="0"/>
        <v>RET INVOL OI TOTALAPLICAÇÃO DE OFERTAINSTALAR OFERTA</v>
      </c>
      <c r="R5" s="4" t="s">
        <v>19</v>
      </c>
      <c r="W5" s="3" t="s">
        <v>22</v>
      </c>
      <c r="X5" s="1" t="s">
        <v>33</v>
      </c>
    </row>
    <row r="6" spans="2:24" x14ac:dyDescent="0.25">
      <c r="G6" s="4" t="s">
        <v>26</v>
      </c>
      <c r="H6" s="22">
        <v>141</v>
      </c>
      <c r="N6" s="4" t="s">
        <v>14</v>
      </c>
      <c r="O6" s="4" t="s">
        <v>36</v>
      </c>
      <c r="P6" s="4" t="s">
        <v>37</v>
      </c>
      <c r="Q6" s="4" t="str">
        <f t="shared" si="0"/>
        <v>Retenção FibraCancelamento FIBRAPossui flag inadimplência</v>
      </c>
      <c r="R6" s="4" t="s">
        <v>30</v>
      </c>
      <c r="W6" s="3" t="s">
        <v>23</v>
      </c>
      <c r="X6" s="1" t="s">
        <v>33</v>
      </c>
    </row>
    <row r="7" spans="2:24" x14ac:dyDescent="0.25">
      <c r="G7" s="4"/>
      <c r="H7" s="22"/>
      <c r="N7" s="4" t="s">
        <v>14</v>
      </c>
      <c r="O7" s="4" t="s">
        <v>24</v>
      </c>
      <c r="P7" s="4" t="s">
        <v>42</v>
      </c>
      <c r="Q7" s="4" t="str">
        <f t="shared" si="0"/>
        <v>Retenção FibraCancelamentoEmissão Voucher/OPL</v>
      </c>
      <c r="R7" s="4" t="s">
        <v>30</v>
      </c>
      <c r="W7" s="1"/>
      <c r="X7" s="1"/>
    </row>
    <row r="8" spans="2:24" x14ac:dyDescent="0.25">
      <c r="G8" s="4"/>
      <c r="H8" s="22"/>
      <c r="N8" s="4" t="s">
        <v>14</v>
      </c>
      <c r="O8" s="4" t="s">
        <v>24</v>
      </c>
      <c r="P8" s="4" t="s">
        <v>43</v>
      </c>
      <c r="Q8" s="4" t="str">
        <f t="shared" si="0"/>
        <v>Retenção FibraCancelamentoRecolhimento aparelho</v>
      </c>
      <c r="R8" s="4" t="s">
        <v>30</v>
      </c>
      <c r="W8" s="1"/>
      <c r="X8" s="1"/>
    </row>
    <row r="9" spans="2:24" x14ac:dyDescent="0.25">
      <c r="G9" s="4"/>
      <c r="H9" s="22"/>
      <c r="N9" s="4" t="s">
        <v>14</v>
      </c>
      <c r="O9" s="4" t="s">
        <v>44</v>
      </c>
      <c r="P9" s="4" t="s">
        <v>45</v>
      </c>
      <c r="Q9" s="4" t="str">
        <f t="shared" si="0"/>
        <v>Retenção FibraDowngrade CHATDowngrade Fibra</v>
      </c>
      <c r="R9" s="4" t="s">
        <v>26</v>
      </c>
      <c r="X9" s="2"/>
    </row>
    <row r="10" spans="2:24" x14ac:dyDescent="0.25">
      <c r="G10" s="4"/>
      <c r="H10" s="22"/>
      <c r="N10" s="4" t="s">
        <v>14</v>
      </c>
      <c r="O10" s="4" t="s">
        <v>38</v>
      </c>
      <c r="P10" s="4" t="s">
        <v>39</v>
      </c>
      <c r="Q10" s="4" t="str">
        <f t="shared" si="0"/>
        <v>Retenção FibraAplicação de ofertaCampanha Indisponível</v>
      </c>
      <c r="R10" s="4" t="s">
        <v>26</v>
      </c>
      <c r="X10" s="2"/>
    </row>
    <row r="11" spans="2:24" x14ac:dyDescent="0.25">
      <c r="G11" s="4"/>
      <c r="H11" s="22"/>
      <c r="N11" s="4" t="s">
        <v>14</v>
      </c>
      <c r="O11" s="4" t="s">
        <v>40</v>
      </c>
      <c r="P11" s="4" t="s">
        <v>41</v>
      </c>
      <c r="Q11" s="4" t="str">
        <f t="shared" si="0"/>
        <v>Retenção FibraMUA Fora do ARRealizar agendamento</v>
      </c>
      <c r="R11" s="4" t="s">
        <v>26</v>
      </c>
      <c r="X11" s="2"/>
    </row>
    <row r="12" spans="2:24" x14ac:dyDescent="0.25">
      <c r="G12" s="4"/>
      <c r="H12" s="22"/>
      <c r="N12" s="4"/>
      <c r="O12" s="4"/>
      <c r="P12" s="4"/>
      <c r="Q12" s="4"/>
      <c r="R12" s="4"/>
      <c r="X12" s="2"/>
    </row>
    <row r="13" spans="2:24" x14ac:dyDescent="0.25">
      <c r="G13" s="4"/>
      <c r="H13" s="22"/>
      <c r="N13" s="4"/>
      <c r="O13" s="4"/>
      <c r="P13" s="4"/>
      <c r="Q13" s="4"/>
      <c r="R13" s="4"/>
      <c r="X13" s="2"/>
    </row>
    <row r="14" spans="2:24" x14ac:dyDescent="0.25">
      <c r="G14" s="4"/>
      <c r="H14" s="22"/>
      <c r="N14" s="4"/>
      <c r="O14" s="4"/>
      <c r="P14" s="4"/>
      <c r="Q14" s="4"/>
      <c r="R14" s="4"/>
      <c r="W14" s="2"/>
      <c r="X14" s="2"/>
    </row>
    <row r="15" spans="2:24" x14ac:dyDescent="0.25">
      <c r="G15" s="4"/>
      <c r="H15" s="22"/>
      <c r="N15" s="4"/>
      <c r="O15" s="4"/>
      <c r="P15" s="4"/>
      <c r="Q15" s="4"/>
      <c r="R15" s="4"/>
      <c r="W15" s="2"/>
      <c r="X15" s="2"/>
    </row>
    <row r="16" spans="2:24" x14ac:dyDescent="0.25">
      <c r="G16" s="4"/>
      <c r="H16" s="22"/>
      <c r="N16" s="4"/>
      <c r="O16" s="4"/>
      <c r="P16" s="4"/>
      <c r="Q16" s="4"/>
      <c r="R16" s="4"/>
      <c r="W16" s="2"/>
      <c r="X16" s="1" t="str">
        <f>"\\naspc31\bo_oct$\02_Staff\BO_MACRO\05_SIEBEL8\Extracao\"</f>
        <v>\\naspc31\bo_oct$\02_Staff\BO_MACRO\05_SIEBEL8\Extracao\</v>
      </c>
    </row>
    <row r="17" spans="7:24" x14ac:dyDescent="0.25">
      <c r="G17" s="4"/>
      <c r="H17" s="22"/>
      <c r="N17" s="4"/>
      <c r="O17" s="4"/>
      <c r="P17" s="4"/>
      <c r="Q17" s="4"/>
      <c r="R17" s="4"/>
      <c r="W17" s="2"/>
      <c r="X17" s="1" t="str">
        <f>"\\naspc31\bo_oct$\02_Staff\BO_MACRO\05_SIEBEL8\Distribuicao\"</f>
        <v>\\naspc31\bo_oct$\02_Staff\BO_MACRO\05_SIEBEL8\Distribuicao\</v>
      </c>
    </row>
    <row r="18" spans="7:24" x14ac:dyDescent="0.25">
      <c r="G18" s="4"/>
      <c r="H18" s="22"/>
      <c r="N18" s="4"/>
      <c r="O18" s="4"/>
      <c r="P18" s="4"/>
      <c r="Q18" s="4"/>
      <c r="R18" s="4"/>
      <c r="W18" s="2"/>
      <c r="X18" s="1" t="s">
        <v>51</v>
      </c>
    </row>
    <row r="19" spans="7:24" x14ac:dyDescent="0.25">
      <c r="G19" s="4"/>
      <c r="H19" s="22"/>
      <c r="N19" s="4"/>
      <c r="O19" s="4"/>
      <c r="P19" s="4"/>
      <c r="Q19" s="4"/>
      <c r="R19" s="4"/>
    </row>
    <row r="20" spans="7:24" x14ac:dyDescent="0.25">
      <c r="G20" s="4"/>
      <c r="H20" s="22"/>
      <c r="N20" s="4"/>
      <c r="O20" s="4"/>
      <c r="P20" s="4"/>
      <c r="Q20" s="4"/>
      <c r="R20" s="4"/>
    </row>
    <row r="21" spans="7:24" x14ac:dyDescent="0.25">
      <c r="G21" s="4"/>
      <c r="H21" s="22"/>
      <c r="N21" s="4"/>
      <c r="O21" s="4"/>
      <c r="P21" s="4"/>
      <c r="Q21" s="4"/>
      <c r="R21" s="4"/>
    </row>
    <row r="22" spans="7:24" x14ac:dyDescent="0.25">
      <c r="G22" s="4"/>
      <c r="H22" s="22"/>
      <c r="N22" s="4"/>
      <c r="O22" s="4"/>
      <c r="P22" s="4"/>
      <c r="Q22" s="4"/>
      <c r="R22" s="4"/>
    </row>
    <row r="23" spans="7:24" x14ac:dyDescent="0.25">
      <c r="G23" s="4"/>
      <c r="H23" s="22"/>
      <c r="N23" s="4"/>
      <c r="O23" s="4"/>
      <c r="P23" s="4"/>
      <c r="Q23" s="4"/>
      <c r="R23" s="4"/>
    </row>
    <row r="24" spans="7:24" x14ac:dyDescent="0.25">
      <c r="G24" s="4"/>
      <c r="H24" s="22"/>
      <c r="N24" s="4"/>
      <c r="O24" s="4"/>
      <c r="P24" s="4"/>
      <c r="Q24" s="4"/>
      <c r="R24" s="4"/>
    </row>
    <row r="25" spans="7:24" x14ac:dyDescent="0.25">
      <c r="N25" s="4"/>
      <c r="O25" s="4"/>
      <c r="P25" s="4"/>
      <c r="Q25" s="4"/>
      <c r="R25" s="4"/>
    </row>
    <row r="26" spans="7:24" x14ac:dyDescent="0.25">
      <c r="N26" s="4"/>
      <c r="O26" s="4"/>
      <c r="P26" s="4"/>
      <c r="Q26" s="4"/>
      <c r="R26" s="4"/>
    </row>
    <row r="27" spans="7:24" x14ac:dyDescent="0.25">
      <c r="N27" s="4"/>
      <c r="O27" s="4"/>
      <c r="P27" s="4"/>
      <c r="Q27" s="4"/>
      <c r="R27" s="4"/>
    </row>
    <row r="28" spans="7:24" x14ac:dyDescent="0.25">
      <c r="N28" s="4"/>
      <c r="O28" s="4"/>
      <c r="P28" s="4"/>
      <c r="Q28" s="4"/>
      <c r="R28" s="4"/>
    </row>
    <row r="29" spans="7:24" x14ac:dyDescent="0.25">
      <c r="N29" s="4"/>
      <c r="O29" s="4"/>
      <c r="P29" s="4"/>
      <c r="Q29" s="4"/>
      <c r="R29" s="4"/>
    </row>
    <row r="30" spans="7:24" x14ac:dyDescent="0.25">
      <c r="N30" s="4"/>
      <c r="O30" s="4"/>
      <c r="P30" s="4"/>
      <c r="Q30" s="4"/>
      <c r="R30" s="4"/>
    </row>
    <row r="31" spans="7:24" x14ac:dyDescent="0.25">
      <c r="N31" s="4"/>
      <c r="O31" s="4"/>
      <c r="P31" s="4"/>
      <c r="Q31" s="4"/>
      <c r="R31" s="4"/>
    </row>
    <row r="32" spans="7:24" x14ac:dyDescent="0.25">
      <c r="N32" s="4"/>
      <c r="O32" s="4"/>
      <c r="P32" s="4"/>
      <c r="Q32" s="4"/>
      <c r="R32" s="4"/>
    </row>
    <row r="33" spans="6:18" x14ac:dyDescent="0.25">
      <c r="N33" s="4"/>
      <c r="O33" s="4"/>
      <c r="P33" s="4"/>
      <c r="Q33" s="4"/>
      <c r="R33" s="4"/>
    </row>
    <row r="34" spans="6:18" x14ac:dyDescent="0.25">
      <c r="N34" s="4"/>
      <c r="O34" s="4"/>
      <c r="P34" s="4"/>
      <c r="Q34" s="4"/>
      <c r="R34" s="4"/>
    </row>
    <row r="35" spans="6:18" x14ac:dyDescent="0.25">
      <c r="N35" s="4"/>
      <c r="O35" s="4"/>
      <c r="P35" s="4"/>
      <c r="Q35" s="4"/>
      <c r="R35" s="4"/>
    </row>
    <row r="36" spans="6:18" x14ac:dyDescent="0.25">
      <c r="N36" s="4"/>
      <c r="O36" s="4"/>
      <c r="P36" s="4"/>
      <c r="Q36" s="4"/>
      <c r="R36" s="4"/>
    </row>
    <row r="39" spans="6:18" x14ac:dyDescent="0.25">
      <c r="F39"/>
    </row>
    <row r="40" spans="6:18" x14ac:dyDescent="0.25">
      <c r="F40"/>
    </row>
    <row r="41" spans="6:18" x14ac:dyDescent="0.25">
      <c r="F41"/>
    </row>
    <row r="42" spans="6:18" x14ac:dyDescent="0.25">
      <c r="F42"/>
    </row>
    <row r="43" spans="6:18" x14ac:dyDescent="0.25">
      <c r="F43"/>
    </row>
    <row r="44" spans="6:18" x14ac:dyDescent="0.25">
      <c r="F44"/>
    </row>
    <row r="45" spans="6:18" x14ac:dyDescent="0.25">
      <c r="F45"/>
    </row>
    <row r="46" spans="6:18" x14ac:dyDescent="0.25">
      <c r="F46"/>
    </row>
    <row r="47" spans="6:18" x14ac:dyDescent="0.25">
      <c r="F47"/>
    </row>
    <row r="48" spans="6:18" x14ac:dyDescent="0.25">
      <c r="F48"/>
    </row>
    <row r="49" spans="6:6" x14ac:dyDescent="0.25">
      <c r="F49"/>
    </row>
    <row r="50" spans="6:6" x14ac:dyDescent="0.25">
      <c r="F50"/>
    </row>
  </sheetData>
  <mergeCells count="3">
    <mergeCell ref="N2:O2"/>
    <mergeCell ref="B2:C2"/>
    <mergeCell ref="I2:J2"/>
  </mergeCells>
  <conditionalFormatting sqref="J3">
    <cfRule type="cellIs" dxfId="2" priority="5" operator="equal">
      <formula>"OK"</formula>
    </cfRule>
    <cfRule type="cellIs" dxfId="1" priority="6" operator="equal">
      <formula>"NÃO"</formula>
    </cfRule>
  </conditionalFormatting>
  <conditionalFormatting sqref="Q1:Q1048576">
    <cfRule type="duplicateValues" dxfId="0" priority="1"/>
  </conditionalFormatting>
  <hyperlinks>
    <hyperlink ref="X18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K11"/>
  <sheetViews>
    <sheetView showGridLines="0" topLeftCell="F1" workbookViewId="0">
      <selection activeCell="G11" sqref="G11:K11"/>
    </sheetView>
  </sheetViews>
  <sheetFormatPr defaultRowHeight="15" x14ac:dyDescent="0.25"/>
  <cols>
    <col min="1" max="1" width="20.28515625" bestFit="1" customWidth="1"/>
    <col min="2" max="2" width="18.5703125" bestFit="1" customWidth="1"/>
    <col min="3" max="3" width="23.5703125" bestFit="1" customWidth="1"/>
    <col min="4" max="4" width="51.5703125" bestFit="1" customWidth="1"/>
    <col min="5" max="5" width="42.42578125" bestFit="1" customWidth="1"/>
    <col min="7" max="7" width="16" bestFit="1" customWidth="1"/>
    <col min="8" max="8" width="17.85546875" bestFit="1" customWidth="1"/>
    <col min="9" max="9" width="23.5703125" bestFit="1" customWidth="1"/>
    <col min="10" max="10" width="51.5703125" bestFit="1" customWidth="1"/>
    <col min="11" max="11" width="42.42578125" bestFit="1" customWidth="1"/>
  </cols>
  <sheetData>
    <row r="2" spans="1:11" ht="15.75" x14ac:dyDescent="0.25">
      <c r="A2" s="9" t="s">
        <v>13</v>
      </c>
      <c r="B2" s="9"/>
      <c r="C2" s="2"/>
      <c r="D2" s="2"/>
      <c r="E2" s="2"/>
      <c r="G2" s="25" t="s">
        <v>13</v>
      </c>
      <c r="H2" s="26"/>
      <c r="I2" s="17"/>
      <c r="J2" s="17"/>
      <c r="K2" s="17"/>
    </row>
    <row r="3" spans="1:11" ht="15.75" x14ac:dyDescent="0.25">
      <c r="A3" s="10" t="s">
        <v>2</v>
      </c>
      <c r="B3" s="10" t="s">
        <v>3</v>
      </c>
      <c r="C3" s="10" t="s">
        <v>4</v>
      </c>
      <c r="D3" s="10" t="s">
        <v>31</v>
      </c>
      <c r="E3" s="10" t="s">
        <v>6</v>
      </c>
      <c r="G3" s="18" t="s">
        <v>2</v>
      </c>
      <c r="H3" s="18" t="s">
        <v>3</v>
      </c>
      <c r="I3" s="18" t="s">
        <v>4</v>
      </c>
      <c r="J3" s="18" t="s">
        <v>31</v>
      </c>
      <c r="K3" s="18" t="s">
        <v>6</v>
      </c>
    </row>
    <row r="4" spans="1:11" x14ac:dyDescent="0.25">
      <c r="A4" s="4" t="s">
        <v>14</v>
      </c>
      <c r="B4" s="4" t="s">
        <v>15</v>
      </c>
      <c r="C4" s="4" t="s">
        <v>16</v>
      </c>
      <c r="D4" s="4" t="str">
        <f t="shared" ref="D4" si="0">A4&amp;B4&amp;C4</f>
        <v>Retenção FibraAplicação de OfertaCliente inadimplente - Fibra</v>
      </c>
      <c r="E4" s="4" t="s">
        <v>17</v>
      </c>
      <c r="G4" s="4" t="s">
        <v>14</v>
      </c>
      <c r="H4" s="4" t="s">
        <v>15</v>
      </c>
      <c r="I4" s="4" t="s">
        <v>16</v>
      </c>
      <c r="J4" s="4" t="str">
        <f t="shared" ref="J4:J11" si="1">G4&amp;H4&amp;I4</f>
        <v>Retenção FibraAplicação de OfertaCliente inadimplente - Fibra</v>
      </c>
      <c r="K4" s="4" t="s">
        <v>17</v>
      </c>
    </row>
    <row r="5" spans="1:11" x14ac:dyDescent="0.25">
      <c r="A5" s="4" t="s">
        <v>18</v>
      </c>
      <c r="B5" s="12" t="s">
        <v>21</v>
      </c>
      <c r="C5" s="12" t="s">
        <v>21</v>
      </c>
      <c r="D5" s="4" t="str">
        <f>A5</f>
        <v>RET INVOL OI TOTAL</v>
      </c>
      <c r="E5" s="4" t="s">
        <v>19</v>
      </c>
      <c r="G5" s="4" t="s">
        <v>18</v>
      </c>
      <c r="H5" s="4" t="s">
        <v>46</v>
      </c>
      <c r="I5" s="4" t="s">
        <v>47</v>
      </c>
      <c r="J5" s="4" t="str">
        <f t="shared" si="1"/>
        <v>RET INVOL OI TOTALAPLICAÇÃO DE OFERTAINSTALAR OFERTA</v>
      </c>
      <c r="K5" s="4" t="s">
        <v>19</v>
      </c>
    </row>
    <row r="6" spans="1:11" x14ac:dyDescent="0.25">
      <c r="A6" s="4" t="s">
        <v>14</v>
      </c>
      <c r="B6" s="4" t="s">
        <v>24</v>
      </c>
      <c r="C6" s="12" t="s">
        <v>21</v>
      </c>
      <c r="D6" s="4" t="str">
        <f>A6&amp;B6</f>
        <v>Retenção FibraCancelamento</v>
      </c>
      <c r="E6" s="4" t="s">
        <v>30</v>
      </c>
      <c r="G6" s="4" t="s">
        <v>14</v>
      </c>
      <c r="H6" s="4" t="s">
        <v>36</v>
      </c>
      <c r="I6" s="4" t="s">
        <v>37</v>
      </c>
      <c r="J6" s="4" t="str">
        <f t="shared" si="1"/>
        <v>Retenção FibraCancelamento FIBRAPossui flag inadimplência</v>
      </c>
      <c r="K6" s="4" t="s">
        <v>30</v>
      </c>
    </row>
    <row r="7" spans="1:11" x14ac:dyDescent="0.25">
      <c r="A7" s="4" t="s">
        <v>14</v>
      </c>
      <c r="B7" s="4" t="s">
        <v>25</v>
      </c>
      <c r="C7" s="12" t="s">
        <v>21</v>
      </c>
      <c r="D7" s="4" t="str">
        <f>A7&amp;B7</f>
        <v>Retenção FibraCancelamento Fibra</v>
      </c>
      <c r="E7" s="4" t="s">
        <v>30</v>
      </c>
      <c r="G7" s="4" t="s">
        <v>14</v>
      </c>
      <c r="H7" s="4" t="s">
        <v>24</v>
      </c>
      <c r="I7" s="4" t="s">
        <v>42</v>
      </c>
      <c r="J7" s="4" t="str">
        <f t="shared" si="1"/>
        <v>Retenção FibraCancelamentoEmissão Voucher/OPL</v>
      </c>
      <c r="K7" s="4" t="s">
        <v>30</v>
      </c>
    </row>
    <row r="8" spans="1:11" x14ac:dyDescent="0.25">
      <c r="A8" s="4" t="s">
        <v>14</v>
      </c>
      <c r="B8" s="4" t="s">
        <v>28</v>
      </c>
      <c r="C8" s="12" t="s">
        <v>21</v>
      </c>
      <c r="D8" s="4" t="str">
        <f>A8</f>
        <v>Retenção Fibra</v>
      </c>
      <c r="E8" s="4" t="s">
        <v>26</v>
      </c>
      <c r="G8" s="4" t="s">
        <v>14</v>
      </c>
      <c r="H8" s="4" t="s">
        <v>24</v>
      </c>
      <c r="I8" s="4" t="s">
        <v>43</v>
      </c>
      <c r="J8" s="4" t="str">
        <f t="shared" si="1"/>
        <v>Retenção FibraCancelamentoRecolhimento aparelho</v>
      </c>
      <c r="K8" s="4" t="s">
        <v>30</v>
      </c>
    </row>
    <row r="9" spans="1:11" x14ac:dyDescent="0.25">
      <c r="A9" s="4" t="s">
        <v>14</v>
      </c>
      <c r="B9" s="4" t="s">
        <v>29</v>
      </c>
      <c r="C9" s="12" t="s">
        <v>21</v>
      </c>
      <c r="D9" s="4" t="str">
        <f t="shared" ref="D9:D11" si="2">A9</f>
        <v>Retenção Fibra</v>
      </c>
      <c r="E9" s="4" t="s">
        <v>26</v>
      </c>
      <c r="G9" s="4" t="s">
        <v>14</v>
      </c>
      <c r="H9" s="4" t="s">
        <v>44</v>
      </c>
      <c r="I9" s="4" t="s">
        <v>45</v>
      </c>
      <c r="J9" s="4" t="str">
        <f t="shared" si="1"/>
        <v>Retenção FibraDowngrade CHATDowngrade Fibra</v>
      </c>
      <c r="K9" s="4" t="s">
        <v>26</v>
      </c>
    </row>
    <row r="10" spans="1:11" x14ac:dyDescent="0.25">
      <c r="A10" s="4" t="s">
        <v>5</v>
      </c>
      <c r="B10" s="4" t="s">
        <v>28</v>
      </c>
      <c r="C10" s="12" t="s">
        <v>21</v>
      </c>
      <c r="D10" s="4" t="str">
        <f t="shared" si="2"/>
        <v>Portabilidade</v>
      </c>
      <c r="E10" s="4" t="s">
        <v>26</v>
      </c>
      <c r="G10" s="4" t="s">
        <v>14</v>
      </c>
      <c r="H10" s="4" t="s">
        <v>38</v>
      </c>
      <c r="I10" s="4" t="s">
        <v>39</v>
      </c>
      <c r="J10" s="4" t="str">
        <f t="shared" si="1"/>
        <v>Retenção FibraAplicação de ofertaCampanha Indisponível</v>
      </c>
      <c r="K10" s="4" t="s">
        <v>26</v>
      </c>
    </row>
    <row r="11" spans="1:11" x14ac:dyDescent="0.25">
      <c r="A11" s="4" t="s">
        <v>5</v>
      </c>
      <c r="B11" s="4" t="s">
        <v>29</v>
      </c>
      <c r="C11" s="12" t="s">
        <v>21</v>
      </c>
      <c r="D11" s="4" t="str">
        <f t="shared" si="2"/>
        <v>Portabilidade</v>
      </c>
      <c r="E11" s="4" t="s">
        <v>26</v>
      </c>
      <c r="G11" s="4" t="s">
        <v>14</v>
      </c>
      <c r="H11" s="4" t="s">
        <v>40</v>
      </c>
      <c r="I11" s="4" t="s">
        <v>41</v>
      </c>
      <c r="J11" s="4" t="str">
        <f t="shared" si="1"/>
        <v>Retenção FibraMUA Fora do ARRealizar agendamento</v>
      </c>
      <c r="K11" s="4" t="s">
        <v>26</v>
      </c>
    </row>
  </sheetData>
  <mergeCells count="1">
    <mergeCell ref="G2:H2"/>
  </mergeCells>
  <conditionalFormatting sqref="J2:J11">
    <cfRule type="duplicateValues" dxfId="3" priority="1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Gerador</vt:lpstr>
      <vt:lpstr>Gerador_New</vt:lpstr>
      <vt:lpstr>Categorização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Ruber Paulo Maffra Junior</dc:creator>
  <cp:lastModifiedBy>BethArley</cp:lastModifiedBy>
  <dcterms:created xsi:type="dcterms:W3CDTF">2020-09-16T16:36:52Z</dcterms:created>
  <dcterms:modified xsi:type="dcterms:W3CDTF">2021-09-07T20:11:01Z</dcterms:modified>
</cp:coreProperties>
</file>