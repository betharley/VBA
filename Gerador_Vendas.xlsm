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BethArley\Desktop\"/>
    </mc:Choice>
  </mc:AlternateContent>
  <bookViews>
    <workbookView xWindow="0" yWindow="0" windowWidth="20490" windowHeight="7755"/>
  </bookViews>
  <sheets>
    <sheet name="Plan1" sheetId="1" r:id="rId1"/>
  </sheets>
  <definedNames>
    <definedName name="_xlnm._FilterDatabase" localSheetId="0" hidden="1">Plan1!$A$1:$BD$49</definedName>
    <definedName name="DataNascimentoResponsavelInstalacao48">Plan1!#REF!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U2" i="1" l="1"/>
  <c r="AV2" i="1"/>
  <c r="AW2" i="1"/>
  <c r="AX2" i="1"/>
  <c r="AY2" i="1"/>
  <c r="AZ2" i="1"/>
  <c r="BA2" i="1"/>
  <c r="BB2" i="1"/>
  <c r="BC2" i="1"/>
  <c r="BD2" i="1"/>
  <c r="BE2" i="1"/>
  <c r="BF2" i="1"/>
  <c r="BG2" i="1"/>
  <c r="BH2" i="1"/>
  <c r="BI2" i="1"/>
  <c r="BJ2" i="1"/>
  <c r="BK2" i="1"/>
  <c r="BL2" i="1"/>
  <c r="BM2" i="1"/>
  <c r="BN2" i="1"/>
  <c r="BO2" i="1"/>
  <c r="BP2" i="1"/>
  <c r="BQ2" i="1"/>
  <c r="BR2" i="1"/>
  <c r="BS2" i="1"/>
  <c r="BT2" i="1"/>
  <c r="BU2" i="1"/>
  <c r="BV2" i="1"/>
  <c r="BW2" i="1"/>
  <c r="BX2" i="1"/>
  <c r="BY2" i="1"/>
  <c r="BZ2" i="1"/>
  <c r="CA2" i="1"/>
  <c r="CB2" i="1"/>
  <c r="CC2" i="1"/>
  <c r="CD2" i="1"/>
  <c r="CE2" i="1"/>
  <c r="CF2" i="1"/>
  <c r="CG2" i="1"/>
  <c r="CH2" i="1"/>
  <c r="CI2" i="1"/>
  <c r="CJ2" i="1"/>
  <c r="CK2" i="1"/>
  <c r="CL2" i="1"/>
  <c r="AT2" i="1"/>
  <c r="R4" i="1" l="1"/>
  <c r="R3" i="1" l="1"/>
</calcChain>
</file>

<file path=xl/sharedStrings.xml><?xml version="1.0" encoding="utf-8"?>
<sst xmlns="http://schemas.openxmlformats.org/spreadsheetml/2006/main" count="260" uniqueCount="191">
  <si>
    <t>Locais de Rede</t>
  </si>
  <si>
    <t>FORMATO SAIDA</t>
  </si>
  <si>
    <t>.xlsx</t>
  </si>
  <si>
    <t>FORMATO ENTRADA</t>
  </si>
  <si>
    <t>URL_REDE_BACKUP</t>
  </si>
  <si>
    <t>URL_REDE_BASE</t>
  </si>
  <si>
    <t>Qnt</t>
  </si>
  <si>
    <t>L</t>
  </si>
  <si>
    <t>IdProtocolo</t>
  </si>
  <si>
    <t>Codigo</t>
  </si>
  <si>
    <t>Data Cadastro</t>
  </si>
  <si>
    <t>Usuario Cadastro</t>
  </si>
  <si>
    <t>Fase Atual</t>
  </si>
  <si>
    <t>Data Fase Atual</t>
  </si>
  <si>
    <t>UltimoUsuarioTratando</t>
  </si>
  <si>
    <t>FaseTratamento</t>
  </si>
  <si>
    <t>UsuarioTratamento</t>
  </si>
  <si>
    <t>DataTratamentoFase</t>
  </si>
  <si>
    <t>Data de Nascimento</t>
  </si>
  <si>
    <t>CPF</t>
  </si>
  <si>
    <t>UF</t>
  </si>
  <si>
    <t>Nome da Mãe</t>
  </si>
  <si>
    <t>Nome</t>
  </si>
  <si>
    <t>Município</t>
  </si>
  <si>
    <t>Endereço</t>
  </si>
  <si>
    <t>Número</t>
  </si>
  <si>
    <t>CEP</t>
  </si>
  <si>
    <t>Bairro</t>
  </si>
  <si>
    <t>Ponto de Referência</t>
  </si>
  <si>
    <t>Tipo Complemento 1</t>
  </si>
  <si>
    <t>Complemento 1</t>
  </si>
  <si>
    <t>Tipo Complemento 2</t>
  </si>
  <si>
    <t>Complemento 2</t>
  </si>
  <si>
    <t>Tipo Complemento 3</t>
  </si>
  <si>
    <t>Complemento 3</t>
  </si>
  <si>
    <t>Telefone 1</t>
  </si>
  <si>
    <t>Telefone 2</t>
  </si>
  <si>
    <t>E-mail</t>
  </si>
  <si>
    <t>Nome do Vendedor</t>
  </si>
  <si>
    <t>E-mail do Vendedor</t>
  </si>
  <si>
    <t>Telefone móvel de contato</t>
  </si>
  <si>
    <t>Código SAP do PDV</t>
  </si>
  <si>
    <t>Canal</t>
  </si>
  <si>
    <t>Anexo</t>
  </si>
  <si>
    <t>Anexo - Tratamento</t>
  </si>
  <si>
    <t>OS Siebel 8 - Venda</t>
  </si>
  <si>
    <t>ANALISAR Colunas Pelo Titulo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</si>
  <si>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</si>
  <si>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</si>
  <si>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</si>
  <si>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</si>
  <si>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</si>
  <si>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</si>
  <si>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</si>
  <si>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</si>
  <si>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</si>
  <si>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</si>
  <si>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</si>
  <si>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</si>
  <si>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R</t>
  </si>
  <si>
    <t>T</t>
  </si>
  <si>
    <t>N</t>
  </si>
  <si>
    <t>O</t>
  </si>
  <si>
    <t>P</t>
  </si>
  <si>
    <t>Q</t>
  </si>
  <si>
    <t>S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</si>
  <si>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</si>
  <si>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</si>
  <si>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</si>
  <si>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</si>
  <si>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</si>
  <si>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</si>
  <si>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</si>
  <si>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</si>
  <si>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</si>
  <si>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</si>
  <si>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</si>
  <si>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</si>
  <si>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</si>
  <si>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</si>
  <si>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</si>
  <si>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</si>
  <si>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</si>
  <si>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</si>
  <si>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</si>
  <si>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</si>
  <si>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</si>
  <si>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</si>
  <si>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</si>
  <si>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</si>
  <si>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</si>
  <si>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</si>
  <si>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Coluna</t>
  </si>
  <si>
    <t>Letra</t>
  </si>
  <si>
    <t/>
  </si>
  <si>
    <t>Nome do banco</t>
  </si>
  <si>
    <t>Pontos Adicionais Grátis</t>
  </si>
  <si>
    <t>Telefone Fixo</t>
  </si>
  <si>
    <t>Tipo Portabilidade</t>
  </si>
  <si>
    <t>Pontos Adicionais Pagos</t>
  </si>
  <si>
    <t>Cód. agência bancária</t>
  </si>
  <si>
    <t>Haverá migração para plano  de TV + Banda Larga?</t>
  </si>
  <si>
    <t>Portabilidade</t>
  </si>
  <si>
    <t>Nº conta corrente</t>
  </si>
  <si>
    <t>Ponto Adicional</t>
  </si>
  <si>
    <t>Tipo Documento</t>
  </si>
  <si>
    <t>Velocidade Fibra</t>
  </si>
  <si>
    <t>Nº Documento</t>
  </si>
  <si>
    <t>Nova Aquisição?</t>
  </si>
  <si>
    <t>Sexo</t>
  </si>
  <si>
    <t>Ocupação</t>
  </si>
  <si>
    <t>Estado Civil</t>
  </si>
  <si>
    <t>Telefone 3</t>
  </si>
  <si>
    <t>Telefone Residencial</t>
  </si>
  <si>
    <t>Telefone Celular</t>
  </si>
  <si>
    <t>Possui Fixo</t>
  </si>
  <si>
    <t>Deseja comprar VOIP?</t>
  </si>
  <si>
    <t>Deseja comprar Banda Larga Fibra?</t>
  </si>
  <si>
    <t>Deseja comprar TV Fibra?</t>
  </si>
  <si>
    <t>Plano</t>
  </si>
  <si>
    <t>Campanha</t>
  </si>
  <si>
    <t>Oferta</t>
  </si>
  <si>
    <t>Tipo Pacote</t>
  </si>
  <si>
    <t>Pagamento</t>
  </si>
  <si>
    <t>Data Vencimento</t>
  </si>
  <si>
    <t>Agendamento 1</t>
  </si>
  <si>
    <t>Período Agendamento 1</t>
  </si>
  <si>
    <t>Agendamento 2</t>
  </si>
  <si>
    <t>Período Agendamento 2</t>
  </si>
  <si>
    <t>Agendamento 3</t>
  </si>
  <si>
    <t>Período Agendamento 3</t>
  </si>
  <si>
    <t>Login Vendedor</t>
  </si>
  <si>
    <t>Já auditado</t>
  </si>
  <si>
    <t>Data do Agendamento - Tratamento</t>
  </si>
  <si>
    <t>Motivo - DC - Tratamento</t>
  </si>
  <si>
    <t>Número ARS - Tratamento</t>
  </si>
  <si>
    <t>OS Siebel 8 - Tratamento</t>
  </si>
  <si>
    <t>Periodo (manhã, tarde e noite) - Tratamento</t>
  </si>
  <si>
    <t>AU</t>
  </si>
  <si>
    <t>AV</t>
  </si>
  <si>
    <t>AW</t>
  </si>
  <si>
    <t>AX</t>
  </si>
  <si>
    <t>AY</t>
  </si>
  <si>
    <t>AZ</t>
  </si>
  <si>
    <t>BA</t>
  </si>
  <si>
    <t>BB</t>
  </si>
  <si>
    <t>BC</t>
  </si>
  <si>
    <t>BD</t>
  </si>
  <si>
    <t>BE</t>
  </si>
  <si>
    <t>BF</t>
  </si>
  <si>
    <t>BG</t>
  </si>
  <si>
    <t>BH</t>
  </si>
  <si>
    <t>BI</t>
  </si>
  <si>
    <t>BJ</t>
  </si>
  <si>
    <t>BK</t>
  </si>
  <si>
    <t>BL</t>
  </si>
  <si>
    <t>BM</t>
  </si>
  <si>
    <t>BN</t>
  </si>
  <si>
    <t>BO</t>
  </si>
  <si>
    <t>BP</t>
  </si>
  <si>
    <t>BQ</t>
  </si>
  <si>
    <t>BR</t>
  </si>
  <si>
    <t>BS</t>
  </si>
  <si>
    <t>BT</t>
  </si>
  <si>
    <t>BU</t>
  </si>
  <si>
    <t>BV</t>
  </si>
  <si>
    <t>BW</t>
  </si>
  <si>
    <t>BX</t>
  </si>
  <si>
    <t>BY</t>
  </si>
  <si>
    <t>BZ</t>
  </si>
  <si>
    <t>CA</t>
  </si>
  <si>
    <t>CB</t>
  </si>
  <si>
    <t>CC</t>
  </si>
  <si>
    <t>BO HOTLINE EZCONET FIBRA SP</t>
  </si>
  <si>
    <t>MAILINGS</t>
  </si>
  <si>
    <t>BRUNNA BARRETO ANDRADE</t>
  </si>
  <si>
    <t>EMANUEL DE NARZARE PINHEIRO LIMA</t>
  </si>
  <si>
    <t>RODRIGO MARQUES DA SILVA</t>
  </si>
  <si>
    <t>WESLEY HEINRICH CORDEIRO BATISTA</t>
  </si>
  <si>
    <t>MAILING CONTIGENCIA 360</t>
  </si>
  <si>
    <t>Admin</t>
  </si>
  <si>
    <t>CONTINGENCIA 360</t>
  </si>
  <si>
    <t>MAILING</t>
  </si>
  <si>
    <t>VAZIO (em branco)</t>
  </si>
  <si>
    <t>ORDENA AS COLUNAS CONFORME ABAIXO</t>
  </si>
  <si>
    <t>RETIRAR</t>
  </si>
  <si>
    <t>COLUNA D</t>
  </si>
  <si>
    <t>COLUNA M</t>
  </si>
  <si>
    <t>BASE_VENDAS.xlsx</t>
  </si>
  <si>
    <t>NOME da BASE</t>
  </si>
  <si>
    <t>SITUACAO 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</si>
</sst>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>
    <font>
      <sz val="11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theme="0"/>
      <name val="Arial"/>
      <family val="2"/>
    </font>
    <font>
      <sz val="10"/>
      <color theme="1"/>
      <name val="Calibri"/>
      <family val="2"/>
      <scheme val="minor"/>
    </font>
    <font>
      <b/>
      <sz val="10"/>
      <color theme="0"/>
      <name val="Simplon BP Light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9"/>
      <color theme="0"/>
      <name val="Simplon BP Light"/>
    </font>
    <font>
      <b/>
      <sz val="9"/>
      <color theme="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 tint="0.249977111117893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dashDotDot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dashDotDot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ashDotDot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1" fillId="4" borderId="0" xfId="0" applyFont="1" applyFill="1" applyBorder="1" applyAlignment="1">
      <alignment horizontal="center" vertical="center"/>
    </xf>
    <xf numFmtId="0" fontId="2" fillId="7" borderId="12" xfId="0" applyFont="1" applyFill="1" applyBorder="1" applyAlignment="1"/>
    <xf numFmtId="0" fontId="2" fillId="6" borderId="4" xfId="0" applyFont="1" applyFill="1" applyBorder="1" applyAlignment="1"/>
    <xf numFmtId="0" fontId="3" fillId="0" borderId="0" xfId="0" applyFont="1"/>
    <xf numFmtId="0" fontId="2" fillId="7" borderId="5" xfId="0" applyFont="1" applyFill="1" applyBorder="1" applyAlignment="1"/>
    <xf numFmtId="0" fontId="2" fillId="6" borderId="5" xfId="0" applyFont="1" applyFill="1" applyBorder="1" applyAlignment="1"/>
    <xf numFmtId="0" fontId="4" fillId="8" borderId="6" xfId="0" applyFont="1" applyFill="1" applyBorder="1"/>
    <xf numFmtId="0" fontId="4" fillId="8" borderId="7" xfId="0" applyFont="1" applyFill="1" applyBorder="1"/>
    <xf numFmtId="0" fontId="4" fillId="8" borderId="8" xfId="0" applyFont="1" applyFill="1" applyBorder="1"/>
    <xf numFmtId="0" fontId="4" fillId="7" borderId="13" xfId="0" applyFont="1" applyFill="1" applyBorder="1" applyAlignment="1"/>
    <xf numFmtId="0" fontId="4" fillId="7" borderId="8" xfId="0" applyFont="1" applyFill="1" applyBorder="1" applyAlignment="1"/>
    <xf numFmtId="0" fontId="2" fillId="6" borderId="6" xfId="0" applyFont="1" applyFill="1" applyBorder="1" applyAlignment="1"/>
    <xf numFmtId="0" fontId="2" fillId="6" borderId="8" xfId="0" applyFont="1" applyFill="1" applyBorder="1" applyAlignment="1"/>
    <xf numFmtId="0" fontId="5" fillId="0" borderId="2" xfId="0" applyFont="1" applyBorder="1"/>
    <xf numFmtId="0" fontId="3" fillId="0" borderId="1" xfId="0" applyFont="1" applyBorder="1"/>
    <xf numFmtId="0" fontId="3" fillId="0" borderId="6" xfId="0" applyNumberFormat="1" applyFont="1" applyBorder="1" applyAlignment="1" applyProtection="1">
      <alignment horizontal="center" vertical="center"/>
    </xf>
    <xf numFmtId="0" fontId="3" fillId="0" borderId="7" xfId="0" applyNumberFormat="1" applyFont="1" applyBorder="1" applyAlignment="1" applyProtection="1">
      <alignment horizontal="center" vertical="center"/>
    </xf>
    <xf numFmtId="0" fontId="3" fillId="0" borderId="8" xfId="0" applyNumberFormat="1" applyFont="1" applyBorder="1" applyAlignment="1" applyProtection="1">
      <alignment horizontal="left" vertical="center"/>
    </xf>
    <xf numFmtId="0" fontId="3" fillId="0" borderId="13" xfId="0" applyFont="1" applyBorder="1"/>
    <xf numFmtId="0" fontId="3" fillId="0" borderId="8" xfId="0" applyFont="1" applyBorder="1"/>
    <xf numFmtId="0" fontId="3" fillId="0" borderId="6" xfId="0" applyFont="1" applyBorder="1"/>
    <xf numFmtId="14" fontId="3" fillId="0" borderId="0" xfId="0" applyNumberFormat="1" applyFont="1"/>
    <xf numFmtId="0" fontId="3" fillId="0" borderId="14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0" xfId="0" applyNumberFormat="1" applyFont="1" applyProtection="1"/>
    <xf numFmtId="0" fontId="3" fillId="0" borderId="9" xfId="0" applyNumberFormat="1" applyFont="1" applyBorder="1" applyAlignment="1" applyProtection="1">
      <alignment horizontal="center" vertical="center"/>
    </xf>
    <xf numFmtId="0" fontId="3" fillId="0" borderId="10" xfId="0" applyNumberFormat="1" applyFont="1" applyBorder="1" applyAlignment="1" applyProtection="1">
      <alignment horizontal="center" vertical="center"/>
    </xf>
    <xf numFmtId="0" fontId="3" fillId="0" borderId="11" xfId="0" applyNumberFormat="1" applyFont="1" applyBorder="1" applyAlignment="1" applyProtection="1">
      <alignment horizontal="left" vertical="center"/>
    </xf>
    <xf numFmtId="0" fontId="2" fillId="6" borderId="12" xfId="0" applyFont="1" applyFill="1" applyBorder="1" applyAlignment="1"/>
    <xf numFmtId="0" fontId="2" fillId="6" borderId="13" xfId="0" applyFont="1" applyFill="1" applyBorder="1" applyAlignment="1"/>
    <xf numFmtId="0" fontId="2" fillId="6" borderId="15" xfId="0" applyFont="1" applyFill="1" applyBorder="1" applyAlignment="1"/>
    <xf numFmtId="0" fontId="2" fillId="6" borderId="16" xfId="0" applyFont="1" applyFill="1" applyBorder="1" applyAlignment="1"/>
    <xf numFmtId="0" fontId="3" fillId="0" borderId="16" xfId="0" applyFont="1" applyBorder="1"/>
    <xf numFmtId="0" fontId="3" fillId="0" borderId="17" xfId="0" applyFont="1" applyBorder="1"/>
    <xf numFmtId="0" fontId="4" fillId="3" borderId="20" xfId="0" applyFont="1" applyFill="1" applyBorder="1" applyAlignment="1">
      <alignment horizontal="center" vertical="center"/>
    </xf>
    <xf numFmtId="0" fontId="6" fillId="5" borderId="13" xfId="0" applyFont="1" applyFill="1" applyBorder="1"/>
    <xf numFmtId="0" fontId="4" fillId="8" borderId="6" xfId="0" applyFont="1" applyFill="1" applyBorder="1" applyAlignment="1">
      <alignment horizontal="center" vertical="center"/>
    </xf>
    <xf numFmtId="0" fontId="7" fillId="8" borderId="6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4" fillId="3" borderId="18" xfId="0" applyFont="1" applyFill="1" applyBorder="1" applyAlignment="1">
      <alignment horizontal="center"/>
    </xf>
    <xf numFmtId="0" fontId="4" fillId="3" borderId="19" xfId="0" applyFont="1" applyFill="1" applyBorder="1" applyAlignment="1">
      <alignment horizontal="center"/>
    </xf>
    <xf numFmtId="0" fontId="2" fillId="4" borderId="21" xfId="0" applyFont="1" applyFill="1" applyBorder="1" applyAlignment="1">
      <alignment horizontal="center"/>
    </xf>
    <xf numFmtId="0" fontId="2" fillId="4" borderId="22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8" fillId="7" borderId="23" xfId="0" applyFont="1" applyFill="1" applyBorder="1" applyAlignment="1">
      <alignment horizontal="left"/>
    </xf>
    <xf numFmtId="0" fontId="8" fillId="7" borderId="24" xfId="0" applyFont="1" applyFill="1" applyBorder="1" applyAlignment="1">
      <alignment horizontal="left"/>
    </xf>
    <xf numFmtId="0" fontId="8" fillId="6" borderId="25" xfId="0" applyFont="1" applyFill="1" applyBorder="1" applyAlignment="1">
      <alignment horizontal="left"/>
    </xf>
    <xf numFmtId="0" fontId="8" fillId="6" borderId="24" xfId="0" applyFont="1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ADBF5"/>
      <color rgb="FFCDABE7"/>
      <color rgb="FFBC8EDE"/>
      <color rgb="FF9A57C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48939</xdr:colOff>
      <xdr:row>5</xdr:row>
      <xdr:rowOff>103131</xdr:rowOff>
    </xdr:from>
    <xdr:to>
      <xdr:col>1</xdr:col>
      <xdr:colOff>1038225</xdr:colOff>
      <xdr:row>9</xdr:row>
      <xdr:rowOff>123824</xdr:rowOff>
    </xdr:to>
    <xdr:sp macro="[0]!GERADOR_VENDAS" textlink="">
      <xdr:nvSpPr>
        <xdr:cNvPr id="3" name="Retângulo de cantos arredondados 2"/>
        <xdr:cNvSpPr/>
      </xdr:nvSpPr>
      <xdr:spPr>
        <a:xfrm>
          <a:off x="48939" y="1055631"/>
          <a:ext cx="2084661" cy="782693"/>
        </a:xfrm>
        <a:prstGeom prst="roundRect">
          <a:avLst/>
        </a:prstGeom>
        <a:solidFill>
          <a:schemeClr val="accent2">
            <a:lumMod val="50000"/>
          </a:schemeClr>
        </a:solidFill>
        <a:ln>
          <a:solidFill>
            <a:schemeClr val="accent6">
              <a:lumMod val="50000"/>
            </a:schemeClr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 baseline="0"/>
            <a:t>GERAR VENDAS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CM84"/>
  <sheetViews>
    <sheetView showGridLines="0" tabSelected="1" zoomScaleNormal="100" workbookViewId="0">
      <selection activeCell="A2" sqref="A2:B2"/>
    </sheetView>
  </sheetViews>
  <sheetFormatPr defaultColWidth="9.140625" defaultRowHeight="12.75"/>
  <cols>
    <col min="1" max="1" width="13.7109375" style="4" customWidth="1"/>
    <col min="2" max="2" width="17" style="4" bestFit="1" customWidth="1"/>
    <col min="3" max="3" width="10.85546875" style="4" customWidth="1"/>
    <col min="4" max="4" width="8.140625" style="4" customWidth="1"/>
    <col min="5" max="5" width="8.42578125" style="4" bestFit="1" customWidth="1"/>
    <col min="6" max="6" width="6.7109375" style="4" bestFit="1" customWidth="1"/>
    <col min="7" max="7" width="46.42578125" style="4" customWidth="1"/>
    <col min="8" max="8" width="31" style="4" bestFit="1" customWidth="1"/>
    <col min="9" max="9" width="27.42578125" style="4" customWidth="1"/>
    <col min="10" max="10" width="31" style="4" bestFit="1" customWidth="1"/>
    <col min="11" max="11" width="12.28515625" style="4" bestFit="1" customWidth="1"/>
    <col min="12" max="12" width="20" style="4" customWidth="1"/>
    <col min="13" max="13" width="24.7109375" style="4" customWidth="1"/>
    <col min="14" max="14" width="6.7109375" style="4" customWidth="1"/>
    <col min="15" max="16" width="5.5703125" style="4" customWidth="1"/>
    <col min="17" max="17" width="16" style="4" bestFit="1" customWidth="1"/>
    <col min="18" max="18" width="62.140625" style="4" customWidth="1"/>
    <col min="19" max="16384" width="9.140625" style="4"/>
  </cols>
  <sheetData>
    <row r="1" spans="1:91" ht="15" customHeight="1" thickBot="1">
      <c r="H1"/>
      <c r="I1"/>
      <c r="AS1" s="4">
        <v>1</v>
      </c>
      <c r="CM1" s="4">
        <v>2</v>
      </c>
    </row>
    <row r="2" spans="1:91" ht="15" customHeight="1">
      <c r="A2" s="42" t="s">
        <v>174</v>
      </c>
      <c r="B2" s="43"/>
      <c r="C2" s="36" t="s">
        <v>6</v>
      </c>
      <c r="E2" s="44" t="s">
        <v>184</v>
      </c>
      <c r="F2" s="45"/>
      <c r="G2" s="46"/>
      <c r="H2" s="2" t="s">
        <v>186</v>
      </c>
      <c r="I2" s="5" t="s">
        <v>182</v>
      </c>
      <c r="J2" s="3" t="s">
        <v>186</v>
      </c>
      <c r="K2" s="32" t="s">
        <v>190</v>
      </c>
      <c r="L2" s="30" t="s">
        <v>187</v>
      </c>
      <c r="M2" s="6" t="s">
        <v>182</v>
      </c>
      <c r="Q2" s="40" t="s">
        <v>0</v>
      </c>
      <c r="R2" s="41"/>
      <c r="AT2" s="4">
        <f>COLUMN(AT1)</f>
        <v>46</v>
      </c>
      <c r="AU2" s="4">
        <f t="shared" ref="AU2:CL2" si="0">COLUMN(AU1)</f>
        <v>47</v>
      </c>
      <c r="AV2" s="4">
        <f t="shared" si="0"/>
        <v>48</v>
      </c>
      <c r="AW2" s="4">
        <f t="shared" si="0"/>
        <v>49</v>
      </c>
      <c r="AX2" s="4">
        <f t="shared" si="0"/>
        <v>50</v>
      </c>
      <c r="AY2" s="4">
        <f t="shared" si="0"/>
        <v>51</v>
      </c>
      <c r="AZ2" s="4">
        <f t="shared" si="0"/>
        <v>52</v>
      </c>
      <c r="BA2" s="4">
        <f t="shared" si="0"/>
        <v>53</v>
      </c>
      <c r="BB2" s="4">
        <f t="shared" si="0"/>
        <v>54</v>
      </c>
      <c r="BC2" s="4">
        <f t="shared" si="0"/>
        <v>55</v>
      </c>
      <c r="BD2" s="4">
        <f t="shared" si="0"/>
        <v>56</v>
      </c>
      <c r="BE2" s="4">
        <f t="shared" si="0"/>
        <v>57</v>
      </c>
      <c r="BF2" s="4">
        <f t="shared" si="0"/>
        <v>58</v>
      </c>
      <c r="BG2" s="4">
        <f t="shared" si="0"/>
        <v>59</v>
      </c>
      <c r="BH2" s="4">
        <f t="shared" si="0"/>
        <v>60</v>
      </c>
      <c r="BI2" s="4">
        <f t="shared" si="0"/>
        <v>61</v>
      </c>
      <c r="BJ2" s="4">
        <f t="shared" si="0"/>
        <v>62</v>
      </c>
      <c r="BK2" s="4">
        <f t="shared" si="0"/>
        <v>63</v>
      </c>
      <c r="BL2" s="4">
        <f t="shared" si="0"/>
        <v>64</v>
      </c>
      <c r="BM2" s="4">
        <f t="shared" si="0"/>
        <v>65</v>
      </c>
      <c r="BN2" s="4">
        <f t="shared" si="0"/>
        <v>66</v>
      </c>
      <c r="BO2" s="4">
        <f t="shared" si="0"/>
        <v>67</v>
      </c>
      <c r="BP2" s="4">
        <f t="shared" si="0"/>
        <v>68</v>
      </c>
      <c r="BQ2" s="4">
        <f t="shared" si="0"/>
        <v>69</v>
      </c>
      <c r="BR2" s="4">
        <f t="shared" si="0"/>
        <v>70</v>
      </c>
      <c r="BS2" s="4">
        <f t="shared" si="0"/>
        <v>71</v>
      </c>
      <c r="BT2" s="4">
        <f t="shared" si="0"/>
        <v>72</v>
      </c>
      <c r="BU2" s="4">
        <f t="shared" si="0"/>
        <v>73</v>
      </c>
      <c r="BV2" s="4">
        <f t="shared" si="0"/>
        <v>74</v>
      </c>
      <c r="BW2" s="4">
        <f t="shared" si="0"/>
        <v>75</v>
      </c>
      <c r="BX2" s="4">
        <f t="shared" si="0"/>
        <v>76</v>
      </c>
      <c r="BY2" s="4">
        <f t="shared" si="0"/>
        <v>77</v>
      </c>
      <c r="BZ2" s="4">
        <f t="shared" si="0"/>
        <v>78</v>
      </c>
      <c r="CA2" s="4">
        <f t="shared" si="0"/>
        <v>79</v>
      </c>
      <c r="CB2" s="4">
        <f t="shared" si="0"/>
        <v>80</v>
      </c>
      <c r="CC2" s="4">
        <f t="shared" si="0"/>
        <v>81</v>
      </c>
      <c r="CD2" s="4">
        <f t="shared" si="0"/>
        <v>82</v>
      </c>
      <c r="CE2" s="4">
        <f t="shared" si="0"/>
        <v>83</v>
      </c>
      <c r="CF2" s="4">
        <f t="shared" si="0"/>
        <v>84</v>
      </c>
      <c r="CG2" s="4">
        <f t="shared" si="0"/>
        <v>85</v>
      </c>
      <c r="CH2" s="4">
        <f t="shared" si="0"/>
        <v>86</v>
      </c>
      <c r="CI2" s="4">
        <f t="shared" si="0"/>
        <v>87</v>
      </c>
      <c r="CJ2" s="4">
        <f t="shared" si="0"/>
        <v>88</v>
      </c>
      <c r="CK2" s="4">
        <f t="shared" si="0"/>
        <v>89</v>
      </c>
      <c r="CL2" s="4">
        <f t="shared" si="0"/>
        <v>90</v>
      </c>
    </row>
    <row r="3" spans="1:91" ht="15" customHeight="1">
      <c r="A3" s="47" t="s">
        <v>173</v>
      </c>
      <c r="B3" s="48"/>
      <c r="C3" s="38"/>
      <c r="E3" s="7" t="s">
        <v>92</v>
      </c>
      <c r="F3" s="8" t="s">
        <v>93</v>
      </c>
      <c r="G3" s="9" t="s">
        <v>46</v>
      </c>
      <c r="H3" s="10" t="s">
        <v>11</v>
      </c>
      <c r="I3" s="11"/>
      <c r="J3" s="12" t="s">
        <v>11</v>
      </c>
      <c r="K3" s="33"/>
      <c r="L3" s="31" t="s">
        <v>98</v>
      </c>
      <c r="M3" s="13"/>
      <c r="Q3" s="14" t="s">
        <v>5</v>
      </c>
      <c r="R3" s="15" t="str">
        <f>"\\netprd02\bo_nba_staf$\07_HOTLINE_E_CHECK_VIABILIDADE\"</f>
        <v>\\netprd02\bo_nba_staf$\07_HOTLINE_E_CHECK_VIABILIDADE\</v>
      </c>
      <c r="AT3" s="4" t="s">
        <v>91</v>
      </c>
      <c r="AU3" s="4" t="s">
        <v>138</v>
      </c>
      <c r="AV3" s="4" t="s">
        <v>139</v>
      </c>
      <c r="AW3" s="4" t="s">
        <v>140</v>
      </c>
      <c r="AX3" s="4" t="s">
        <v>141</v>
      </c>
      <c r="AY3" s="4" t="s">
        <v>142</v>
      </c>
      <c r="AZ3" s="4" t="s">
        <v>143</v>
      </c>
      <c r="BA3" s="4" t="s">
        <v>144</v>
      </c>
      <c r="BB3" s="4" t="s">
        <v>145</v>
      </c>
      <c r="BC3" s="4" t="s">
        <v>146</v>
      </c>
      <c r="BD3" s="4" t="s">
        <v>147</v>
      </c>
      <c r="BE3" s="4" t="s">
        <v>148</v>
      </c>
      <c r="BF3" s="4" t="s">
        <v>149</v>
      </c>
      <c r="BG3" s="4" t="s">
        <v>150</v>
      </c>
      <c r="BH3" s="4" t="s">
        <v>151</v>
      </c>
      <c r="BI3" s="4" t="s">
        <v>152</v>
      </c>
      <c r="BJ3" s="4" t="s">
        <v>153</v>
      </c>
      <c r="BK3" s="4" t="s">
        <v>154</v>
      </c>
      <c r="BL3" s="4" t="s">
        <v>155</v>
      </c>
      <c r="BM3" s="4" t="s">
        <v>156</v>
      </c>
      <c r="BN3" s="4" t="s">
        <v>157</v>
      </c>
      <c r="BO3" s="4" t="s">
        <v>158</v>
      </c>
      <c r="BP3" s="4" t="s">
        <v>159</v>
      </c>
      <c r="BQ3" s="4" t="s">
        <v>160</v>
      </c>
      <c r="BR3" s="4" t="s">
        <v>161</v>
      </c>
      <c r="BS3" s="4" t="s">
        <v>162</v>
      </c>
      <c r="BT3" s="4" t="s">
        <v>163</v>
      </c>
      <c r="BU3" s="4" t="s">
        <v>164</v>
      </c>
      <c r="BV3" s="4" t="s">
        <v>165</v>
      </c>
      <c r="BW3" s="4" t="s">
        <v>166</v>
      </c>
      <c r="BX3" s="4" t="s">
        <v>167</v>
      </c>
      <c r="BY3" s="4" t="s">
        <v>168</v>
      </c>
      <c r="BZ3" s="4" t="s">
        <v>169</v>
      </c>
      <c r="CA3" s="4" t="s">
        <v>170</v>
      </c>
      <c r="CB3" s="4" t="s">
        <v>171</v>
      </c>
      <c r="CC3" s="4" t="s">
        <v>172</v>
      </c>
    </row>
    <row r="4" spans="1:91" ht="15" customHeight="1">
      <c r="A4" s="49" t="s">
        <v>179</v>
      </c>
      <c r="B4" s="50"/>
      <c r="C4" s="38"/>
      <c r="E4" s="16">
        <v>1</v>
      </c>
      <c r="F4" s="17" t="s">
        <v>47</v>
      </c>
      <c r="G4" s="18" t="s">
        <v>8</v>
      </c>
      <c r="H4" s="19" t="s">
        <v>175</v>
      </c>
      <c r="I4" s="20" t="s">
        <v>173</v>
      </c>
      <c r="J4" s="21" t="s">
        <v>175</v>
      </c>
      <c r="K4" s="34" t="s">
        <v>185</v>
      </c>
      <c r="L4" s="19" t="s">
        <v>181</v>
      </c>
      <c r="M4" s="20" t="s">
        <v>179</v>
      </c>
      <c r="Q4" s="14" t="s">
        <v>4</v>
      </c>
      <c r="R4" s="15" t="str">
        <f>"\\netprd02\bo_nba_staf$\07_HOTLINE_E_CHECK_VIABILIDADE\MAILINGS\"</f>
        <v>\\netprd02\bo_nba_staf$\07_HOTLINE_E_CHECK_VIABILIDADE\MAILINGS\</v>
      </c>
    </row>
    <row r="5" spans="1:91" ht="15" customHeight="1">
      <c r="C5" s="4" t="s">
        <v>94</v>
      </c>
      <c r="E5" s="16">
        <v>2</v>
      </c>
      <c r="F5" s="17" t="s">
        <v>48</v>
      </c>
      <c r="G5" s="18" t="s">
        <v>9</v>
      </c>
      <c r="H5" s="19" t="s">
        <v>176</v>
      </c>
      <c r="I5" s="20" t="s">
        <v>173</v>
      </c>
      <c r="J5" s="21" t="s">
        <v>176</v>
      </c>
      <c r="K5" s="34" t="s">
        <v>185</v>
      </c>
      <c r="L5" s="37" t="s">
        <v>183</v>
      </c>
      <c r="M5" s="20" t="s">
        <v>179</v>
      </c>
    </row>
    <row r="6" spans="1:91" ht="15" customHeight="1">
      <c r="C6" s="4" t="s">
        <v>94</v>
      </c>
      <c r="E6" s="16">
        <v>3</v>
      </c>
      <c r="F6" s="17" t="s">
        <v>49</v>
      </c>
      <c r="G6" s="18" t="s">
        <v>10</v>
      </c>
      <c r="H6" s="19" t="s">
        <v>177</v>
      </c>
      <c r="I6" s="20" t="s">
        <v>173</v>
      </c>
      <c r="J6" s="21" t="s">
        <v>177</v>
      </c>
      <c r="K6" s="34" t="s">
        <v>185</v>
      </c>
      <c r="L6" s="19"/>
      <c r="M6" s="20"/>
    </row>
    <row r="7" spans="1:91" ht="15" customHeight="1">
      <c r="C7" s="4" t="s">
        <v>94</v>
      </c>
      <c r="E7" s="16">
        <v>4</v>
      </c>
      <c r="F7" s="17" t="s">
        <v>50</v>
      </c>
      <c r="G7" s="18" t="s">
        <v>11</v>
      </c>
      <c r="H7" s="19" t="s">
        <v>178</v>
      </c>
      <c r="I7" s="20" t="s">
        <v>173</v>
      </c>
      <c r="J7" s="21" t="s">
        <v>178</v>
      </c>
      <c r="K7" s="34" t="s">
        <v>185</v>
      </c>
      <c r="L7" s="19"/>
      <c r="M7" s="20"/>
    </row>
    <row r="8" spans="1:91" ht="15" customHeight="1">
      <c r="B8" s="22"/>
      <c r="C8" s="4" t="s">
        <v>94</v>
      </c>
      <c r="E8" s="16">
        <v>5</v>
      </c>
      <c r="F8" s="17" t="s">
        <v>51</v>
      </c>
      <c r="G8" s="18" t="s">
        <v>12</v>
      </c>
      <c r="H8" s="19"/>
      <c r="I8" s="20"/>
      <c r="J8" s="21" t="s">
        <v>180</v>
      </c>
      <c r="K8" s="34" t="s">
        <v>185</v>
      </c>
      <c r="L8" s="19"/>
      <c r="M8" s="20"/>
    </row>
    <row r="9" spans="1:91" ht="15" customHeight="1">
      <c r="C9" s="4" t="s">
        <v>94</v>
      </c>
      <c r="E9" s="16">
        <v>6</v>
      </c>
      <c r="F9" s="17" t="s">
        <v>52</v>
      </c>
      <c r="G9" s="18" t="s">
        <v>13</v>
      </c>
      <c r="H9" s="19"/>
      <c r="I9" s="20"/>
      <c r="J9" s="21"/>
      <c r="K9" s="34"/>
      <c r="L9" s="19"/>
      <c r="M9" s="20"/>
    </row>
    <row r="10" spans="1:91" ht="15" customHeight="1">
      <c r="C10" s="4" t="s">
        <v>94</v>
      </c>
      <c r="E10" s="16">
        <v>7</v>
      </c>
      <c r="F10" s="17" t="s">
        <v>53</v>
      </c>
      <c r="G10" s="18" t="s">
        <v>14</v>
      </c>
      <c r="H10" s="19"/>
      <c r="I10" s="20"/>
      <c r="J10" s="21"/>
      <c r="K10" s="34"/>
      <c r="L10" s="19"/>
      <c r="M10" s="20"/>
    </row>
    <row r="11" spans="1:91" ht="15" customHeight="1">
      <c r="C11" s="4" t="s">
        <v>94</v>
      </c>
      <c r="E11" s="16">
        <v>8</v>
      </c>
      <c r="F11" s="17" t="s">
        <v>54</v>
      </c>
      <c r="G11" s="18" t="s">
        <v>15</v>
      </c>
      <c r="H11" s="19"/>
      <c r="I11" s="20"/>
      <c r="J11" s="21"/>
      <c r="K11" s="34"/>
      <c r="L11" s="19"/>
      <c r="M11" s="20"/>
    </row>
    <row r="12" spans="1:91" ht="15" customHeight="1">
      <c r="C12" s="4" t="s">
        <v>94</v>
      </c>
      <c r="E12" s="16">
        <v>9</v>
      </c>
      <c r="F12" s="17" t="s">
        <v>55</v>
      </c>
      <c r="G12" s="18" t="s">
        <v>16</v>
      </c>
      <c r="H12" s="19"/>
      <c r="I12" s="20"/>
      <c r="J12" s="21"/>
      <c r="K12" s="34"/>
      <c r="L12" s="19"/>
      <c r="M12" s="20"/>
    </row>
    <row r="13" spans="1:91" ht="15" customHeight="1">
      <c r="C13" s="4" t="s">
        <v>94</v>
      </c>
      <c r="E13" s="16">
        <v>10</v>
      </c>
      <c r="F13" s="17" t="s">
        <v>56</v>
      </c>
      <c r="G13" s="18" t="s">
        <v>17</v>
      </c>
      <c r="H13" s="19"/>
      <c r="I13" s="20"/>
      <c r="J13" s="21"/>
      <c r="K13" s="34"/>
      <c r="L13" s="19"/>
      <c r="M13" s="20"/>
    </row>
    <row r="14" spans="1:91" ht="15" customHeight="1">
      <c r="C14" s="4" t="s">
        <v>94</v>
      </c>
      <c r="E14" s="16">
        <v>11</v>
      </c>
      <c r="F14" s="17" t="s">
        <v>57</v>
      </c>
      <c r="G14" s="18" t="s">
        <v>95</v>
      </c>
      <c r="H14" s="19"/>
      <c r="I14" s="20"/>
      <c r="J14" s="21"/>
      <c r="K14" s="34"/>
      <c r="L14" s="19"/>
      <c r="M14" s="20"/>
    </row>
    <row r="15" spans="1:91" ht="15" customHeight="1">
      <c r="A15" s="39" t="s">
        <v>189</v>
      </c>
      <c r="B15" s="1" t="s">
        <v>188</v>
      </c>
      <c r="C15" s="4" t="s">
        <v>94</v>
      </c>
      <c r="E15" s="16">
        <v>12</v>
      </c>
      <c r="F15" s="17" t="s">
        <v>7</v>
      </c>
      <c r="G15" s="18" t="s">
        <v>96</v>
      </c>
      <c r="H15" s="19"/>
      <c r="I15" s="20"/>
      <c r="J15" s="21"/>
      <c r="K15" s="34"/>
      <c r="L15" s="19"/>
      <c r="M15" s="20"/>
    </row>
    <row r="16" spans="1:91">
      <c r="A16" s="38" t="s">
        <v>2</v>
      </c>
      <c r="B16" s="1" t="s">
        <v>3</v>
      </c>
      <c r="C16" s="4" t="s">
        <v>94</v>
      </c>
      <c r="E16" s="16">
        <v>13</v>
      </c>
      <c r="F16" s="17" t="s">
        <v>58</v>
      </c>
      <c r="G16" s="18" t="s">
        <v>97</v>
      </c>
      <c r="H16" s="19"/>
      <c r="I16" s="20"/>
      <c r="J16" s="21"/>
      <c r="K16" s="34"/>
      <c r="L16" s="19"/>
      <c r="M16" s="20"/>
    </row>
    <row r="17" spans="1:13">
      <c r="A17" s="38" t="s">
        <v>2</v>
      </c>
      <c r="B17" s="1" t="s">
        <v>1</v>
      </c>
      <c r="C17" s="4" t="s">
        <v>94</v>
      </c>
      <c r="E17" s="16">
        <v>14</v>
      </c>
      <c r="F17" s="17" t="s">
        <v>61</v>
      </c>
      <c r="G17" s="18" t="s">
        <v>98</v>
      </c>
      <c r="H17" s="19"/>
      <c r="I17" s="20"/>
      <c r="J17" s="21"/>
      <c r="K17" s="34"/>
      <c r="L17" s="19"/>
      <c r="M17" s="20"/>
    </row>
    <row r="18" spans="1:13" ht="15">
      <c r="A18"/>
      <c r="B18"/>
      <c r="C18" s="4" t="s">
        <v>94</v>
      </c>
      <c r="E18" s="16">
        <v>15</v>
      </c>
      <c r="F18" s="17" t="s">
        <v>62</v>
      </c>
      <c r="G18" s="18" t="s">
        <v>99</v>
      </c>
      <c r="H18" s="19"/>
      <c r="I18" s="20"/>
      <c r="J18" s="21"/>
      <c r="K18" s="34"/>
      <c r="L18" s="19"/>
      <c r="M18" s="20"/>
    </row>
    <row r="19" spans="1:13" ht="13.5" thickBot="1">
      <c r="E19" s="16">
        <v>16</v>
      </c>
      <c r="F19" s="17" t="s">
        <v>63</v>
      </c>
      <c r="G19" s="18" t="s">
        <v>100</v>
      </c>
      <c r="H19" s="23"/>
      <c r="I19" s="24"/>
      <c r="J19" s="25"/>
      <c r="K19" s="35"/>
      <c r="L19" s="23"/>
      <c r="M19" s="24"/>
    </row>
    <row r="20" spans="1:13">
      <c r="E20" s="16">
        <v>17</v>
      </c>
      <c r="F20" s="17" t="s">
        <v>64</v>
      </c>
      <c r="G20" s="18" t="s">
        <v>101</v>
      </c>
      <c r="J20" s="26"/>
    </row>
    <row r="21" spans="1:13">
      <c r="E21" s="16">
        <v>18</v>
      </c>
      <c r="F21" s="17" t="s">
        <v>59</v>
      </c>
      <c r="G21" s="18" t="s">
        <v>102</v>
      </c>
      <c r="J21" s="26"/>
    </row>
    <row r="22" spans="1:13">
      <c r="E22" s="16">
        <v>19</v>
      </c>
      <c r="F22" s="17" t="s">
        <v>65</v>
      </c>
      <c r="G22" s="18" t="s">
        <v>103</v>
      </c>
      <c r="J22" s="26"/>
    </row>
    <row r="23" spans="1:13">
      <c r="E23" s="16">
        <v>20</v>
      </c>
      <c r="F23" s="17" t="s">
        <v>60</v>
      </c>
      <c r="G23" s="18" t="s">
        <v>104</v>
      </c>
      <c r="J23" s="26"/>
    </row>
    <row r="24" spans="1:13">
      <c r="E24" s="16">
        <v>21</v>
      </c>
      <c r="F24" s="17" t="s">
        <v>66</v>
      </c>
      <c r="G24" s="18" t="s">
        <v>18</v>
      </c>
      <c r="J24" s="26"/>
    </row>
    <row r="25" spans="1:13">
      <c r="E25" s="16">
        <v>22</v>
      </c>
      <c r="F25" s="17" t="s">
        <v>67</v>
      </c>
      <c r="G25" s="18" t="s">
        <v>105</v>
      </c>
      <c r="J25" s="26"/>
    </row>
    <row r="26" spans="1:13">
      <c r="E26" s="16">
        <v>23</v>
      </c>
      <c r="F26" s="17" t="s">
        <v>68</v>
      </c>
      <c r="G26" s="18" t="s">
        <v>106</v>
      </c>
      <c r="J26" s="26"/>
    </row>
    <row r="27" spans="1:13">
      <c r="E27" s="16">
        <v>24</v>
      </c>
      <c r="F27" s="17" t="s">
        <v>69</v>
      </c>
      <c r="G27" s="18" t="s">
        <v>107</v>
      </c>
      <c r="J27" s="26"/>
    </row>
    <row r="28" spans="1:13">
      <c r="E28" s="16">
        <v>25</v>
      </c>
      <c r="F28" s="17" t="s">
        <v>70</v>
      </c>
      <c r="G28" s="18" t="s">
        <v>19</v>
      </c>
      <c r="J28" s="26"/>
    </row>
    <row r="29" spans="1:13">
      <c r="E29" s="16">
        <v>26</v>
      </c>
      <c r="F29" s="17" t="s">
        <v>71</v>
      </c>
      <c r="G29" s="18" t="s">
        <v>108</v>
      </c>
      <c r="J29" s="26"/>
    </row>
    <row r="30" spans="1:13">
      <c r="E30" s="16">
        <v>27</v>
      </c>
      <c r="F30" s="17" t="s">
        <v>72</v>
      </c>
      <c r="G30" s="18" t="s">
        <v>109</v>
      </c>
      <c r="J30" s="26"/>
    </row>
    <row r="31" spans="1:13">
      <c r="E31" s="16">
        <v>28</v>
      </c>
      <c r="F31" s="17" t="s">
        <v>73</v>
      </c>
      <c r="G31" s="18" t="s">
        <v>22</v>
      </c>
      <c r="J31" s="26"/>
    </row>
    <row r="32" spans="1:13">
      <c r="E32" s="16">
        <v>29</v>
      </c>
      <c r="F32" s="17" t="s">
        <v>74</v>
      </c>
      <c r="G32" s="18" t="s">
        <v>23</v>
      </c>
      <c r="J32" s="26"/>
    </row>
    <row r="33" spans="5:10">
      <c r="E33" s="16">
        <v>30</v>
      </c>
      <c r="F33" s="17" t="s">
        <v>75</v>
      </c>
      <c r="G33" s="18" t="s">
        <v>20</v>
      </c>
      <c r="J33" s="26"/>
    </row>
    <row r="34" spans="5:10">
      <c r="E34" s="16">
        <v>31</v>
      </c>
      <c r="F34" s="17" t="s">
        <v>76</v>
      </c>
      <c r="G34" s="18" t="s">
        <v>24</v>
      </c>
      <c r="J34" s="26"/>
    </row>
    <row r="35" spans="5:10">
      <c r="E35" s="16">
        <v>32</v>
      </c>
      <c r="F35" s="17" t="s">
        <v>77</v>
      </c>
      <c r="G35" s="18" t="s">
        <v>25</v>
      </c>
      <c r="J35" s="26"/>
    </row>
    <row r="36" spans="5:10">
      <c r="E36" s="16">
        <v>33</v>
      </c>
      <c r="F36" s="17" t="s">
        <v>78</v>
      </c>
      <c r="G36" s="18" t="s">
        <v>110</v>
      </c>
      <c r="J36" s="26"/>
    </row>
    <row r="37" spans="5:10">
      <c r="E37" s="16">
        <v>34</v>
      </c>
      <c r="F37" s="17" t="s">
        <v>79</v>
      </c>
      <c r="G37" s="18" t="s">
        <v>111</v>
      </c>
      <c r="J37" s="26"/>
    </row>
    <row r="38" spans="5:10">
      <c r="E38" s="16">
        <v>35</v>
      </c>
      <c r="F38" s="17" t="s">
        <v>80</v>
      </c>
      <c r="G38" s="18" t="s">
        <v>26</v>
      </c>
      <c r="J38" s="26"/>
    </row>
    <row r="39" spans="5:10">
      <c r="E39" s="16">
        <v>36</v>
      </c>
      <c r="F39" s="17" t="s">
        <v>81</v>
      </c>
      <c r="G39" s="18" t="s">
        <v>27</v>
      </c>
      <c r="J39" s="26"/>
    </row>
    <row r="40" spans="5:10">
      <c r="E40" s="16">
        <v>37</v>
      </c>
      <c r="F40" s="17" t="s">
        <v>82</v>
      </c>
      <c r="G40" s="18" t="s">
        <v>21</v>
      </c>
      <c r="J40" s="26"/>
    </row>
    <row r="41" spans="5:10">
      <c r="E41" s="16">
        <v>38</v>
      </c>
      <c r="F41" s="17" t="s">
        <v>83</v>
      </c>
      <c r="G41" s="18" t="s">
        <v>28</v>
      </c>
      <c r="J41" s="26"/>
    </row>
    <row r="42" spans="5:10">
      <c r="E42" s="16">
        <v>39</v>
      </c>
      <c r="F42" s="17" t="s">
        <v>84</v>
      </c>
      <c r="G42" s="18" t="s">
        <v>29</v>
      </c>
      <c r="J42" s="26"/>
    </row>
    <row r="43" spans="5:10">
      <c r="E43" s="16">
        <v>40</v>
      </c>
      <c r="F43" s="17" t="s">
        <v>85</v>
      </c>
      <c r="G43" s="18" t="s">
        <v>30</v>
      </c>
      <c r="J43" s="26"/>
    </row>
    <row r="44" spans="5:10">
      <c r="E44" s="16">
        <v>41</v>
      </c>
      <c r="F44" s="17" t="s">
        <v>86</v>
      </c>
      <c r="G44" s="18" t="s">
        <v>31</v>
      </c>
      <c r="J44" s="26"/>
    </row>
    <row r="45" spans="5:10">
      <c r="E45" s="16">
        <v>42</v>
      </c>
      <c r="F45" s="17" t="s">
        <v>87</v>
      </c>
      <c r="G45" s="18" t="s">
        <v>32</v>
      </c>
      <c r="J45" s="26"/>
    </row>
    <row r="46" spans="5:10">
      <c r="E46" s="16">
        <v>43</v>
      </c>
      <c r="F46" s="17" t="s">
        <v>88</v>
      </c>
      <c r="G46" s="18" t="s">
        <v>33</v>
      </c>
      <c r="J46" s="26"/>
    </row>
    <row r="47" spans="5:10">
      <c r="E47" s="16">
        <v>44</v>
      </c>
      <c r="F47" s="17" t="s">
        <v>89</v>
      </c>
      <c r="G47" s="18" t="s">
        <v>34</v>
      </c>
      <c r="J47" s="26"/>
    </row>
    <row r="48" spans="5:10">
      <c r="E48" s="16">
        <v>45</v>
      </c>
      <c r="F48" s="17" t="s">
        <v>90</v>
      </c>
      <c r="G48" s="18" t="s">
        <v>35</v>
      </c>
      <c r="J48" s="26"/>
    </row>
    <row r="49" spans="5:10">
      <c r="E49" s="16">
        <v>46</v>
      </c>
      <c r="F49" s="17" t="s">
        <v>91</v>
      </c>
      <c r="G49" s="18" t="s">
        <v>36</v>
      </c>
      <c r="J49" s="26"/>
    </row>
    <row r="50" spans="5:10">
      <c r="E50" s="16">
        <v>47</v>
      </c>
      <c r="F50" s="17" t="s">
        <v>138</v>
      </c>
      <c r="G50" s="18" t="s">
        <v>112</v>
      </c>
      <c r="J50" s="26"/>
    </row>
    <row r="51" spans="5:10">
      <c r="E51" s="16">
        <v>48</v>
      </c>
      <c r="F51" s="17" t="s">
        <v>139</v>
      </c>
      <c r="G51" s="18" t="s">
        <v>113</v>
      </c>
      <c r="J51" s="26"/>
    </row>
    <row r="52" spans="5:10">
      <c r="E52" s="16">
        <v>49</v>
      </c>
      <c r="F52" s="17" t="s">
        <v>140</v>
      </c>
      <c r="G52" s="18" t="s">
        <v>114</v>
      </c>
      <c r="J52" s="26"/>
    </row>
    <row r="53" spans="5:10">
      <c r="E53" s="16">
        <v>50</v>
      </c>
      <c r="F53" s="17" t="s">
        <v>141</v>
      </c>
      <c r="G53" s="18" t="s">
        <v>37</v>
      </c>
      <c r="J53" s="26"/>
    </row>
    <row r="54" spans="5:10">
      <c r="E54" s="16">
        <v>51</v>
      </c>
      <c r="F54" s="17" t="s">
        <v>142</v>
      </c>
      <c r="G54" s="18" t="s">
        <v>115</v>
      </c>
      <c r="J54" s="26"/>
    </row>
    <row r="55" spans="5:10">
      <c r="E55" s="16">
        <v>52</v>
      </c>
      <c r="F55" s="17" t="s">
        <v>143</v>
      </c>
      <c r="G55" s="18" t="s">
        <v>116</v>
      </c>
      <c r="J55" s="26"/>
    </row>
    <row r="56" spans="5:10">
      <c r="E56" s="16">
        <v>53</v>
      </c>
      <c r="F56" s="17" t="s">
        <v>144</v>
      </c>
      <c r="G56" s="18" t="s">
        <v>117</v>
      </c>
      <c r="J56" s="26"/>
    </row>
    <row r="57" spans="5:10">
      <c r="E57" s="16">
        <v>54</v>
      </c>
      <c r="F57" s="17" t="s">
        <v>145</v>
      </c>
      <c r="G57" s="18" t="s">
        <v>118</v>
      </c>
      <c r="J57" s="26"/>
    </row>
    <row r="58" spans="5:10">
      <c r="E58" s="16">
        <v>55</v>
      </c>
      <c r="F58" s="17" t="s">
        <v>146</v>
      </c>
      <c r="G58" s="18" t="s">
        <v>119</v>
      </c>
      <c r="J58" s="26"/>
    </row>
    <row r="59" spans="5:10">
      <c r="E59" s="16">
        <v>56</v>
      </c>
      <c r="F59" s="17" t="s">
        <v>147</v>
      </c>
      <c r="G59" s="18" t="s">
        <v>120</v>
      </c>
      <c r="J59" s="26"/>
    </row>
    <row r="60" spans="5:10">
      <c r="E60" s="16">
        <v>57</v>
      </c>
      <c r="F60" s="17" t="s">
        <v>148</v>
      </c>
      <c r="G60" s="18" t="s">
        <v>121</v>
      </c>
      <c r="J60" s="26"/>
    </row>
    <row r="61" spans="5:10">
      <c r="E61" s="16">
        <v>58</v>
      </c>
      <c r="F61" s="17" t="s">
        <v>149</v>
      </c>
      <c r="G61" s="18" t="s">
        <v>122</v>
      </c>
      <c r="J61" s="26"/>
    </row>
    <row r="62" spans="5:10">
      <c r="E62" s="16">
        <v>59</v>
      </c>
      <c r="F62" s="17" t="s">
        <v>150</v>
      </c>
      <c r="G62" s="18" t="s">
        <v>123</v>
      </c>
      <c r="J62" s="26"/>
    </row>
    <row r="63" spans="5:10">
      <c r="E63" s="16">
        <v>60</v>
      </c>
      <c r="F63" s="17" t="s">
        <v>151</v>
      </c>
      <c r="G63" s="18" t="s">
        <v>124</v>
      </c>
      <c r="J63" s="26"/>
    </row>
    <row r="64" spans="5:10">
      <c r="E64" s="16">
        <v>61</v>
      </c>
      <c r="F64" s="17" t="s">
        <v>152</v>
      </c>
      <c r="G64" s="18" t="s">
        <v>125</v>
      </c>
      <c r="J64" s="26"/>
    </row>
    <row r="65" spans="5:10">
      <c r="E65" s="16">
        <v>62</v>
      </c>
      <c r="F65" s="17" t="s">
        <v>153</v>
      </c>
      <c r="G65" s="18" t="s">
        <v>126</v>
      </c>
      <c r="J65" s="26"/>
    </row>
    <row r="66" spans="5:10">
      <c r="E66" s="16">
        <v>63</v>
      </c>
      <c r="F66" s="17" t="s">
        <v>154</v>
      </c>
      <c r="G66" s="18" t="s">
        <v>127</v>
      </c>
      <c r="J66" s="26"/>
    </row>
    <row r="67" spans="5:10">
      <c r="E67" s="16">
        <v>64</v>
      </c>
      <c r="F67" s="17" t="s">
        <v>155</v>
      </c>
      <c r="G67" s="18" t="s">
        <v>128</v>
      </c>
      <c r="J67" s="26"/>
    </row>
    <row r="68" spans="5:10">
      <c r="E68" s="16">
        <v>65</v>
      </c>
      <c r="F68" s="17" t="s">
        <v>156</v>
      </c>
      <c r="G68" s="18" t="s">
        <v>129</v>
      </c>
      <c r="J68" s="26"/>
    </row>
    <row r="69" spans="5:10">
      <c r="E69" s="16">
        <v>66</v>
      </c>
      <c r="F69" s="17" t="s">
        <v>157</v>
      </c>
      <c r="G69" s="18" t="s">
        <v>130</v>
      </c>
      <c r="J69" s="26"/>
    </row>
    <row r="70" spans="5:10">
      <c r="E70" s="16">
        <v>67</v>
      </c>
      <c r="F70" s="17" t="s">
        <v>158</v>
      </c>
      <c r="G70" s="18" t="s">
        <v>131</v>
      </c>
      <c r="J70" s="26"/>
    </row>
    <row r="71" spans="5:10">
      <c r="E71" s="16">
        <v>68</v>
      </c>
      <c r="F71" s="17" t="s">
        <v>159</v>
      </c>
      <c r="G71" s="18" t="s">
        <v>38</v>
      </c>
      <c r="J71" s="26"/>
    </row>
    <row r="72" spans="5:10">
      <c r="E72" s="16">
        <v>69</v>
      </c>
      <c r="F72" s="17" t="s">
        <v>160</v>
      </c>
      <c r="G72" s="18" t="s">
        <v>39</v>
      </c>
      <c r="J72" s="26"/>
    </row>
    <row r="73" spans="5:10">
      <c r="E73" s="16">
        <v>70</v>
      </c>
      <c r="F73" s="17" t="s">
        <v>161</v>
      </c>
      <c r="G73" s="18" t="s">
        <v>40</v>
      </c>
      <c r="J73" s="26"/>
    </row>
    <row r="74" spans="5:10">
      <c r="E74" s="16">
        <v>71</v>
      </c>
      <c r="F74" s="17" t="s">
        <v>162</v>
      </c>
      <c r="G74" s="18" t="s">
        <v>132</v>
      </c>
      <c r="J74" s="26"/>
    </row>
    <row r="75" spans="5:10">
      <c r="E75" s="16">
        <v>72</v>
      </c>
      <c r="F75" s="17" t="s">
        <v>163</v>
      </c>
      <c r="G75" s="18" t="s">
        <v>41</v>
      </c>
      <c r="J75" s="26"/>
    </row>
    <row r="76" spans="5:10">
      <c r="E76" s="16">
        <v>73</v>
      </c>
      <c r="F76" s="17" t="s">
        <v>164</v>
      </c>
      <c r="G76" s="18" t="s">
        <v>42</v>
      </c>
      <c r="J76" s="26"/>
    </row>
    <row r="77" spans="5:10">
      <c r="E77" s="16">
        <v>74</v>
      </c>
      <c r="F77" s="17" t="s">
        <v>165</v>
      </c>
      <c r="G77" s="18" t="s">
        <v>43</v>
      </c>
      <c r="J77" s="26"/>
    </row>
    <row r="78" spans="5:10">
      <c r="E78" s="16">
        <v>75</v>
      </c>
      <c r="F78" s="17" t="s">
        <v>166</v>
      </c>
      <c r="G78" s="18" t="s">
        <v>44</v>
      </c>
      <c r="J78" s="26"/>
    </row>
    <row r="79" spans="5:10">
      <c r="E79" s="16">
        <v>76</v>
      </c>
      <c r="F79" s="17" t="s">
        <v>167</v>
      </c>
      <c r="G79" s="18" t="s">
        <v>133</v>
      </c>
      <c r="J79" s="26"/>
    </row>
    <row r="80" spans="5:10">
      <c r="E80" s="16">
        <v>77</v>
      </c>
      <c r="F80" s="17" t="s">
        <v>168</v>
      </c>
      <c r="G80" s="18" t="s">
        <v>134</v>
      </c>
      <c r="J80" s="26"/>
    </row>
    <row r="81" spans="5:10">
      <c r="E81" s="16">
        <v>78</v>
      </c>
      <c r="F81" s="17" t="s">
        <v>169</v>
      </c>
      <c r="G81" s="18" t="s">
        <v>135</v>
      </c>
      <c r="J81" s="26"/>
    </row>
    <row r="82" spans="5:10">
      <c r="E82" s="16">
        <v>79</v>
      </c>
      <c r="F82" s="17" t="s">
        <v>170</v>
      </c>
      <c r="G82" s="18" t="s">
        <v>136</v>
      </c>
      <c r="J82" s="26"/>
    </row>
    <row r="83" spans="5:10">
      <c r="E83" s="16">
        <v>80</v>
      </c>
      <c r="F83" s="17" t="s">
        <v>171</v>
      </c>
      <c r="G83" s="18" t="s">
        <v>137</v>
      </c>
      <c r="J83" s="26"/>
    </row>
    <row r="84" spans="5:10" ht="13.5" thickBot="1">
      <c r="E84" s="27">
        <v>81</v>
      </c>
      <c r="F84" s="28" t="s">
        <v>172</v>
      </c>
      <c r="G84" s="29" t="s">
        <v>45</v>
      </c>
      <c r="J84" s="26"/>
    </row>
  </sheetData>
  <sortState ref="E16:E23">
    <sortCondition ref="E16"/>
  </sortState>
  <mergeCells count="5">
    <mergeCell ref="Q2:R2"/>
    <mergeCell ref="A2:B2"/>
    <mergeCell ref="E2:G2"/>
    <mergeCell ref="A3:B3"/>
    <mergeCell ref="A4:B4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>OI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Beth Arley Rodrigues De Araujo</dc:creator>
  <cp:lastModifiedBy>BethArley</cp:lastModifiedBy>
  <dcterms:created xsi:type="dcterms:W3CDTF">2021-01-07T15:02:32Z</dcterms:created>
  <dcterms:modified xsi:type="dcterms:W3CDTF">2021-06-15T23:54:39Z</dcterms:modified>
</cp:coreProperties>
</file>