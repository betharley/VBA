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ethArley\Desktop\Portal BI\"/>
    </mc:Choice>
  </mc:AlternateContent>
  <bookViews>
    <workbookView xWindow="0" yWindow="0" windowWidth="20490" windowHeight="775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T4" i="1" l="1"/>
  <c r="T3" i="1" l="1"/>
</calcChain>
</file>

<file path=xl/sharedStrings.xml><?xml version="1.0" encoding="utf-8"?>
<sst xmlns="http://schemas.openxmlformats.org/spreadsheetml/2006/main" count="118" uniqueCount="111">
  <si>
    <t>AG</t>
  </si>
  <si>
    <t>MAILING</t>
  </si>
  <si>
    <t>BO UNIFICADO R1 - AGs Externos</t>
  </si>
  <si>
    <t>BO UNIFICADO R1 - AGs Internos</t>
  </si>
  <si>
    <t>Extrator_Insapoio_09</t>
  </si>
  <si>
    <t>3o Nível - AG08</t>
  </si>
  <si>
    <t>Contestacao_Inviabilidade de Velox_AG</t>
  </si>
  <si>
    <t>INSAPOIO 17 SVA</t>
  </si>
  <si>
    <t>AG_103</t>
  </si>
  <si>
    <t>AG_12</t>
  </si>
  <si>
    <t>COLs ARQUIVO (PORTAL BI)</t>
  </si>
  <si>
    <t>NOME COLs MAILING SISWEB</t>
  </si>
  <si>
    <t>ORDEM</t>
  </si>
  <si>
    <t>DATA_REFERENCIA</t>
  </si>
  <si>
    <t>DATA</t>
  </si>
  <si>
    <t>STATUS</t>
  </si>
  <si>
    <t>GER</t>
  </si>
  <si>
    <t>COD_STATUS</t>
  </si>
  <si>
    <t>IND_ABT_FEC</t>
  </si>
  <si>
    <t>GEOGRAFIA</t>
  </si>
  <si>
    <t>matric_exec</t>
  </si>
  <si>
    <t>SIGLA_UF</t>
  </si>
  <si>
    <t>matric_irla</t>
  </si>
  <si>
    <t>SIGLA_GAA</t>
  </si>
  <si>
    <t>matric_userid_exec</t>
  </si>
  <si>
    <t>SIGLA_GRAM</t>
  </si>
  <si>
    <t>GRAM</t>
  </si>
  <si>
    <t>SIGLA_GRA</t>
  </si>
  <si>
    <t>GRA</t>
  </si>
  <si>
    <t>ESTACAO</t>
  </si>
  <si>
    <t>EST</t>
  </si>
  <si>
    <t>DDD</t>
  </si>
  <si>
    <t>aprazada</t>
  </si>
  <si>
    <t>NUMERO_TERMINAL</t>
  </si>
  <si>
    <t>TERMINAL</t>
  </si>
  <si>
    <t>REGISTRO</t>
  </si>
  <si>
    <t>NUM_DOCUMENTO</t>
  </si>
  <si>
    <t>DATA_ABERTURA</t>
  </si>
  <si>
    <t>HORA_ABERTURA</t>
  </si>
  <si>
    <t>PRAZO</t>
  </si>
  <si>
    <t>consumo_FE</t>
  </si>
  <si>
    <t>DATA_FECHAMENTO</t>
  </si>
  <si>
    <t>HORA_FECHAMENTO</t>
  </si>
  <si>
    <t>DATA_PROMESSA</t>
  </si>
  <si>
    <t>HORA_PROMESSA</t>
  </si>
  <si>
    <t>prioridade</t>
  </si>
  <si>
    <t>MATRICULA_ATENDENTE</t>
  </si>
  <si>
    <t>MATRICULA_ATENDETE</t>
  </si>
  <si>
    <t>CODIGO_INSAPOIO</t>
  </si>
  <si>
    <t>COD_INSAPOIO</t>
  </si>
  <si>
    <t>DESCRICAO_INSAPOIO</t>
  </si>
  <si>
    <t>categ</t>
  </si>
  <si>
    <t>LOCALIDADES</t>
  </si>
  <si>
    <t>TIPO_TERM</t>
  </si>
  <si>
    <t>UNIDADE_NEGOCIO</t>
  </si>
  <si>
    <t>SOLICITANTE</t>
  </si>
  <si>
    <t>DESCRICAO_RELACIONAMENTO</t>
  </si>
  <si>
    <t>COD_RELAC</t>
  </si>
  <si>
    <t>NRC_CLIENTE</t>
  </si>
  <si>
    <t>OBS</t>
  </si>
  <si>
    <t>CPF_CLIENTE</t>
  </si>
  <si>
    <t>cpf_cgc</t>
  </si>
  <si>
    <t>CAMPO_OBSERVACAO</t>
  </si>
  <si>
    <t>DESCRICAO_SERVICO</t>
  </si>
  <si>
    <t>COD_LOCALIDADE</t>
  </si>
  <si>
    <t>SM</t>
  </si>
  <si>
    <t>Digite sua Matrícula</t>
  </si>
  <si>
    <t>Ex.: bc777777</t>
  </si>
  <si>
    <t>Mailings Extração</t>
  </si>
  <si>
    <t>Mailings Importação</t>
  </si>
  <si>
    <t>Locais de Rede</t>
  </si>
  <si>
    <t>BO UNIFICADO R1 - AGs Externos.xlsx</t>
  </si>
  <si>
    <t>BO UNIFICADO R1 - AGs Internos.xlsx</t>
  </si>
  <si>
    <t>agsExternos</t>
  </si>
  <si>
    <t>Extrator_Insapoio_09.xlsx</t>
  </si>
  <si>
    <t>3o Nível - AG08.xlsx</t>
  </si>
  <si>
    <t>Contestacao_Inviabilidade de Velox_AG.xlsx</t>
  </si>
  <si>
    <t>INSAPOIO 17 SVA.xlsx</t>
  </si>
  <si>
    <t>AG_103.xlsx</t>
  </si>
  <si>
    <t>AG_12.xlsx</t>
  </si>
  <si>
    <t>nivelag08</t>
  </si>
  <si>
    <t>contestacaoVeloxag</t>
  </si>
  <si>
    <t>insapoio17sva</t>
  </si>
  <si>
    <t>ag103</t>
  </si>
  <si>
    <t>ag12</t>
  </si>
  <si>
    <t>agsInternos</t>
  </si>
  <si>
    <t>extratorInsapoio09</t>
  </si>
  <si>
    <t>AGs PORTAL BI.xlsx</t>
  </si>
  <si>
    <t>BethArley</t>
  </si>
  <si>
    <t>Arquivo Colunas Ordenadas</t>
  </si>
  <si>
    <t>BaseOriginal</t>
  </si>
  <si>
    <t>BaseAjustada</t>
  </si>
  <si>
    <t>AGs PORTAL BI Ordenada.xlsx</t>
  </si>
  <si>
    <t>localAgOriginal</t>
  </si>
  <si>
    <t>localAgOrdenado</t>
  </si>
  <si>
    <t>&gt;</t>
  </si>
  <si>
    <t>&lt;</t>
  </si>
  <si>
    <t>&gt;=</t>
  </si>
  <si>
    <t>&lt;=</t>
  </si>
  <si>
    <t>=</t>
  </si>
  <si>
    <t>CRITÉRIO</t>
  </si>
  <si>
    <t>&lt;&gt;</t>
  </si>
  <si>
    <t>Mailings dos AGs:</t>
  </si>
  <si>
    <t>Qnt</t>
  </si>
  <si>
    <t>LISTA DE CRITÉRIOS</t>
  </si>
  <si>
    <t>Maior</t>
  </si>
  <si>
    <t>Menor</t>
  </si>
  <si>
    <t>Maior ou igual</t>
  </si>
  <si>
    <t>Menor ou igual</t>
  </si>
  <si>
    <t>Igual</t>
  </si>
  <si>
    <t>Diferente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</si>
</sst>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" fontId="0" fillId="0" borderId="0" xfId="0" applyNumberFormat="1"/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1" fontId="1" fillId="0" borderId="6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" fontId="2" fillId="0" borderId="8" xfId="0" applyNumberFormat="1" applyFont="1" applyBorder="1" applyAlignment="1">
      <alignment horizontal="right" vertical="center"/>
    </xf>
    <xf numFmtId="0" fontId="1" fillId="0" borderId="3" xfId="0" applyFont="1" applyBorder="1" applyAlignment="1">
      <alignment vertical="center"/>
    </xf>
    <xf numFmtId="1" fontId="1" fillId="0" borderId="8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1" fontId="2" fillId="0" borderId="11" xfId="0" applyNumberFormat="1" applyFont="1" applyBorder="1" applyAlignment="1">
      <alignment horizontal="right" vertical="center"/>
    </xf>
    <xf numFmtId="0" fontId="7" fillId="4" borderId="9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14" fontId="7" fillId="4" borderId="11" xfId="0" applyNumberFormat="1" applyFont="1" applyFill="1" applyBorder="1" applyAlignment="1">
      <alignment horizontal="center" vertical="center"/>
    </xf>
    <xf numFmtId="1" fontId="9" fillId="3" borderId="3" xfId="0" applyNumberFormat="1" applyFont="1" applyFill="1" applyBorder="1" applyAlignment="1">
      <alignment vertical="center"/>
    </xf>
    <xf numFmtId="1" fontId="9" fillId="5" borderId="3" xfId="0" applyNumberFormat="1" applyFont="1" applyFill="1" applyBorder="1" applyAlignment="1">
      <alignment vertical="center"/>
    </xf>
    <xf numFmtId="1" fontId="9" fillId="5" borderId="10" xfId="0" applyNumberFormat="1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8" fillId="6" borderId="6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0" fillId="3" borderId="8" xfId="0" applyFont="1" applyFill="1" applyBorder="1" applyAlignment="1">
      <alignment horizontal="center" vertical="center"/>
    </xf>
    <xf numFmtId="0" fontId="0" fillId="5" borderId="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0" fillId="3" borderId="16" xfId="0" applyFont="1" applyFill="1" applyBorder="1" applyAlignment="1">
      <alignment horizontal="center" vertical="center"/>
    </xf>
    <xf numFmtId="0" fontId="0" fillId="3" borderId="17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5" borderId="24" xfId="0" applyFont="1" applyFill="1" applyBorder="1" applyAlignment="1">
      <alignment horizontal="center" vertical="center"/>
    </xf>
    <xf numFmtId="0" fontId="0" fillId="5" borderId="17" xfId="0" applyFont="1" applyFill="1" applyBorder="1" applyAlignment="1">
      <alignment horizontal="center" vertical="center"/>
    </xf>
    <xf numFmtId="0" fontId="0" fillId="5" borderId="2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" fontId="9" fillId="3" borderId="19" xfId="0" applyNumberFormat="1" applyFont="1" applyFill="1" applyBorder="1" applyAlignment="1">
      <alignment horizontal="center" vertical="center"/>
    </xf>
    <xf numFmtId="1" fontId="9" fillId="3" borderId="20" xfId="0" applyNumberFormat="1" applyFont="1" applyFill="1" applyBorder="1" applyAlignment="1">
      <alignment horizontal="center" vertical="center"/>
    </xf>
    <xf numFmtId="1" fontId="9" fillId="3" borderId="21" xfId="0" applyNumberFormat="1" applyFont="1" applyFill="1" applyBorder="1" applyAlignment="1">
      <alignment horizontal="center" vertical="center"/>
    </xf>
    <xf numFmtId="1" fontId="9" fillId="5" borderId="22" xfId="0" applyNumberFormat="1" applyFont="1" applyFill="1" applyBorder="1" applyAlignment="1">
      <alignment horizontal="center" vertical="center"/>
    </xf>
    <xf numFmtId="1" fontId="9" fillId="5" borderId="20" xfId="0" applyNumberFormat="1" applyFont="1" applyFill="1" applyBorder="1" applyAlignment="1">
      <alignment horizontal="center" vertical="center"/>
    </xf>
    <xf numFmtId="1" fontId="9" fillId="5" borderId="21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/>
    </xf>
    <xf numFmtId="0" fontId="11" fillId="2" borderId="3" xfId="0" applyFont="1" applyFill="1" applyBorder="1" applyAlignment="1" applyProtection="1">
      <alignment horizontal="center"/>
      <protection locked="0"/>
    </xf>
    <xf numFmtId="0" fontId="10" fillId="6" borderId="16" xfId="0" applyFont="1" applyFill="1" applyBorder="1" applyAlignment="1">
      <alignment horizontal="center" vertical="center" textRotation="180"/>
    </xf>
    <xf numFmtId="0" fontId="10" fillId="6" borderId="17" xfId="0" applyFont="1" applyFill="1" applyBorder="1" applyAlignment="1">
      <alignment horizontal="center" vertical="center" textRotation="180"/>
    </xf>
    <xf numFmtId="0" fontId="10" fillId="6" borderId="18" xfId="0" applyFont="1" applyFill="1" applyBorder="1" applyAlignment="1">
      <alignment horizontal="center" vertical="center" textRotation="18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392205</xdr:colOff>
      <xdr:row>0</xdr:row>
      <xdr:rowOff>174811</xdr:rowOff>
    </xdr:from>
    <xdr:to>
      <xdr:col>3</xdr:col>
      <xdr:colOff>1546412</xdr:colOff>
      <xdr:row>4</xdr:row>
      <xdr:rowOff>56028</xdr:rowOff>
    </xdr:to>
    <xdr:sp macro="[0]!GERAR_MAILINGS_AGs" textlink="">
      <xdr:nvSpPr>
        <xdr:cNvPr id="2" name="Retângulo de cantos arredondados 1"/>
        <xdr:cNvSpPr/>
      </xdr:nvSpPr>
      <xdr:spPr>
        <a:xfrm>
          <a:off x="2353234" y="174811"/>
          <a:ext cx="3025590" cy="1013011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Gerar Arquivos</a:t>
          </a:r>
          <a:r>
            <a:rPr lang="pt-BR" sz="2000" b="1" baseline="0">
              <a:solidFill>
                <a:schemeClr val="bg1"/>
              </a:solidFill>
            </a:rPr>
            <a:t> AGs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A38"/>
  <sheetViews>
    <sheetView showGridLines="0" tabSelected="1" zoomScale="85" zoomScaleNormal="85" workbookViewId="0">
      <selection activeCell="E5" sqref="E5"/>
    </sheetView>
  </sheetViews>
  <sheetFormatPr defaultRowHeight="15" x14ac:dyDescent="0.25"/>
  <cols>
    <col min="1" max="1" width="11.7109375" customWidth="1"/>
    <col min="2" max="2" width="17.7109375" customWidth="1"/>
    <col min="3" max="3" width="28" bestFit="1" customWidth="1"/>
    <col min="4" max="4" width="28.5703125" bestFit="1" customWidth="1"/>
    <col min="5" max="5" width="11.7109375" bestFit="1" customWidth="1"/>
    <col min="6" max="6" width="18.28515625" bestFit="1" customWidth="1"/>
    <col min="7" max="7" width="9.140625" customWidth="1"/>
    <col min="8" max="8" width="30" customWidth="1"/>
    <col min="9" max="9" width="8.42578125" customWidth="1"/>
    <col min="10" max="10" width="7.28515625" customWidth="1"/>
    <col min="11" max="11" width="7.7109375" style="3" customWidth="1"/>
    <col min="12" max="12" width="7.42578125" style="3" customWidth="1"/>
    <col min="13" max="13" width="15.140625" customWidth="1"/>
    <col min="14" max="14" width="25.7109375" customWidth="1"/>
    <col min="15" max="15" width="9.140625" customWidth="1"/>
    <col min="16" max="16" width="21.140625" bestFit="1" customWidth="1"/>
    <col min="17" max="17" width="36.7109375" customWidth="1"/>
    <col min="18" max="18" width="9.140625" customWidth="1"/>
    <col min="19" max="19" width="12.5703125" customWidth="1"/>
    <col min="20" max="20" width="63.5703125" customWidth="1"/>
    <col min="26" max="27" width="9.140625" style="3"/>
  </cols>
  <sheetData>
    <row r="1" spans="1:20" ht="15.75" thickBot="1" x14ac:dyDescent="0.3"/>
    <row r="2" spans="1:20" ht="23.25" customHeight="1" x14ac:dyDescent="0.35">
      <c r="A2" s="55" t="s">
        <v>66</v>
      </c>
      <c r="B2" s="55"/>
      <c r="E2" s="16" t="s">
        <v>100</v>
      </c>
      <c r="F2" s="17" t="s">
        <v>14</v>
      </c>
      <c r="H2" s="29" t="s">
        <v>105</v>
      </c>
      <c r="I2" s="30" t="s">
        <v>95</v>
      </c>
      <c r="J2" s="57" t="s">
        <v>104</v>
      </c>
      <c r="M2" s="48" t="s">
        <v>68</v>
      </c>
      <c r="N2" s="48"/>
      <c r="P2" s="48" t="s">
        <v>69</v>
      </c>
      <c r="Q2" s="48"/>
      <c r="S2" s="48" t="s">
        <v>70</v>
      </c>
      <c r="T2" s="48"/>
    </row>
    <row r="3" spans="1:20" ht="24" thickBot="1" x14ac:dyDescent="0.4">
      <c r="A3" s="56" t="s">
        <v>88</v>
      </c>
      <c r="B3" s="56"/>
      <c r="E3" s="15" t="s">
        <v>99</v>
      </c>
      <c r="F3" s="18">
        <f ca="1">TODAY()-6</f>
        <v>44109</v>
      </c>
      <c r="H3" s="31" t="s">
        <v>106</v>
      </c>
      <c r="I3" s="32" t="s">
        <v>96</v>
      </c>
      <c r="J3" s="58"/>
      <c r="M3" s="1" t="s">
        <v>90</v>
      </c>
      <c r="N3" s="2" t="s">
        <v>87</v>
      </c>
      <c r="P3" s="1" t="s">
        <v>73</v>
      </c>
      <c r="Q3" s="2" t="s">
        <v>71</v>
      </c>
      <c r="S3" s="1" t="s">
        <v>93</v>
      </c>
      <c r="T3" s="2" t="str">
        <f>"C:\Users\"&amp;$A$3&amp;"\Desktop\Portal BI\Extracao\"&amp;N3</f>
        <v>C:\Users\BethArley\Desktop\Portal BI\Extracao\AGs PORTAL BI.xlsx</v>
      </c>
    </row>
    <row r="4" spans="1:20" ht="23.25" x14ac:dyDescent="0.35">
      <c r="A4" s="55" t="s">
        <v>67</v>
      </c>
      <c r="B4" s="55"/>
      <c r="H4" s="31" t="s">
        <v>107</v>
      </c>
      <c r="I4" s="32" t="s">
        <v>97</v>
      </c>
      <c r="J4" s="58"/>
      <c r="P4" s="1" t="s">
        <v>85</v>
      </c>
      <c r="Q4" s="2" t="s">
        <v>72</v>
      </c>
      <c r="S4" s="1" t="s">
        <v>94</v>
      </c>
      <c r="T4" s="2" t="str">
        <f>"C:\Users\"&amp;$A$3&amp;"\Desktop\Portal BI\Extracao\"&amp;N10</f>
        <v>C:\Users\BethArley\Desktop\Portal BI\Extracao\AGs PORTAL BI Ordenada.xlsx</v>
      </c>
    </row>
    <row r="5" spans="1:20" ht="15.75" x14ac:dyDescent="0.25">
      <c r="H5" s="31" t="s">
        <v>108</v>
      </c>
      <c r="I5" s="32" t="s">
        <v>98</v>
      </c>
      <c r="J5" s="58"/>
      <c r="P5" s="1" t="s">
        <v>86</v>
      </c>
      <c r="Q5" s="2" t="s">
        <v>74</v>
      </c>
    </row>
    <row r="6" spans="1:20" ht="15.75" x14ac:dyDescent="0.25">
      <c r="H6" s="31" t="s">
        <v>109</v>
      </c>
      <c r="I6" s="32" t="s">
        <v>99</v>
      </c>
      <c r="J6" s="58"/>
      <c r="P6" s="1" t="s">
        <v>80</v>
      </c>
      <c r="Q6" s="2" t="s">
        <v>75</v>
      </c>
    </row>
    <row r="7" spans="1:20" ht="16.5" thickBot="1" x14ac:dyDescent="0.3">
      <c r="H7" s="33" t="s">
        <v>110</v>
      </c>
      <c r="I7" s="34" t="s">
        <v>101</v>
      </c>
      <c r="J7" s="59"/>
      <c r="P7" s="1" t="s">
        <v>81</v>
      </c>
      <c r="Q7" s="2" t="s">
        <v>76</v>
      </c>
    </row>
    <row r="8" spans="1:20" ht="15.75" thickBot="1" x14ac:dyDescent="0.3">
      <c r="C8" s="23"/>
      <c r="D8" s="22"/>
      <c r="E8" s="23"/>
      <c r="P8" s="1" t="s">
        <v>82</v>
      </c>
      <c r="Q8" s="2" t="s">
        <v>77</v>
      </c>
    </row>
    <row r="9" spans="1:20" ht="15.75" thickBot="1" x14ac:dyDescent="0.3">
      <c r="C9" s="25" t="s">
        <v>10</v>
      </c>
      <c r="D9" s="24" t="s">
        <v>11</v>
      </c>
      <c r="E9" s="24" t="s">
        <v>12</v>
      </c>
      <c r="G9" s="26"/>
      <c r="H9" s="28" t="s">
        <v>102</v>
      </c>
      <c r="I9" s="27"/>
      <c r="K9"/>
      <c r="M9" s="48" t="s">
        <v>89</v>
      </c>
      <c r="N9" s="48"/>
      <c r="P9" s="1" t="s">
        <v>83</v>
      </c>
      <c r="Q9" s="2" t="s">
        <v>78</v>
      </c>
    </row>
    <row r="10" spans="1:20" ht="15.75" thickBot="1" x14ac:dyDescent="0.3">
      <c r="C10" s="4" t="s">
        <v>13</v>
      </c>
      <c r="D10" s="5" t="s">
        <v>14</v>
      </c>
      <c r="E10" s="6">
        <v>29</v>
      </c>
      <c r="G10" s="25" t="s">
        <v>0</v>
      </c>
      <c r="H10" s="24" t="s">
        <v>1</v>
      </c>
      <c r="I10" s="24" t="s">
        <v>103</v>
      </c>
      <c r="K10"/>
      <c r="M10" s="1" t="s">
        <v>91</v>
      </c>
      <c r="N10" s="2" t="s">
        <v>92</v>
      </c>
      <c r="P10" s="1" t="s">
        <v>84</v>
      </c>
      <c r="Q10" s="2" t="s">
        <v>79</v>
      </c>
    </row>
    <row r="11" spans="1:20" ht="15.75" x14ac:dyDescent="0.25">
      <c r="C11" s="7" t="s">
        <v>15</v>
      </c>
      <c r="D11" s="8" t="s">
        <v>16</v>
      </c>
      <c r="E11" s="9">
        <v>1</v>
      </c>
      <c r="G11" s="35">
        <v>7</v>
      </c>
      <c r="H11" s="49" t="s">
        <v>2</v>
      </c>
      <c r="I11" s="42">
        <v>68</v>
      </c>
      <c r="K11"/>
    </row>
    <row r="12" spans="1:20" ht="15.75" x14ac:dyDescent="0.25">
      <c r="C12" s="7" t="s">
        <v>17</v>
      </c>
      <c r="D12" s="10" t="s">
        <v>18</v>
      </c>
      <c r="E12" s="11">
        <v>15</v>
      </c>
      <c r="G12" s="36">
        <v>16</v>
      </c>
      <c r="H12" s="50"/>
      <c r="I12" s="43"/>
      <c r="K12"/>
    </row>
    <row r="13" spans="1:20" ht="15.75" x14ac:dyDescent="0.25">
      <c r="C13" s="7" t="s">
        <v>19</v>
      </c>
      <c r="D13" s="8" t="s">
        <v>20</v>
      </c>
      <c r="E13" s="9">
        <v>16</v>
      </c>
      <c r="G13" s="36">
        <v>69</v>
      </c>
      <c r="H13" s="50"/>
      <c r="I13" s="43"/>
      <c r="K13"/>
    </row>
    <row r="14" spans="1:20" ht="15.75" x14ac:dyDescent="0.25">
      <c r="C14" s="7" t="s">
        <v>21</v>
      </c>
      <c r="D14" s="8" t="s">
        <v>22</v>
      </c>
      <c r="E14" s="9">
        <v>17</v>
      </c>
      <c r="G14" s="36">
        <v>93</v>
      </c>
      <c r="H14" s="51"/>
      <c r="I14" s="44"/>
      <c r="K14"/>
    </row>
    <row r="15" spans="1:20" ht="15.75" x14ac:dyDescent="0.25">
      <c r="C15" s="7" t="s">
        <v>23</v>
      </c>
      <c r="D15" s="8" t="s">
        <v>24</v>
      </c>
      <c r="E15" s="9">
        <v>18</v>
      </c>
      <c r="G15" s="37">
        <v>53</v>
      </c>
      <c r="H15" s="52" t="s">
        <v>3</v>
      </c>
      <c r="I15" s="45">
        <v>53</v>
      </c>
      <c r="K15"/>
    </row>
    <row r="16" spans="1:20" ht="15.75" x14ac:dyDescent="0.25">
      <c r="C16" s="7" t="s">
        <v>25</v>
      </c>
      <c r="D16" s="10" t="s">
        <v>26</v>
      </c>
      <c r="E16" s="11">
        <v>2</v>
      </c>
      <c r="G16" s="37">
        <v>6</v>
      </c>
      <c r="H16" s="53"/>
      <c r="I16" s="46"/>
      <c r="K16"/>
    </row>
    <row r="17" spans="3:11" ht="15.75" x14ac:dyDescent="0.25">
      <c r="C17" s="7" t="s">
        <v>27</v>
      </c>
      <c r="D17" s="10" t="s">
        <v>28</v>
      </c>
      <c r="E17" s="11">
        <v>3</v>
      </c>
      <c r="G17" s="37">
        <v>71</v>
      </c>
      <c r="H17" s="53"/>
      <c r="I17" s="46"/>
      <c r="K17"/>
    </row>
    <row r="18" spans="3:11" ht="15.75" x14ac:dyDescent="0.25">
      <c r="C18" s="7" t="s">
        <v>29</v>
      </c>
      <c r="D18" s="10" t="s">
        <v>30</v>
      </c>
      <c r="E18" s="11">
        <v>4</v>
      </c>
      <c r="G18" s="37">
        <v>27</v>
      </c>
      <c r="H18" s="53"/>
      <c r="I18" s="46"/>
      <c r="K18"/>
    </row>
    <row r="19" spans="3:11" ht="15.75" x14ac:dyDescent="0.25">
      <c r="C19" s="7" t="s">
        <v>31</v>
      </c>
      <c r="D19" s="8" t="s">
        <v>32</v>
      </c>
      <c r="E19" s="9">
        <v>19</v>
      </c>
      <c r="G19" s="37">
        <v>30</v>
      </c>
      <c r="H19" s="53"/>
      <c r="I19" s="46"/>
      <c r="K19"/>
    </row>
    <row r="20" spans="3:11" ht="15.75" x14ac:dyDescent="0.25">
      <c r="C20" s="7" t="s">
        <v>33</v>
      </c>
      <c r="D20" s="10" t="s">
        <v>34</v>
      </c>
      <c r="E20" s="11">
        <v>5</v>
      </c>
      <c r="G20" s="37">
        <v>40</v>
      </c>
      <c r="H20" s="53"/>
      <c r="I20" s="46"/>
      <c r="K20"/>
    </row>
    <row r="21" spans="3:11" ht="15.75" x14ac:dyDescent="0.25">
      <c r="C21" s="7" t="s">
        <v>35</v>
      </c>
      <c r="D21" s="10" t="s">
        <v>36</v>
      </c>
      <c r="E21" s="11">
        <v>6</v>
      </c>
      <c r="G21" s="37">
        <v>104</v>
      </c>
      <c r="H21" s="54"/>
      <c r="I21" s="47"/>
      <c r="K21"/>
    </row>
    <row r="22" spans="3:11" ht="15.75" x14ac:dyDescent="0.25">
      <c r="C22" s="7" t="s">
        <v>37</v>
      </c>
      <c r="D22" s="10" t="s">
        <v>37</v>
      </c>
      <c r="E22" s="11">
        <v>7</v>
      </c>
      <c r="G22" s="36">
        <v>9</v>
      </c>
      <c r="H22" s="19" t="s">
        <v>4</v>
      </c>
      <c r="I22" s="38">
        <v>7</v>
      </c>
      <c r="K22"/>
    </row>
    <row r="23" spans="3:11" ht="15.75" x14ac:dyDescent="0.25">
      <c r="C23" s="7" t="s">
        <v>38</v>
      </c>
      <c r="D23" s="10" t="s">
        <v>38</v>
      </c>
      <c r="E23" s="11">
        <v>8</v>
      </c>
      <c r="G23" s="37">
        <v>8</v>
      </c>
      <c r="H23" s="20" t="s">
        <v>5</v>
      </c>
      <c r="I23" s="39">
        <v>0</v>
      </c>
      <c r="K23"/>
    </row>
    <row r="24" spans="3:11" ht="15.75" x14ac:dyDescent="0.25">
      <c r="C24" s="7" t="s">
        <v>39</v>
      </c>
      <c r="D24" s="8" t="s">
        <v>40</v>
      </c>
      <c r="E24" s="9">
        <v>20</v>
      </c>
      <c r="G24" s="36">
        <v>64</v>
      </c>
      <c r="H24" s="19" t="s">
        <v>6</v>
      </c>
      <c r="I24" s="38">
        <v>0</v>
      </c>
      <c r="K24"/>
    </row>
    <row r="25" spans="3:11" ht="15.75" x14ac:dyDescent="0.25">
      <c r="C25" s="7" t="s">
        <v>41</v>
      </c>
      <c r="D25" s="10" t="s">
        <v>41</v>
      </c>
      <c r="E25" s="11">
        <v>10</v>
      </c>
      <c r="G25" s="37">
        <v>17</v>
      </c>
      <c r="H25" s="20" t="s">
        <v>7</v>
      </c>
      <c r="I25" s="39">
        <v>2</v>
      </c>
      <c r="K25"/>
    </row>
    <row r="26" spans="3:11" ht="15.75" x14ac:dyDescent="0.25">
      <c r="C26" s="7" t="s">
        <v>42</v>
      </c>
      <c r="D26" s="10" t="s">
        <v>42</v>
      </c>
      <c r="E26" s="11">
        <v>11</v>
      </c>
      <c r="G26" s="36">
        <v>103</v>
      </c>
      <c r="H26" s="19" t="s">
        <v>8</v>
      </c>
      <c r="I26" s="38">
        <v>0</v>
      </c>
      <c r="K26"/>
    </row>
    <row r="27" spans="3:11" ht="16.5" thickBot="1" x14ac:dyDescent="0.3">
      <c r="C27" s="7" t="s">
        <v>43</v>
      </c>
      <c r="D27" s="10" t="s">
        <v>43</v>
      </c>
      <c r="E27" s="11">
        <v>9</v>
      </c>
      <c r="G27" s="40">
        <v>12</v>
      </c>
      <c r="H27" s="21" t="s">
        <v>9</v>
      </c>
      <c r="I27" s="41">
        <v>65</v>
      </c>
      <c r="K27"/>
    </row>
    <row r="28" spans="3:11" x14ac:dyDescent="0.25">
      <c r="C28" s="7" t="s">
        <v>44</v>
      </c>
      <c r="D28" s="8" t="s">
        <v>45</v>
      </c>
      <c r="E28" s="9">
        <v>21</v>
      </c>
      <c r="K28"/>
    </row>
    <row r="29" spans="3:11" x14ac:dyDescent="0.25">
      <c r="C29" s="7" t="s">
        <v>46</v>
      </c>
      <c r="D29" s="10" t="s">
        <v>47</v>
      </c>
      <c r="E29" s="11">
        <v>12</v>
      </c>
    </row>
    <row r="30" spans="3:11" x14ac:dyDescent="0.25">
      <c r="C30" s="7" t="s">
        <v>48</v>
      </c>
      <c r="D30" s="10" t="s">
        <v>49</v>
      </c>
      <c r="E30" s="11">
        <v>14</v>
      </c>
    </row>
    <row r="31" spans="3:11" x14ac:dyDescent="0.25">
      <c r="C31" s="7" t="s">
        <v>50</v>
      </c>
      <c r="D31" s="8" t="s">
        <v>51</v>
      </c>
      <c r="E31" s="9">
        <v>23</v>
      </c>
    </row>
    <row r="32" spans="3:11" x14ac:dyDescent="0.25">
      <c r="C32" s="7" t="s">
        <v>52</v>
      </c>
      <c r="D32" s="8" t="s">
        <v>53</v>
      </c>
      <c r="E32" s="9">
        <v>24</v>
      </c>
    </row>
    <row r="33" spans="3:5" x14ac:dyDescent="0.25">
      <c r="C33" s="7" t="s">
        <v>54</v>
      </c>
      <c r="D33" s="8" t="s">
        <v>55</v>
      </c>
      <c r="E33" s="9">
        <v>26</v>
      </c>
    </row>
    <row r="34" spans="3:5" x14ac:dyDescent="0.25">
      <c r="C34" s="7" t="s">
        <v>56</v>
      </c>
      <c r="D34" s="10" t="s">
        <v>57</v>
      </c>
      <c r="E34" s="11">
        <v>25</v>
      </c>
    </row>
    <row r="35" spans="3:5" x14ac:dyDescent="0.25">
      <c r="C35" s="7" t="s">
        <v>58</v>
      </c>
      <c r="D35" s="8" t="s">
        <v>59</v>
      </c>
      <c r="E35" s="9">
        <v>27</v>
      </c>
    </row>
    <row r="36" spans="3:5" x14ac:dyDescent="0.25">
      <c r="C36" s="7" t="s">
        <v>60</v>
      </c>
      <c r="D36" s="10" t="s">
        <v>61</v>
      </c>
      <c r="E36" s="11">
        <v>22</v>
      </c>
    </row>
    <row r="37" spans="3:5" x14ac:dyDescent="0.25">
      <c r="C37" s="7" t="s">
        <v>62</v>
      </c>
      <c r="D37" s="10" t="s">
        <v>63</v>
      </c>
      <c r="E37" s="11">
        <v>13</v>
      </c>
    </row>
    <row r="38" spans="3:5" ht="15.75" thickBot="1" x14ac:dyDescent="0.3">
      <c r="C38" s="12" t="s">
        <v>64</v>
      </c>
      <c r="D38" s="13" t="s">
        <v>65</v>
      </c>
      <c r="E38" s="14">
        <v>28</v>
      </c>
    </row>
  </sheetData>
  <mergeCells count="12">
    <mergeCell ref="A2:B2"/>
    <mergeCell ref="A3:B3"/>
    <mergeCell ref="A4:B4"/>
    <mergeCell ref="M2:N2"/>
    <mergeCell ref="P2:Q2"/>
    <mergeCell ref="J2:J7"/>
    <mergeCell ref="I11:I14"/>
    <mergeCell ref="I15:I21"/>
    <mergeCell ref="M9:N9"/>
    <mergeCell ref="S2:T2"/>
    <mergeCell ref="H11:H14"/>
    <mergeCell ref="H15:H21"/>
  </mergeCells>
  <dataValidations count="1">
    <dataValidation type="list" allowBlank="1" showInputMessage="1" showErrorMessage="1" sqref="E3">
      <formula1>$I$2:$I$7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BethArley</cp:lastModifiedBy>
  <dcterms:created xsi:type="dcterms:W3CDTF">2020-10-07T15:12:07Z</dcterms:created>
  <dcterms:modified xsi:type="dcterms:W3CDTF">2020-10-11T23:54:40Z</dcterms:modified>
</cp:coreProperties>
</file>