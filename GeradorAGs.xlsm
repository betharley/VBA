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Portal_BI_AGs\"/>
    </mc:Choice>
  </mc:AlternateContent>
  <bookViews>
    <workbookView xWindow="0" yWindow="0" windowWidth="28800" windowHeight="1243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T4" i="1" l="1"/>
  <c r="N6" i="1"/>
  <c r="T3" i="1" l="1"/>
  <c r="Z3" i="1" l="1"/>
  <c r="AB3" i="1"/>
  <c r="V2" i="1"/>
  <c r="AA3" i="1" l="1"/>
  <c r="Z5" i="1"/>
  <c r="Z4" i="1"/>
  <c r="T5" i="1" l="1"/>
  <c r="A7" i="1"/>
  <c r="Q3" i="1"/>
  <c r="Q10" i="1" l="1"/>
  <c r="Q9" i="1"/>
  <c r="Q8" i="1"/>
  <c r="Q7" i="1"/>
  <c r="Q6" i="1"/>
  <c r="Q5" i="1"/>
  <c r="Q4" i="1"/>
  <c r="D3" i="1"/>
</calcChain>
</file>

<file path=xl/sharedStrings.xml><?xml version="1.0" encoding="utf-8"?>
<sst xmlns="http://schemas.openxmlformats.org/spreadsheetml/2006/main" count="129" uniqueCount="122">
  <si>
    <t>AG</t>
  </si>
  <si>
    <t>MAILING</t>
  </si>
  <si>
    <t>BO UNIFICADO R1 - AGs Externos</t>
  </si>
  <si>
    <t>BO UNIFICADO R1 - AGs Internos</t>
  </si>
  <si>
    <t>3o Nível - AG08</t>
  </si>
  <si>
    <t>Contestacao_Inviabilidade de Velox_AG</t>
  </si>
  <si>
    <t>INSAPOIO 17 SVA</t>
  </si>
  <si>
    <t>AG_103</t>
  </si>
  <si>
    <t>AG_12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</si>
  <si>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</si>
  <si>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</si>
  <si>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</si>
  <si>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</si>
  <si>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</si>
  <si>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</si>
  <si>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</si>
  <si>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</si>
  <si>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</si>
  <si>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</si>
  <si>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</si>
  <si>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</si>
  <si>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</si>
  <si>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</si>
  <si>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</si>
  <si>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</si>
  <si>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</si>
  <si>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</si>
  <si>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</si>
  <si>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</si>
  <si>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</si>
  <si>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</si>
  <si>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</si>
  <si>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</si>
  <si>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</si>
  <si>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</si>
  <si>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</si>
  <si>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</si>
  <si>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</si>
  <si>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</si>
  <si>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</si>
  <si>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</si>
  <si>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</si>
  <si>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</si>
  <si>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</si>
  <si>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</si>
  <si>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</si>
  <si>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</si>
  <si>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</si>
  <si>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</si>
  <si>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</si>
  <si>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</si>
  <si>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</si>
  <si>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</si>
  <si>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</si>
  <si>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</si>
  <si>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</si>
  <si>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</si>
  <si>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</si>
  <si>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</si>
  <si>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</si>
  <si>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</si>
  <si>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</si>
  <si>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</si>
  <si>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</si>
  <si>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</si>
  <si>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Mailings Extração</t>
  </si>
  <si>
    <t>Mailings Importação</t>
  </si>
  <si>
    <t>Locais de Rede</t>
  </si>
  <si>
    <t>agsExternos</t>
  </si>
  <si>
    <t>nivelag08</t>
  </si>
  <si>
    <t>contestacaoVeloxag</t>
  </si>
  <si>
    <t>insapoio17sva</t>
  </si>
  <si>
    <t>ag103</t>
  </si>
  <si>
    <t>ag12</t>
  </si>
  <si>
    <t>agsInternos</t>
  </si>
  <si>
    <t>extratorInsapoio09</t>
  </si>
  <si>
    <t>Arquivo Colunas Ordenadas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</si>
  <si>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</si>
  <si>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</si>
  <si>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</si>
  <si>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</si>
  <si>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</si>
  <si>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</si>
  <si>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</si>
  <si>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</si>
  <si>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</si>
  <si>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Mailings dos AGs:</t>
  </si>
  <si>
    <t>Qnt</t>
  </si>
  <si>
    <t>LISTA DE CRITÉRIOS</t>
  </si>
  <si>
    <t>Maior</t>
  </si>
  <si>
    <t>Menor</t>
  </si>
  <si>
    <t>Maior ou igual</t>
  </si>
  <si>
    <t>Menor ou igual</t>
  </si>
  <si>
    <t>Igual</t>
  </si>
  <si>
    <t>Diferente</t>
  </si>
  <si>
    <t>DATA DE HOJE</t>
  </si>
  <si>
    <t>Backup</t>
  </si>
  <si>
    <t>Pasta de Backup</t>
  </si>
  <si>
    <t>Meses Ano</t>
  </si>
  <si>
    <t>Data Atual</t>
  </si>
  <si>
    <t>Mês</t>
  </si>
  <si>
    <t>HOJE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</si>
  <si>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</si>
  <si>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</si>
  <si>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</si>
  <si>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</si>
  <si>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</si>
  <si>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</si>
  <si>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</si>
  <si>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</si>
  <si>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</si>
  <si>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</si>
  <si>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</si>
  <si>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</si>
  <si>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URL_REDE</t>
  </si>
  <si>
    <t>DISTRIBUICAO</t>
  </si>
  <si>
    <t>EXTRACAO</t>
  </si>
  <si>
    <t>\\naspc31\bo_oct$\02_Staff\BO_MACRO\Portal_BI_Ags\Extracao\</t>
  </si>
  <si>
    <t>NameBaseOriginal</t>
  </si>
  <si>
    <t>NomeBaseOrdenada</t>
  </si>
  <si>
    <t>AGs PORTAL BI</t>
  </si>
  <si>
    <t>AGs PORTAL BI Ordenada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</si>
</sst>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1" fontId="9" fillId="3" borderId="3" xfId="0" applyNumberFormat="1" applyFont="1" applyFill="1" applyBorder="1" applyAlignment="1">
      <alignment vertical="center"/>
    </xf>
    <xf numFmtId="1" fontId="9" fillId="5" borderId="3" xfId="0" applyNumberFormat="1" applyFont="1" applyFill="1" applyBorder="1" applyAlignment="1">
      <alignment vertical="center"/>
    </xf>
    <xf numFmtId="1" fontId="9" fillId="5" borderId="10" xfId="0" applyNumberFormat="1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8" fillId="6" borderId="6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4" fontId="12" fillId="4" borderId="11" xfId="0" applyNumberFormat="1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15" fillId="2" borderId="3" xfId="0" applyFont="1" applyFill="1" applyBorder="1"/>
    <xf numFmtId="0" fontId="15" fillId="0" borderId="3" xfId="0" applyFon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4" fontId="0" fillId="0" borderId="25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1" xfId="0" applyFont="1" applyBorder="1" applyAlignment="1">
      <alignment horizontal="left" vertical="center"/>
    </xf>
    <xf numFmtId="0" fontId="0" fillId="0" borderId="21" xfId="0" applyFont="1" applyBorder="1"/>
    <xf numFmtId="0" fontId="14" fillId="6" borderId="12" xfId="0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0" fillId="0" borderId="29" xfId="0" applyBorder="1" applyAlignment="1">
      <alignment horizontal="center" vertical="center"/>
    </xf>
    <xf numFmtId="14" fontId="0" fillId="0" borderId="3" xfId="0" applyNumberFormat="1" applyBorder="1"/>
    <xf numFmtId="0" fontId="15" fillId="0" borderId="3" xfId="0" applyFont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1" fontId="9" fillId="3" borderId="19" xfId="0" applyNumberFormat="1" applyFont="1" applyFill="1" applyBorder="1" applyAlignment="1">
      <alignment horizontal="center" vertical="center"/>
    </xf>
    <xf numFmtId="1" fontId="9" fillId="3" borderId="20" xfId="0" applyNumberFormat="1" applyFont="1" applyFill="1" applyBorder="1" applyAlignment="1">
      <alignment horizontal="center" vertical="center"/>
    </xf>
    <xf numFmtId="1" fontId="9" fillId="3" borderId="21" xfId="0" applyNumberFormat="1" applyFont="1" applyFill="1" applyBorder="1" applyAlignment="1">
      <alignment horizontal="center" vertical="center"/>
    </xf>
    <xf numFmtId="1" fontId="9" fillId="5" borderId="22" xfId="0" applyNumberFormat="1" applyFont="1" applyFill="1" applyBorder="1" applyAlignment="1">
      <alignment horizontal="center" vertical="center"/>
    </xf>
    <xf numFmtId="1" fontId="9" fillId="5" borderId="20" xfId="0" applyNumberFormat="1" applyFont="1" applyFill="1" applyBorder="1" applyAlignment="1">
      <alignment horizontal="center" vertical="center"/>
    </xf>
    <xf numFmtId="1" fontId="9" fillId="5" borderId="21" xfId="0" applyNumberFormat="1" applyFont="1" applyFill="1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 textRotation="180"/>
    </xf>
    <xf numFmtId="0" fontId="10" fillId="6" borderId="17" xfId="0" applyFont="1" applyFill="1" applyBorder="1" applyAlignment="1">
      <alignment horizontal="center" vertical="center" textRotation="180"/>
    </xf>
    <xf numFmtId="0" fontId="10" fillId="6" borderId="18" xfId="0" applyFont="1" applyFill="1" applyBorder="1" applyAlignment="1">
      <alignment horizontal="center" vertical="center" textRotation="18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638735</xdr:colOff>
      <xdr:row>3</xdr:row>
      <xdr:rowOff>33617</xdr:rowOff>
    </xdr:from>
    <xdr:to>
      <xdr:col>5</xdr:col>
      <xdr:colOff>1187823</xdr:colOff>
      <xdr:row>4</xdr:row>
      <xdr:rowOff>168087</xdr:rowOff>
    </xdr:to>
    <xdr:sp macro="[0]!AUMENTARDATA" textlink="">
      <xdr:nvSpPr>
        <xdr:cNvPr id="4" name="Seta para a direita 3"/>
        <xdr:cNvSpPr/>
      </xdr:nvSpPr>
      <xdr:spPr>
        <a:xfrm>
          <a:off x="7160559" y="829235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62753</xdr:colOff>
      <xdr:row>3</xdr:row>
      <xdr:rowOff>29135</xdr:rowOff>
    </xdr:from>
    <xdr:to>
      <xdr:col>5</xdr:col>
      <xdr:colOff>611841</xdr:colOff>
      <xdr:row>4</xdr:row>
      <xdr:rowOff>163605</xdr:rowOff>
    </xdr:to>
    <xdr:sp macro="[0]!DIMINIURDATA" textlink="">
      <xdr:nvSpPr>
        <xdr:cNvPr id="7" name="Seta para a direita 6"/>
        <xdr:cNvSpPr/>
      </xdr:nvSpPr>
      <xdr:spPr>
        <a:xfrm rot="10800000">
          <a:off x="6584577" y="824753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Portal_BI_Ags\Extracao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B38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2" width="9.42578125" customWidth="1"/>
    <col min="3" max="3" width="28" bestFit="1" customWidth="1"/>
    <col min="4" max="4" width="24.140625" bestFit="1" customWidth="1"/>
    <col min="5" max="5" width="11.7109375" bestFit="1" customWidth="1"/>
    <col min="6" max="6" width="18.28515625" bestFit="1" customWidth="1"/>
    <col min="7" max="7" width="9.140625" customWidth="1"/>
    <col min="8" max="8" width="37.7109375" customWidth="1"/>
    <col min="9" max="9" width="8.42578125" customWidth="1"/>
    <col min="10" max="10" width="7.28515625" customWidth="1"/>
    <col min="11" max="11" width="7.7109375" style="3" customWidth="1"/>
    <col min="12" max="12" width="7.42578125" style="3" customWidth="1"/>
    <col min="13" max="13" width="15.140625" hidden="1" customWidth="1"/>
    <col min="14" max="14" width="58.5703125" hidden="1" customWidth="1"/>
    <col min="15" max="15" width="9.140625" hidden="1" customWidth="1"/>
    <col min="16" max="16" width="21.140625" hidden="1" customWidth="1"/>
    <col min="17" max="17" width="45.7109375" hidden="1" customWidth="1"/>
    <col min="18" max="18" width="9.140625" hidden="1" customWidth="1"/>
    <col min="19" max="19" width="12.5703125" hidden="1" customWidth="1"/>
    <col min="20" max="20" width="73.85546875" hidden="1" customWidth="1"/>
    <col min="21" max="21" width="9.140625" hidden="1" customWidth="1"/>
    <col min="22" max="22" width="10.7109375" bestFit="1" customWidth="1"/>
    <col min="23" max="23" width="13.5703125" bestFit="1" customWidth="1"/>
    <col min="25" max="25" width="11.5703125" bestFit="1" customWidth="1"/>
    <col min="26" max="26" width="11.28515625" style="3" customWidth="1"/>
    <col min="27" max="27" width="11.42578125" style="3" customWidth="1"/>
    <col min="28" max="28" width="12" customWidth="1"/>
  </cols>
  <sheetData>
    <row r="1" spans="1:28" ht="15.75" thickBot="1" x14ac:dyDescent="0.3"/>
    <row r="2" spans="1:28" ht="23.25" customHeight="1" thickBot="1" x14ac:dyDescent="0.3">
      <c r="E2" s="14" t="s">
        <v>84</v>
      </c>
      <c r="F2" s="15" t="s">
        <v>13</v>
      </c>
      <c r="H2" s="26" t="s">
        <v>89</v>
      </c>
      <c r="I2" s="33" t="s">
        <v>79</v>
      </c>
      <c r="J2" s="73" t="s">
        <v>88</v>
      </c>
      <c r="M2" s="64" t="s">
        <v>65</v>
      </c>
      <c r="N2" s="64"/>
      <c r="P2" s="64" t="s">
        <v>66</v>
      </c>
      <c r="Q2" s="64"/>
      <c r="S2" s="64" t="s">
        <v>67</v>
      </c>
      <c r="T2" s="64"/>
      <c r="V2" s="42" t="str">
        <f ca="1">TEXT(TODAY(),"DDMMAAAA")</f>
        <v>10032021</v>
      </c>
      <c r="W2" s="42" t="s">
        <v>95</v>
      </c>
      <c r="X2" s="57" t="s">
        <v>98</v>
      </c>
      <c r="Y2" s="57"/>
      <c r="Z2" s="43" t="s">
        <v>99</v>
      </c>
      <c r="AA2" s="43" t="s">
        <v>100</v>
      </c>
      <c r="AB2" s="43" t="s">
        <v>101</v>
      </c>
    </row>
    <row r="3" spans="1:28" ht="24" thickBot="1" x14ac:dyDescent="0.3">
      <c r="C3">
        <f ca="1">WEEKDAY(TODAY())</f>
        <v>4</v>
      </c>
      <c r="D3">
        <f ca="1">WEEKDAY(TODAY())</f>
        <v>4</v>
      </c>
      <c r="E3" s="41" t="s">
        <v>81</v>
      </c>
      <c r="F3" s="36">
        <v>44264</v>
      </c>
      <c r="H3" s="26" t="s">
        <v>90</v>
      </c>
      <c r="I3" s="34" t="s">
        <v>80</v>
      </c>
      <c r="J3" s="74"/>
      <c r="M3" s="1" t="s">
        <v>118</v>
      </c>
      <c r="N3" s="2" t="s">
        <v>120</v>
      </c>
      <c r="P3" s="1" t="s">
        <v>68</v>
      </c>
      <c r="Q3" s="2" t="str">
        <f ca="1">"BO UNIFICADO R1 - AGs Externos_"&amp;$V$2&amp;".xlsx"</f>
        <v>BO UNIFICADO R1 - AGs Externos_10032021.xlsx</v>
      </c>
      <c r="S3" s="1" t="s">
        <v>77</v>
      </c>
      <c r="T3" s="2" t="str">
        <f>"\\naspc31\bo_oct$\02_Staff\BO_MACRO\Portal_BI_AGs\Extracao\"&amp;$N$3</f>
        <v>\\naspc31\bo_oct$\02_Staff\BO_MACRO\Portal_BI_AGs\Extracao\AGs PORTAL BI</v>
      </c>
      <c r="X3" s="44">
        <v>1</v>
      </c>
      <c r="Y3" s="45" t="s">
        <v>102</v>
      </c>
      <c r="Z3" s="46" t="str">
        <f ca="1">TEXT(TODAY(),"DD MM AAAA")</f>
        <v>10 03 2021</v>
      </c>
      <c r="AA3" s="55" t="str">
        <f ca="1">VLOOKUP(MONTH(TODAY()),$X:$Y,2,0)</f>
        <v>MARÇO</v>
      </c>
      <c r="AB3" s="56">
        <f ca="1">TODAY()</f>
        <v>44265</v>
      </c>
    </row>
    <row r="4" spans="1:28" ht="15.75" x14ac:dyDescent="0.25">
      <c r="H4" s="27" t="s">
        <v>91</v>
      </c>
      <c r="I4" s="34" t="s">
        <v>81</v>
      </c>
      <c r="J4" s="74"/>
      <c r="P4" s="1" t="s">
        <v>74</v>
      </c>
      <c r="Q4" s="2" t="str">
        <f ca="1">"BO UNIFICADO R1 - AGs Internos_"&amp;$V$2&amp;".xlsx"</f>
        <v>BO UNIFICADO R1 - AGs Internos_10032021.xlsx</v>
      </c>
      <c r="S4" s="1" t="s">
        <v>78</v>
      </c>
      <c r="T4" s="2" t="str">
        <f>"\\naspc31\bo_oct$\02_Staff\BO_MACRO\Portal_BI_AGs\Extracao\"&amp;$N$10</f>
        <v>\\naspc31\bo_oct$\02_Staff\BO_MACRO\Portal_BI_AGs\Extracao\AGs PORTAL BI Ordenada</v>
      </c>
      <c r="X4" s="47">
        <v>2</v>
      </c>
      <c r="Y4" s="48" t="s">
        <v>103</v>
      </c>
      <c r="Z4" s="49" t="str">
        <f ca="1">TEXT(TODAY(),"DD-MM")</f>
        <v>10-03</v>
      </c>
      <c r="AA4"/>
    </row>
    <row r="5" spans="1:28" ht="15.75" x14ac:dyDescent="0.25">
      <c r="H5" s="27" t="s">
        <v>92</v>
      </c>
      <c r="I5" s="34" t="s">
        <v>82</v>
      </c>
      <c r="J5" s="74"/>
      <c r="M5" s="64" t="s">
        <v>96</v>
      </c>
      <c r="N5" s="64"/>
      <c r="P5" s="1" t="s">
        <v>75</v>
      </c>
      <c r="Q5" s="2" t="str">
        <f ca="1">"Extrator_Insapoio_09_"&amp;$V$2&amp;".xlsx"</f>
        <v>Extrator_Insapoio_09_10032021.xlsx</v>
      </c>
      <c r="S5" s="1" t="s">
        <v>114</v>
      </c>
      <c r="T5" s="2" t="str">
        <f ca="1">"\\naspc31\bo_oct$\23-Distribuição\AG\"&amp;$AA$3&amp;"\"&amp;$Z$5&amp;"\"</f>
        <v>\\naspc31\bo_oct$\23-Distribuição\AG\MARÇO\10\</v>
      </c>
      <c r="X5" s="47">
        <v>3</v>
      </c>
      <c r="Y5" s="48" t="s">
        <v>104</v>
      </c>
      <c r="Z5" s="49" t="str">
        <f ca="1">TEXT(TODAY(),"DD")</f>
        <v>10</v>
      </c>
      <c r="AA5"/>
    </row>
    <row r="6" spans="1:28" ht="15.75" x14ac:dyDescent="0.25">
      <c r="A6" s="65" t="s">
        <v>97</v>
      </c>
      <c r="B6" s="66"/>
      <c r="H6" s="27" t="s">
        <v>93</v>
      </c>
      <c r="I6" s="34" t="s">
        <v>83</v>
      </c>
      <c r="J6" s="74"/>
      <c r="M6" s="1" t="s">
        <v>115</v>
      </c>
      <c r="N6" s="2" t="str">
        <f>"\\naspc31\bo_oct$\02_Staff\BO_MACRO\Portal_BI_AGs\Distribuicao\"</f>
        <v>\\naspc31\bo_oct$\02_Staff\BO_MACRO\Portal_BI_AGs\Distribuicao\</v>
      </c>
      <c r="P6" s="1" t="s">
        <v>69</v>
      </c>
      <c r="Q6" s="2" t="str">
        <f ca="1">"3o Nível - AG08_"&amp;$V$2&amp;".xlsx"</f>
        <v>3o Nível - AG08_10032021.xlsx</v>
      </c>
      <c r="X6" s="47">
        <v>4</v>
      </c>
      <c r="Y6" s="48" t="s">
        <v>105</v>
      </c>
      <c r="Z6" s="50"/>
      <c r="AA6"/>
    </row>
    <row r="7" spans="1:28" ht="16.5" thickBot="1" x14ac:dyDescent="0.3">
      <c r="A7" s="51" t="str">
        <f ca="1">"\\naspc31\bo_oct$\23-Distribuição\AG\"&amp;$AA$3</f>
        <v>\\naspc31\bo_oct$\23-Distribuição\AG\MARÇO</v>
      </c>
      <c r="B7" s="52"/>
      <c r="H7" s="28" t="s">
        <v>94</v>
      </c>
      <c r="I7" s="35" t="s">
        <v>85</v>
      </c>
      <c r="J7" s="75"/>
      <c r="M7" s="1" t="s">
        <v>116</v>
      </c>
      <c r="N7" s="2" t="s">
        <v>117</v>
      </c>
      <c r="P7" s="1" t="s">
        <v>70</v>
      </c>
      <c r="Q7" s="2" t="str">
        <f ca="1">"Contestacao_Inviabilidade de Velox_AG_"&amp;$V$2&amp;".xlsx"</f>
        <v>Contestacao_Inviabilidade de Velox_AG_10032021.xlsx</v>
      </c>
      <c r="X7" s="47">
        <v>5</v>
      </c>
      <c r="Y7" s="48" t="s">
        <v>106</v>
      </c>
      <c r="Z7" s="50"/>
      <c r="AA7"/>
    </row>
    <row r="8" spans="1:28" ht="15.75" thickBot="1" x14ac:dyDescent="0.3">
      <c r="C8" s="20"/>
      <c r="D8" s="19"/>
      <c r="E8" s="20"/>
      <c r="P8" s="1" t="s">
        <v>71</v>
      </c>
      <c r="Q8" s="2" t="str">
        <f ca="1">"INSAPOIO 17 SVA_"&amp;$V$2&amp;".xlsx"</f>
        <v>INSAPOIO 17 SVA_10032021.xlsx</v>
      </c>
      <c r="X8" s="47">
        <v>6</v>
      </c>
      <c r="Y8" s="48" t="s">
        <v>107</v>
      </c>
      <c r="Z8" s="50"/>
      <c r="AA8"/>
    </row>
    <row r="9" spans="1:28" ht="15.75" thickBot="1" x14ac:dyDescent="0.3">
      <c r="C9" s="53" t="s">
        <v>9</v>
      </c>
      <c r="D9" s="37" t="s">
        <v>10</v>
      </c>
      <c r="E9" s="37" t="s">
        <v>11</v>
      </c>
      <c r="G9" s="23"/>
      <c r="H9" s="25" t="s">
        <v>86</v>
      </c>
      <c r="I9" s="24"/>
      <c r="K9"/>
      <c r="M9" s="64" t="s">
        <v>76</v>
      </c>
      <c r="N9" s="64"/>
      <c r="P9" s="1" t="s">
        <v>72</v>
      </c>
      <c r="Q9" s="2" t="str">
        <f ca="1">"AG_103_"&amp;$V$2&amp;".xlsx"</f>
        <v>AG_103_10032021.xlsx</v>
      </c>
      <c r="X9" s="47">
        <v>7</v>
      </c>
      <c r="Y9" s="48" t="s">
        <v>108</v>
      </c>
      <c r="Z9" s="50"/>
      <c r="AA9"/>
    </row>
    <row r="10" spans="1:28" ht="15.75" thickBot="1" x14ac:dyDescent="0.3">
      <c r="C10" s="54" t="s">
        <v>12</v>
      </c>
      <c r="D10" s="4" t="s">
        <v>13</v>
      </c>
      <c r="E10" s="5">
        <v>29</v>
      </c>
      <c r="G10" s="22" t="s">
        <v>0</v>
      </c>
      <c r="H10" s="21" t="s">
        <v>1</v>
      </c>
      <c r="I10" s="21" t="s">
        <v>87</v>
      </c>
      <c r="K10"/>
      <c r="M10" s="1" t="s">
        <v>119</v>
      </c>
      <c r="N10" s="2" t="s">
        <v>121</v>
      </c>
      <c r="P10" s="1" t="s">
        <v>73</v>
      </c>
      <c r="Q10" s="2" t="str">
        <f ca="1">"AG_12_"&amp;$V$2&amp;".xlsx"</f>
        <v>AG_12_10032021.xlsx</v>
      </c>
      <c r="X10" s="47">
        <v>8</v>
      </c>
      <c r="Y10" s="48" t="s">
        <v>109</v>
      </c>
      <c r="Z10" s="50"/>
      <c r="AA10"/>
    </row>
    <row r="11" spans="1:28" ht="15.75" x14ac:dyDescent="0.25">
      <c r="C11" s="6" t="s">
        <v>14</v>
      </c>
      <c r="D11" s="7" t="s">
        <v>15</v>
      </c>
      <c r="E11" s="8">
        <v>1</v>
      </c>
      <c r="G11" s="29">
        <v>7</v>
      </c>
      <c r="H11" s="67" t="s">
        <v>2</v>
      </c>
      <c r="I11" s="58">
        <v>41</v>
      </c>
      <c r="K11"/>
      <c r="X11" s="47">
        <v>9</v>
      </c>
      <c r="Y11" s="48" t="s">
        <v>110</v>
      </c>
      <c r="Z11" s="50"/>
      <c r="AA11"/>
    </row>
    <row r="12" spans="1:28" ht="15.75" x14ac:dyDescent="0.25">
      <c r="C12" s="6" t="s">
        <v>16</v>
      </c>
      <c r="D12" s="9" t="s">
        <v>17</v>
      </c>
      <c r="E12" s="10">
        <v>15</v>
      </c>
      <c r="G12" s="30">
        <v>16</v>
      </c>
      <c r="H12" s="68"/>
      <c r="I12" s="59"/>
      <c r="K12"/>
      <c r="X12" s="47">
        <v>10</v>
      </c>
      <c r="Y12" s="48" t="s">
        <v>111</v>
      </c>
      <c r="Z12" s="50"/>
      <c r="AA12"/>
    </row>
    <row r="13" spans="1:28" ht="15.75" x14ac:dyDescent="0.25">
      <c r="C13" s="6" t="s">
        <v>18</v>
      </c>
      <c r="D13" s="7" t="s">
        <v>19</v>
      </c>
      <c r="E13" s="8">
        <v>16</v>
      </c>
      <c r="G13" s="30">
        <v>69</v>
      </c>
      <c r="H13" s="68"/>
      <c r="I13" s="59"/>
      <c r="K13"/>
      <c r="X13" s="47">
        <v>11</v>
      </c>
      <c r="Y13" s="48" t="s">
        <v>112</v>
      </c>
      <c r="Z13" s="50"/>
      <c r="AA13"/>
    </row>
    <row r="14" spans="1:28" ht="15.75" x14ac:dyDescent="0.25">
      <c r="C14" s="6" t="s">
        <v>20</v>
      </c>
      <c r="D14" s="7" t="s">
        <v>21</v>
      </c>
      <c r="E14" s="8">
        <v>17</v>
      </c>
      <c r="G14" s="30">
        <v>93</v>
      </c>
      <c r="H14" s="69"/>
      <c r="I14" s="60"/>
      <c r="K14"/>
      <c r="X14" s="47">
        <v>12</v>
      </c>
      <c r="Y14" s="48" t="s">
        <v>113</v>
      </c>
      <c r="Z14" s="50"/>
      <c r="AA14"/>
    </row>
    <row r="15" spans="1:28" ht="15.75" x14ac:dyDescent="0.25">
      <c r="C15" s="6" t="s">
        <v>22</v>
      </c>
      <c r="D15" s="7" t="s">
        <v>23</v>
      </c>
      <c r="E15" s="8">
        <v>18</v>
      </c>
      <c r="G15" s="31">
        <v>53</v>
      </c>
      <c r="H15" s="70" t="s">
        <v>3</v>
      </c>
      <c r="I15" s="61">
        <v>82</v>
      </c>
      <c r="K15"/>
    </row>
    <row r="16" spans="1:28" ht="15.75" x14ac:dyDescent="0.25">
      <c r="C16" s="6" t="s">
        <v>24</v>
      </c>
      <c r="D16" s="9" t="s">
        <v>25</v>
      </c>
      <c r="E16" s="10">
        <v>2</v>
      </c>
      <c r="G16" s="31">
        <v>6</v>
      </c>
      <c r="H16" s="71"/>
      <c r="I16" s="62"/>
      <c r="K16"/>
    </row>
    <row r="17" spans="3:11" ht="15.75" x14ac:dyDescent="0.25">
      <c r="C17" s="6" t="s">
        <v>26</v>
      </c>
      <c r="D17" s="9" t="s">
        <v>27</v>
      </c>
      <c r="E17" s="10">
        <v>3</v>
      </c>
      <c r="G17" s="31">
        <v>71</v>
      </c>
      <c r="H17" s="71"/>
      <c r="I17" s="62"/>
      <c r="K17"/>
    </row>
    <row r="18" spans="3:11" ht="15.75" x14ac:dyDescent="0.25">
      <c r="C18" s="6" t="s">
        <v>28</v>
      </c>
      <c r="D18" s="9" t="s">
        <v>29</v>
      </c>
      <c r="E18" s="10">
        <v>4</v>
      </c>
      <c r="G18" s="31">
        <v>27</v>
      </c>
      <c r="H18" s="71"/>
      <c r="I18" s="62"/>
      <c r="K18"/>
    </row>
    <row r="19" spans="3:11" ht="15.75" x14ac:dyDescent="0.25">
      <c r="C19" s="6" t="s">
        <v>30</v>
      </c>
      <c r="D19" s="7" t="s">
        <v>31</v>
      </c>
      <c r="E19" s="8">
        <v>19</v>
      </c>
      <c r="G19" s="31">
        <v>30</v>
      </c>
      <c r="H19" s="71"/>
      <c r="I19" s="62"/>
      <c r="K19"/>
    </row>
    <row r="20" spans="3:11" ht="15.75" x14ac:dyDescent="0.25">
      <c r="C20" s="6" t="s">
        <v>32</v>
      </c>
      <c r="D20" s="9" t="s">
        <v>33</v>
      </c>
      <c r="E20" s="10">
        <v>5</v>
      </c>
      <c r="G20" s="31">
        <v>40</v>
      </c>
      <c r="H20" s="71"/>
      <c r="I20" s="62"/>
      <c r="K20"/>
    </row>
    <row r="21" spans="3:11" ht="15.75" x14ac:dyDescent="0.25">
      <c r="C21" s="6" t="s">
        <v>34</v>
      </c>
      <c r="D21" s="9" t="s">
        <v>35</v>
      </c>
      <c r="E21" s="10">
        <v>6</v>
      </c>
      <c r="G21" s="31">
        <v>104</v>
      </c>
      <c r="H21" s="72"/>
      <c r="I21" s="63"/>
      <c r="K21"/>
    </row>
    <row r="22" spans="3:11" x14ac:dyDescent="0.25">
      <c r="C22" s="6" t="s">
        <v>36</v>
      </c>
      <c r="D22" s="9" t="s">
        <v>36</v>
      </c>
      <c r="E22" s="10">
        <v>7</v>
      </c>
      <c r="K22"/>
    </row>
    <row r="23" spans="3:11" ht="15.75" x14ac:dyDescent="0.25">
      <c r="C23" s="6" t="s">
        <v>37</v>
      </c>
      <c r="D23" s="9" t="s">
        <v>37</v>
      </c>
      <c r="E23" s="10">
        <v>8</v>
      </c>
      <c r="G23" s="31">
        <v>8</v>
      </c>
      <c r="H23" s="17" t="s">
        <v>4</v>
      </c>
      <c r="I23" s="39">
        <v>0</v>
      </c>
      <c r="K23"/>
    </row>
    <row r="24" spans="3:11" ht="15.75" x14ac:dyDescent="0.25">
      <c r="C24" s="6" t="s">
        <v>38</v>
      </c>
      <c r="D24" s="7" t="s">
        <v>39</v>
      </c>
      <c r="E24" s="8">
        <v>20</v>
      </c>
      <c r="G24" s="30">
        <v>64</v>
      </c>
      <c r="H24" s="16" t="s">
        <v>5</v>
      </c>
      <c r="I24" s="38">
        <v>0</v>
      </c>
      <c r="K24"/>
    </row>
    <row r="25" spans="3:11" ht="15.75" x14ac:dyDescent="0.25">
      <c r="C25" s="6" t="s">
        <v>40</v>
      </c>
      <c r="D25" s="9" t="s">
        <v>40</v>
      </c>
      <c r="E25" s="10">
        <v>10</v>
      </c>
      <c r="G25" s="31">
        <v>17</v>
      </c>
      <c r="H25" s="17" t="s">
        <v>6</v>
      </c>
      <c r="I25" s="39">
        <v>0</v>
      </c>
      <c r="K25"/>
    </row>
    <row r="26" spans="3:11" ht="15.75" x14ac:dyDescent="0.25">
      <c r="C26" s="6" t="s">
        <v>41</v>
      </c>
      <c r="D26" s="9" t="s">
        <v>41</v>
      </c>
      <c r="E26" s="10">
        <v>11</v>
      </c>
      <c r="G26" s="30">
        <v>103</v>
      </c>
      <c r="H26" s="16" t="s">
        <v>7</v>
      </c>
      <c r="I26" s="38">
        <v>0</v>
      </c>
      <c r="K26"/>
    </row>
    <row r="27" spans="3:11" ht="16.5" thickBot="1" x14ac:dyDescent="0.3">
      <c r="C27" s="6" t="s">
        <v>42</v>
      </c>
      <c r="D27" s="9" t="s">
        <v>42</v>
      </c>
      <c r="E27" s="10">
        <v>9</v>
      </c>
      <c r="G27" s="32">
        <v>12</v>
      </c>
      <c r="H27" s="18" t="s">
        <v>8</v>
      </c>
      <c r="I27" s="40">
        <v>35</v>
      </c>
      <c r="K27"/>
    </row>
    <row r="28" spans="3:11" x14ac:dyDescent="0.25">
      <c r="C28" s="6" t="s">
        <v>43</v>
      </c>
      <c r="D28" s="7" t="s">
        <v>44</v>
      </c>
      <c r="E28" s="8">
        <v>21</v>
      </c>
      <c r="K28"/>
    </row>
    <row r="29" spans="3:11" x14ac:dyDescent="0.25">
      <c r="C29" s="6" t="s">
        <v>45</v>
      </c>
      <c r="D29" s="9" t="s">
        <v>46</v>
      </c>
      <c r="E29" s="10">
        <v>12</v>
      </c>
    </row>
    <row r="30" spans="3:11" x14ac:dyDescent="0.25">
      <c r="C30" s="6" t="s">
        <v>47</v>
      </c>
      <c r="D30" s="9" t="s">
        <v>48</v>
      </c>
      <c r="E30" s="10">
        <v>14</v>
      </c>
    </row>
    <row r="31" spans="3:11" x14ac:dyDescent="0.25">
      <c r="C31" s="6" t="s">
        <v>49</v>
      </c>
      <c r="D31" s="7" t="s">
        <v>50</v>
      </c>
      <c r="E31" s="8">
        <v>23</v>
      </c>
    </row>
    <row r="32" spans="3:11" x14ac:dyDescent="0.25">
      <c r="C32" s="6" t="s">
        <v>51</v>
      </c>
      <c r="D32" s="7" t="s">
        <v>52</v>
      </c>
      <c r="E32" s="8">
        <v>24</v>
      </c>
    </row>
    <row r="33" spans="3:5" x14ac:dyDescent="0.25">
      <c r="C33" s="6" t="s">
        <v>53</v>
      </c>
      <c r="D33" s="7" t="s">
        <v>54</v>
      </c>
      <c r="E33" s="8">
        <v>26</v>
      </c>
    </row>
    <row r="34" spans="3:5" x14ac:dyDescent="0.25">
      <c r="C34" s="6" t="s">
        <v>55</v>
      </c>
      <c r="D34" s="9" t="s">
        <v>56</v>
      </c>
      <c r="E34" s="10">
        <v>25</v>
      </c>
    </row>
    <row r="35" spans="3:5" x14ac:dyDescent="0.25">
      <c r="C35" s="6" t="s">
        <v>57</v>
      </c>
      <c r="D35" s="7" t="s">
        <v>58</v>
      </c>
      <c r="E35" s="8">
        <v>27</v>
      </c>
    </row>
    <row r="36" spans="3:5" x14ac:dyDescent="0.25">
      <c r="C36" s="6" t="s">
        <v>59</v>
      </c>
      <c r="D36" s="9" t="s">
        <v>60</v>
      </c>
      <c r="E36" s="10">
        <v>22</v>
      </c>
    </row>
    <row r="37" spans="3:5" x14ac:dyDescent="0.25">
      <c r="C37" s="6" t="s">
        <v>61</v>
      </c>
      <c r="D37" s="9" t="s">
        <v>62</v>
      </c>
      <c r="E37" s="10">
        <v>13</v>
      </c>
    </row>
    <row r="38" spans="3:5" ht="15.75" thickBot="1" x14ac:dyDescent="0.3">
      <c r="C38" s="11" t="s">
        <v>63</v>
      </c>
      <c r="D38" s="12" t="s">
        <v>64</v>
      </c>
      <c r="E38" s="13">
        <v>28</v>
      </c>
    </row>
  </sheetData>
  <mergeCells count="12">
    <mergeCell ref="A6:B6"/>
    <mergeCell ref="H11:H14"/>
    <mergeCell ref="H15:H21"/>
    <mergeCell ref="M5:N5"/>
    <mergeCell ref="M2:N2"/>
    <mergeCell ref="J2:J7"/>
    <mergeCell ref="X2:Y2"/>
    <mergeCell ref="I11:I14"/>
    <mergeCell ref="I15:I21"/>
    <mergeCell ref="M9:N9"/>
    <mergeCell ref="S2:T2"/>
    <mergeCell ref="P2:Q2"/>
  </mergeCells>
  <dataValidations disablePrompts="1" count="1">
    <dataValidation type="list" allowBlank="1" showInputMessage="1" showErrorMessage="1" sqref="E3">
      <formula1>$I$2:$I$7</formula1>
    </dataValidation>
  </dataValidations>
  <hyperlinks>
    <hyperlink ref="N7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2020-10-07T15:12:07Z</dcterms:created>
  <dcterms:modified xsi:type="dcterms:W3CDTF">2021-03-10T18:33:35Z</dcterms:modified>
</cp:coreProperties>
</file>