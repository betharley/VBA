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Z:\02_Staff\BO_MACRO\02_SIAC_RESIDENCIAL\"/>
    </mc:Choice>
  </mc:AlternateContent>
  <bookViews>
    <workbookView xWindow="0" yWindow="0" windowWidth="21600" windowHeight="9600" activeTab="1"/>
  </bookViews>
  <sheets>
    <sheet name="Plan1" sheetId="1" r:id="rId1"/>
    <sheet name="Plan2" sheetId="4" r:id="rId2"/>
  </sheets>
  <definedNames>
    <definedName name="_xlnm._FilterDatabase" localSheetId="0" hidden="1">Plan1!#REF!</definedName>
    <definedName name="_xlnm._FilterDatabase" localSheetId="1" hidden="1">Plan2!$I$3:$L$54</definedName>
    <definedName name="DataNascimentoResponsavelInstalacao48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6" i="4" l="1"/>
  <c r="K55" i="4"/>
  <c r="K54" i="4" l="1"/>
  <c r="K53" i="4" l="1"/>
  <c r="K52" i="4"/>
  <c r="K51" i="4"/>
  <c r="K50" i="4"/>
  <c r="K49" i="4"/>
  <c r="K48" i="4" l="1"/>
  <c r="K47" i="4"/>
  <c r="K46" i="4" l="1"/>
  <c r="K45" i="4" l="1"/>
  <c r="K44" i="4" l="1"/>
  <c r="K43" i="4" l="1"/>
  <c r="K42" i="4" l="1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G5" i="1" l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3" i="4"/>
  <c r="H23" i="4" s="1"/>
  <c r="G24" i="4"/>
  <c r="H24" i="4" s="1"/>
  <c r="G25" i="4"/>
  <c r="H25" i="4" s="1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4" i="1" l="1"/>
  <c r="H4" i="1" s="1"/>
  <c r="G5" i="4"/>
  <c r="H5" i="4" s="1"/>
  <c r="G6" i="4"/>
  <c r="H6" i="4" s="1"/>
  <c r="G7" i="4"/>
  <c r="H7" i="4" s="1"/>
  <c r="G8" i="4"/>
  <c r="H8" i="4" s="1"/>
  <c r="G9" i="4"/>
  <c r="H9" i="4" s="1"/>
  <c r="G10" i="4"/>
  <c r="H10" i="4" s="1"/>
  <c r="G11" i="4"/>
  <c r="H11" i="4" s="1"/>
  <c r="G12" i="4"/>
  <c r="H12" i="4" s="1"/>
  <c r="G13" i="4"/>
  <c r="H13" i="4" s="1"/>
  <c r="G14" i="4"/>
  <c r="H14" i="4" s="1"/>
  <c r="G15" i="4"/>
  <c r="H15" i="4" s="1"/>
  <c r="G16" i="4"/>
  <c r="H16" i="4" s="1"/>
  <c r="G17" i="4"/>
  <c r="H17" i="4" s="1"/>
  <c r="G18" i="4"/>
  <c r="H18" i="4" s="1"/>
  <c r="G19" i="4"/>
  <c r="H19" i="4" s="1"/>
  <c r="G20" i="4"/>
  <c r="H20" i="4" s="1"/>
  <c r="G21" i="4"/>
  <c r="H21" i="4" s="1"/>
  <c r="G22" i="4"/>
  <c r="H22" i="4" s="1"/>
  <c r="G4" i="4"/>
  <c r="H4" i="4" s="1"/>
  <c r="F3" i="4" l="1"/>
  <c r="F3" i="1" l="1"/>
</calcChain>
</file>

<file path=xl/sharedStrings.xml><?xml version="1.0" encoding="utf-8"?>
<sst xmlns="http://schemas.openxmlformats.org/spreadsheetml/2006/main" count="276" uniqueCount="90">
  <si>
    <t>Locais de Rede</t>
  </si>
  <si>
    <t>MIGRAÇÃO PLANOS COMBOS FIXA</t>
  </si>
  <si>
    <t>INVOL - FIXOVELOX - DESCONTO FACILITADO</t>
  </si>
  <si>
    <t>ILHA DE MIGRAÇÃO - INSTALAR OFERTA</t>
  </si>
  <si>
    <t>RETENÇÃO - RESTRIÇÃO DE TELEMARKETING</t>
  </si>
  <si>
    <t>Área Atual</t>
  </si>
  <si>
    <t>Assunto</t>
  </si>
  <si>
    <t>GO - BTCC - BO CANAIS</t>
  </si>
  <si>
    <t>GO - BTCC - RACO RETENÇÃO</t>
  </si>
  <si>
    <t>GO - BTCC - REINSTALAÇÃO DE TERMINAL</t>
  </si>
  <si>
    <t>GO - BTCC - RET - CREDITO CONFIANÇA - RETIFICAÇÃO OPR</t>
  </si>
  <si>
    <t>GO - BTCC - RET - CREDITO EM CONFIANÇA - ESTORNO</t>
  </si>
  <si>
    <t>GO - BTCC - RET ATENDIMENTO CO</t>
  </si>
  <si>
    <t>GO - BTCC - RETENÇÃO CUMPRIMENTO JURIDICO</t>
  </si>
  <si>
    <t>GO - BTCC - RETENÇÃO ENVIO DE CHIP</t>
  </si>
  <si>
    <t>GO - BTCC - RETENÇÃO INIBIÇÃO DE VALORES</t>
  </si>
  <si>
    <t>NOME DOS MAILINGS</t>
  </si>
  <si>
    <t>AG 17</t>
  </si>
  <si>
    <t>Base de Extração</t>
  </si>
  <si>
    <t>MAILING</t>
  </si>
  <si>
    <t>COLUNA (K) - FILTROS REALIZADOS</t>
  </si>
  <si>
    <t>COLUNA (L) - FILTROS REALIZADOS</t>
  </si>
  <si>
    <t>URL_REDE_EXTRACAO</t>
  </si>
  <si>
    <t>URL_REDE_DISTRIBUICAO</t>
  </si>
  <si>
    <t>GO - BTCC - BKO UNIFICADO</t>
  </si>
  <si>
    <t>Restrição de Telemarketiing</t>
  </si>
  <si>
    <t>Volume de Cada Mailing Gerado</t>
  </si>
  <si>
    <t>ATIVO REVERSÃO - OS DE OFERTA NÃO INSTALADA</t>
  </si>
  <si>
    <t>RETENÇÃO - PROCEDIMENTOS DE APOIO</t>
  </si>
  <si>
    <t>AVERAGE - CANCELAMENTO FIXO E VELOX R2</t>
  </si>
  <si>
    <t>CANCELAMENTO INDEVIDO - GERAÇÃO OS REINSTALAÇÃO</t>
  </si>
  <si>
    <t>SCNE - OS DE RETIRADA NÃO GERADA</t>
  </si>
  <si>
    <t>SOLICITAÇÃO DE CANCELAMENTO - FIXO</t>
  </si>
  <si>
    <t>DESISTÊNCIA DE CANCELAMENTO FIXO/VELOX - RETIRADA DE BPR</t>
  </si>
  <si>
    <t>UNI_CO - DESQUALIFICAÇÃO PARCIAL VELOX</t>
  </si>
  <si>
    <t>BO RETENÇÃO - CUMPRIMENTO DETERMINAÇÃO JUDICIAL</t>
  </si>
  <si>
    <t>BO RETENÇÃO - CORREÇÃO INIB. RETENÇÃO</t>
  </si>
  <si>
    <t>NOME DO MAILING</t>
  </si>
  <si>
    <t>uma coluna</t>
  </si>
  <si>
    <t>CONCATENAR A Area Atual + Assunto</t>
  </si>
  <si>
    <t>duas coluna</t>
  </si>
  <si>
    <t>Olha pra</t>
  </si>
  <si>
    <t>Assunto AG17</t>
  </si>
  <si>
    <t>MUDANÇA DE ENDEREÇO SEM PORTABILIDADE</t>
  </si>
  <si>
    <t>RETENÇÃO VELOX - APLICAÇÃO DE OFERTA NO FIXO/VELOX CANCELADO</t>
  </si>
  <si>
    <t>RETENÇÃO - CANCELAMENTO (CÉLULA MIG. FIBRA 1P)</t>
  </si>
  <si>
    <t>RETENÇÃO - EMPACOTAMENTO 1P FIBRA</t>
  </si>
  <si>
    <t>RETENÇÃO - CANCELAMENTO FIXO E VELOX R2</t>
  </si>
  <si>
    <t>SOLICITAÇÃO DE SERVIÇOS - CLIENTES COM VELOX CANCELADO</t>
  </si>
  <si>
    <t>RETENÇÃO - ISENÇÃO MULTA/THAB</t>
  </si>
  <si>
    <t>ATIVO REVERSÃO - (TRÂMITE PARCEL.) OS DE OFERTA NÃO INSTALADA</t>
  </si>
  <si>
    <t>RETENÇÃO- DOWNGRADE FIXO E VELOX R2</t>
  </si>
  <si>
    <t>DESISTÊNCIA DE VENDA</t>
  </si>
  <si>
    <t>FIXO - CANCELAMENTO AGENTE AUTORIZADO</t>
  </si>
  <si>
    <t>SOLICITAÇÃO DE CANCELAMENTO - TURBO/VIDEON</t>
  </si>
  <si>
    <t>SOLICITAÇÃO DE CANCELAMENTO - VELOX ABERTURA BERÇÁRIO ATV</t>
  </si>
  <si>
    <t>BLOQUEIO BPR/CANC DE TERMINAL/VELOX - SAC ON LINE E CHAT</t>
  </si>
  <si>
    <t>RACO - CANCELAMENTO FIXO E VELOX R2</t>
  </si>
  <si>
    <t>GO - BTCC - RET - CREDITO CONFIANÇA - RETIFICAÇÃO/OPR</t>
  </si>
  <si>
    <t>ATIVO REVERSÃO - RETIFICAÇÃO/OPR - CRÉDITO EM CONFIANÇA</t>
  </si>
  <si>
    <t>ATIVO REVERSÃO - ESTORNO - CRÉDITO EM CONFIANÇA</t>
  </si>
  <si>
    <t>CO - INDISPONIBILIDADE RET VAREJO</t>
  </si>
  <si>
    <t>ATIVO REVERSÃO - ENVIO DE CHIP PRÉ</t>
  </si>
  <si>
    <t>Macro Azul</t>
  </si>
  <si>
    <t>GO - BTCC - RET - CREDITO CONFIANÇA - RETIFICAÇÃO/POR</t>
  </si>
  <si>
    <t>GO - BTCC - INVIABILIDADE DE VELOX</t>
  </si>
  <si>
    <t>CRV - INVIABILIDADE DE VELOX</t>
  </si>
  <si>
    <t>Contestacao_Inviabilidade de Velox_SIAC</t>
  </si>
  <si>
    <t>GO - BTCC - BLINDAGEM E DOWNGRADE - OS DE OFERTA NÃO INSTALADA</t>
  </si>
  <si>
    <t>BO RETENÇÃO - CADASTRO DE RECARGA AUTOMÁTICA ARS</t>
  </si>
  <si>
    <t>http://app.local.srv.br/siac</t>
  </si>
  <si>
    <t>Novo endereço SIAC</t>
  </si>
  <si>
    <t>INVOL - FIXOVELOX - DESCONTO FACILITADO CTX</t>
  </si>
  <si>
    <t>VALIDAR</t>
  </si>
  <si>
    <t>BR- MASTER - RET INVOL - DESCONTO FACILITADO</t>
  </si>
  <si>
    <t>INVOL - FIXO/VELOX - DESCONTO FACILITADO</t>
  </si>
  <si>
    <t>BR- CONTAX - RET INVOL - DESCONTO FACILITADO</t>
  </si>
  <si>
    <t>INVOL - FIXO/VELOX - DESCONTO FACILITADO CTX</t>
  </si>
  <si>
    <t>CTA BTCC MERCADO EMPRESARIAL RETENÇÃO FIXO/VELOX</t>
  </si>
  <si>
    <t>ILHA DE MIGRAÇÃO EMP - INCLUSÃO PLANO/SERVIÇO FIXO E VELOX</t>
  </si>
  <si>
    <t>Validar</t>
  </si>
  <si>
    <t>TURBO OU VELOX - CANCELAMENTO AGENTE AUTORIZADO</t>
  </si>
  <si>
    <t>ELIENAI FÉRIAS</t>
  </si>
  <si>
    <t>BASE_SIAC_RESIDENCIAL</t>
  </si>
  <si>
    <t>BASE_SIAC_RESIDENCIAL.xlsx</t>
  </si>
  <si>
    <t>\\naspc31\bo_oct$\02_Staff\BO_MACRO\02_SIAC_RESIDENCIAL\Extracao\</t>
  </si>
  <si>
    <t>\\naspc31\bo_oct$\02_Staff\BO_MACRO\02_SIAC_RESIDENCIAL\Distribuicao\</t>
  </si>
  <si>
    <t>RET CANAIS - PROTOCOLO WEB - VELOX</t>
  </si>
  <si>
    <t>CANCELAMENTO DE ACESSO MÓVEL MASSA - SAC ON LINE E CHAT</t>
  </si>
  <si>
    <t>Macro Verde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</si>
</sst>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4"/>
      <color theme="0"/>
      <name val="Times New Roman"/>
      <family val="1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FF0000"/>
      <name val="Calibri"/>
      <family val="2"/>
      <scheme val="minor"/>
    </font>
    <font>
      <sz val="10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Times New Roman"/>
      <family val="1"/>
    </font>
    <font>
      <b/>
      <sz val="9"/>
      <color theme="1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4391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2">
    <xf numFmtId="0" fontId="0" fillId="0" borderId="0" xfId="0"/>
    <xf numFmtId="0" fontId="2" fillId="0" borderId="0" xfId="0" applyFont="1"/>
    <xf numFmtId="0" fontId="4" fillId="2" borderId="1" xfId="0" applyFont="1" applyFill="1" applyBorder="1" applyAlignment="1"/>
    <xf numFmtId="0" fontId="4" fillId="2" borderId="2" xfId="0" applyFont="1" applyFill="1" applyBorder="1" applyAlignment="1"/>
    <xf numFmtId="0" fontId="5" fillId="3" borderId="1" xfId="0" applyFont="1" applyFill="1" applyBorder="1" applyAlignment="1"/>
    <xf numFmtId="0" fontId="2" fillId="0" borderId="1" xfId="0" applyFont="1" applyBorder="1"/>
    <xf numFmtId="14" fontId="2" fillId="0" borderId="0" xfId="0" applyNumberFormat="1" applyFont="1"/>
    <xf numFmtId="0" fontId="3" fillId="5" borderId="1" xfId="0" applyFont="1" applyFill="1" applyBorder="1" applyAlignment="1"/>
    <xf numFmtId="0" fontId="7" fillId="0" borderId="1" xfId="0" applyFont="1" applyBorder="1" applyAlignment="1">
      <alignment wrapText="1"/>
    </xf>
    <xf numFmtId="0" fontId="7" fillId="0" borderId="1" xfId="0" applyFont="1" applyBorder="1"/>
    <xf numFmtId="0" fontId="3" fillId="7" borderId="1" xfId="0" applyFont="1" applyFill="1" applyBorder="1" applyAlignment="1"/>
    <xf numFmtId="0" fontId="3" fillId="6" borderId="1" xfId="0" applyFont="1" applyFill="1" applyBorder="1" applyAlignment="1">
      <alignment vertical="center"/>
    </xf>
    <xf numFmtId="0" fontId="3" fillId="6" borderId="1" xfId="0" applyFont="1" applyFill="1" applyBorder="1" applyAlignment="1"/>
    <xf numFmtId="0" fontId="4" fillId="6" borderId="1" xfId="0" applyFont="1" applyFill="1" applyBorder="1" applyAlignment="1"/>
    <xf numFmtId="0" fontId="8" fillId="0" borderId="1" xfId="1" applyBorder="1"/>
    <xf numFmtId="0" fontId="6" fillId="8" borderId="0" xfId="0" applyFont="1" applyFill="1"/>
    <xf numFmtId="0" fontId="0" fillId="8" borderId="0" xfId="0" applyFill="1"/>
    <xf numFmtId="0" fontId="6" fillId="9" borderId="0" xfId="0" applyFont="1" applyFill="1"/>
    <xf numFmtId="0" fontId="0" fillId="9" borderId="0" xfId="0" applyFill="1"/>
    <xf numFmtId="0" fontId="2" fillId="10" borderId="1" xfId="0" applyFont="1" applyFill="1" applyBorder="1"/>
    <xf numFmtId="0" fontId="2" fillId="0" borderId="6" xfId="0" applyFont="1" applyBorder="1"/>
    <xf numFmtId="0" fontId="2" fillId="0" borderId="7" xfId="0" applyFont="1" applyBorder="1"/>
    <xf numFmtId="0" fontId="9" fillId="11" borderId="1" xfId="1" applyFont="1" applyFill="1" applyBorder="1"/>
    <xf numFmtId="0" fontId="10" fillId="0" borderId="0" xfId="0" applyFont="1"/>
    <xf numFmtId="0" fontId="11" fillId="6" borderId="1" xfId="0" applyFont="1" applyFill="1" applyBorder="1" applyAlignment="1"/>
    <xf numFmtId="0" fontId="12" fillId="4" borderId="5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horizontal="left" vertical="center"/>
    </xf>
    <xf numFmtId="0" fontId="12" fillId="4" borderId="1" xfId="0" applyFont="1" applyFill="1" applyBorder="1" applyAlignment="1">
      <alignment horizontal="left" vertical="center"/>
    </xf>
    <xf numFmtId="0" fontId="1" fillId="5" borderId="2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7" borderId="8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B6DE0"/>
      <color rgb="FF780262"/>
      <color rgb="FF21285F"/>
      <color rgb="FF2E471D"/>
      <color rgb="FF203214"/>
      <color rgb="FF1B271F"/>
      <color rgb="FF243917"/>
      <color rgb="FF5F29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57150</xdr:rowOff>
    </xdr:from>
    <xdr:to>
      <xdr:col>2</xdr:col>
      <xdr:colOff>1066800</xdr:colOff>
      <xdr:row>9</xdr:row>
      <xdr:rowOff>76200</xdr:rowOff>
    </xdr:to>
    <xdr:sp macro="[0]!GERADOR_SIAC_ASSUNTO_AREA_SEPARADO" textlink="">
      <xdr:nvSpPr>
        <xdr:cNvPr id="3" name="Retângulo de cantos arredondados 2"/>
        <xdr:cNvSpPr/>
      </xdr:nvSpPr>
      <xdr:spPr>
        <a:xfrm>
          <a:off x="553811" y="1268186"/>
          <a:ext cx="2064203" cy="590550"/>
        </a:xfrm>
        <a:prstGeom prst="roundRect">
          <a:avLst/>
        </a:prstGeom>
        <a:gradFill flip="none" rotWithShape="1">
          <a:gsLst>
            <a:gs pos="0">
              <a:srgbClr val="0070C0">
                <a:shade val="30000"/>
                <a:satMod val="115000"/>
              </a:srgbClr>
            </a:gs>
            <a:gs pos="50000">
              <a:srgbClr val="0070C0">
                <a:shade val="67500"/>
                <a:satMod val="115000"/>
              </a:srgbClr>
            </a:gs>
            <a:gs pos="100000">
              <a:srgbClr val="0070C0">
                <a:shade val="100000"/>
                <a:satMod val="115000"/>
              </a:srgbClr>
            </a:gs>
          </a:gsLst>
          <a:lin ang="54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baseline="0"/>
            <a:t>SIAC</a:t>
          </a:r>
          <a:endParaRPr lang="pt-BR" sz="16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57150</xdr:rowOff>
    </xdr:from>
    <xdr:to>
      <xdr:col>2</xdr:col>
      <xdr:colOff>1066800</xdr:colOff>
      <xdr:row>9</xdr:row>
      <xdr:rowOff>76200</xdr:rowOff>
    </xdr:to>
    <xdr:sp macro="[0]!GERADOR_SIAC_AREA_ASSUNTO" textlink="">
      <xdr:nvSpPr>
        <xdr:cNvPr id="2" name="Retângulo de cantos arredondados 1"/>
        <xdr:cNvSpPr/>
      </xdr:nvSpPr>
      <xdr:spPr>
        <a:xfrm>
          <a:off x="553811" y="1200150"/>
          <a:ext cx="2009775" cy="590550"/>
        </a:xfrm>
        <a:prstGeom prst="roundRect">
          <a:avLst/>
        </a:prstGeom>
        <a:solidFill>
          <a:srgbClr val="FB6DE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baseline="0"/>
            <a:t>SIAC</a:t>
          </a:r>
          <a:endParaRPr lang="pt-BR" sz="1600" b="1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Extracao/" TargetMode="External"/><Relationship Id="rId1" Type="http://schemas.openxmlformats.org/officeDocument/2006/relationships/hyperlink" Target="Distribuicao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app.local.srv.br/siac" TargetMode="External"/><Relationship Id="rId2" Type="http://schemas.openxmlformats.org/officeDocument/2006/relationships/hyperlink" Target="Extracao/" TargetMode="External"/><Relationship Id="rId1" Type="http://schemas.openxmlformats.org/officeDocument/2006/relationships/hyperlink" Target="Distribuicao/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R27"/>
  <sheetViews>
    <sheetView showGridLines="0" zoomScaleNormal="100" workbookViewId="0">
      <selection activeCell="B39" sqref="B39"/>
    </sheetView>
  </sheetViews>
  <sheetFormatPr defaultColWidth="9.140625" defaultRowHeight="15" x14ac:dyDescent="0.25"/>
  <cols>
    <col min="1" max="1" width="8.140625" style="1" customWidth="1"/>
    <col min="2" max="2" width="19.7109375" style="1" customWidth="1"/>
    <col min="3" max="3" width="26.7109375" style="1" bestFit="1" customWidth="1"/>
    <col min="4" max="4" width="8.140625" style="1" customWidth="1"/>
    <col min="5" max="5" width="64.28515625" style="1" bestFit="1" customWidth="1"/>
    <col min="6" max="6" width="10" style="1" bestFit="1" customWidth="1"/>
    <col min="7" max="7" width="12.42578125" bestFit="1" customWidth="1"/>
    <col min="8" max="8" width="8.5703125" customWidth="1"/>
    <col min="9" max="10" width="64.28515625" style="1" bestFit="1" customWidth="1"/>
    <col min="11" max="11" width="7.5703125" style="1" customWidth="1"/>
    <col min="12" max="12" width="8.42578125" style="1" customWidth="1"/>
    <col min="13" max="14" width="55.140625" style="1" bestFit="1" customWidth="1"/>
    <col min="15" max="15" width="9.140625" style="1"/>
    <col min="16" max="16" width="32.85546875" style="1" bestFit="1" customWidth="1"/>
    <col min="17" max="17" width="75.85546875" style="1" bestFit="1" customWidth="1"/>
    <col min="18" max="16384" width="9.140625" style="1"/>
  </cols>
  <sheetData>
    <row r="1" spans="2:18" x14ac:dyDescent="0.25">
      <c r="G1" s="17" t="s">
        <v>89</v>
      </c>
    </row>
    <row r="2" spans="2:18" ht="18.75" x14ac:dyDescent="0.3">
      <c r="B2" s="28" t="s">
        <v>18</v>
      </c>
      <c r="C2" s="29"/>
      <c r="E2" s="7" t="s">
        <v>26</v>
      </c>
      <c r="F2" s="7"/>
      <c r="G2" s="17" t="s">
        <v>41</v>
      </c>
      <c r="I2" s="7" t="s">
        <v>20</v>
      </c>
      <c r="J2" s="7"/>
      <c r="M2" s="7" t="s">
        <v>21</v>
      </c>
      <c r="N2" s="7"/>
      <c r="P2" s="2" t="s">
        <v>0</v>
      </c>
      <c r="Q2" s="2"/>
    </row>
    <row r="3" spans="2:18" ht="15.75" x14ac:dyDescent="0.25">
      <c r="B3" s="26" t="s">
        <v>83</v>
      </c>
      <c r="C3" s="27" t="s">
        <v>84</v>
      </c>
      <c r="E3" s="3" t="s">
        <v>19</v>
      </c>
      <c r="F3" s="3" t="str">
        <f>"Qnt "&amp;SUM(F4:F25)</f>
        <v>Qnt 169</v>
      </c>
      <c r="G3" s="17" t="s">
        <v>40</v>
      </c>
      <c r="H3" t="s">
        <v>80</v>
      </c>
      <c r="I3" s="3" t="s">
        <v>5</v>
      </c>
      <c r="J3" s="3" t="s">
        <v>16</v>
      </c>
      <c r="M3" s="3" t="s">
        <v>6</v>
      </c>
      <c r="N3" s="3" t="s">
        <v>16</v>
      </c>
      <c r="P3" s="4" t="s">
        <v>22</v>
      </c>
      <c r="Q3" s="14" t="s">
        <v>85</v>
      </c>
      <c r="R3"/>
    </row>
    <row r="4" spans="2:18" x14ac:dyDescent="0.25">
      <c r="E4" s="5" t="s">
        <v>1</v>
      </c>
      <c r="F4" s="5">
        <v>0</v>
      </c>
      <c r="G4" s="18">
        <f>IFERROR(VLOOKUP(E4,Plan2!$E:$F,2,0),"")</f>
        <v>0</v>
      </c>
      <c r="H4" t="str">
        <f>IF(F4=G4,"ok","Não")</f>
        <v>ok</v>
      </c>
      <c r="I4" s="5" t="s">
        <v>24</v>
      </c>
      <c r="J4" s="5" t="s">
        <v>24</v>
      </c>
      <c r="M4" s="5" t="s">
        <v>1</v>
      </c>
      <c r="N4" s="5" t="s">
        <v>1</v>
      </c>
      <c r="P4" s="4" t="s">
        <v>23</v>
      </c>
      <c r="Q4" s="14" t="s">
        <v>86</v>
      </c>
      <c r="R4"/>
    </row>
    <row r="5" spans="2:18" x14ac:dyDescent="0.25">
      <c r="E5" s="5" t="s">
        <v>2</v>
      </c>
      <c r="F5" s="5">
        <v>0</v>
      </c>
      <c r="G5" s="18">
        <f>IFERROR(VLOOKUP(E5,Plan2!$E:$F,2,0),"")</f>
        <v>0</v>
      </c>
      <c r="H5" t="str">
        <f t="shared" ref="H5:H25" si="0">IF(F5=G5,"ok","Não")</f>
        <v>ok</v>
      </c>
      <c r="I5" s="5" t="s">
        <v>7</v>
      </c>
      <c r="J5" s="5" t="s">
        <v>7</v>
      </c>
      <c r="M5" s="5" t="s">
        <v>2</v>
      </c>
      <c r="N5" s="5" t="s">
        <v>2</v>
      </c>
    </row>
    <row r="6" spans="2:18" x14ac:dyDescent="0.25">
      <c r="E6" s="5" t="s">
        <v>72</v>
      </c>
      <c r="F6" s="5">
        <v>0</v>
      </c>
      <c r="G6" s="18">
        <f>IFERROR(VLOOKUP(E6,Plan2!$E:$F,2,0),"")</f>
        <v>0</v>
      </c>
      <c r="H6" t="str">
        <f t="shared" si="0"/>
        <v>ok</v>
      </c>
      <c r="I6" s="5" t="s">
        <v>8</v>
      </c>
      <c r="J6" s="5" t="s">
        <v>8</v>
      </c>
      <c r="M6" s="5" t="s">
        <v>72</v>
      </c>
      <c r="N6" s="5" t="s">
        <v>72</v>
      </c>
      <c r="Q6"/>
    </row>
    <row r="7" spans="2:18" x14ac:dyDescent="0.25">
      <c r="E7" s="5" t="s">
        <v>3</v>
      </c>
      <c r="F7" s="5">
        <v>0</v>
      </c>
      <c r="G7" s="18">
        <f>IFERROR(VLOOKUP(E7,Plan2!$E:$F,2,0),"")</f>
        <v>0</v>
      </c>
      <c r="H7" t="str">
        <f t="shared" si="0"/>
        <v>ok</v>
      </c>
      <c r="I7" s="5" t="s">
        <v>9</v>
      </c>
      <c r="J7" s="5" t="s">
        <v>9</v>
      </c>
      <c r="M7" s="5" t="s">
        <v>3</v>
      </c>
      <c r="N7" s="5" t="s">
        <v>3</v>
      </c>
      <c r="Q7"/>
    </row>
    <row r="8" spans="2:18" x14ac:dyDescent="0.25">
      <c r="B8" s="6"/>
      <c r="E8" s="5" t="s">
        <v>42</v>
      </c>
      <c r="F8" s="5">
        <v>0</v>
      </c>
      <c r="G8" s="18">
        <f>IFERROR(VLOOKUP(E8,Plan2!$E:$F,2,0),"")</f>
        <v>0</v>
      </c>
      <c r="H8" t="str">
        <f t="shared" si="0"/>
        <v>ok</v>
      </c>
      <c r="I8" s="5" t="s">
        <v>10</v>
      </c>
      <c r="J8" s="5" t="s">
        <v>10</v>
      </c>
      <c r="M8" s="5" t="s">
        <v>17</v>
      </c>
      <c r="N8" s="5" t="s">
        <v>42</v>
      </c>
      <c r="Q8"/>
    </row>
    <row r="9" spans="2:18" x14ac:dyDescent="0.25">
      <c r="E9" s="5" t="s">
        <v>4</v>
      </c>
      <c r="F9" s="5">
        <v>0</v>
      </c>
      <c r="G9" s="18">
        <f>IFERROR(VLOOKUP(E9,Plan2!$E:$F,2,0),"")</f>
        <v>0</v>
      </c>
      <c r="H9" t="str">
        <f t="shared" si="0"/>
        <v>ok</v>
      </c>
      <c r="I9" s="5" t="s">
        <v>11</v>
      </c>
      <c r="J9" s="5" t="s">
        <v>11</v>
      </c>
      <c r="M9" s="5" t="s">
        <v>25</v>
      </c>
      <c r="N9" s="5" t="s">
        <v>4</v>
      </c>
      <c r="Q9"/>
    </row>
    <row r="10" spans="2:18" x14ac:dyDescent="0.25">
      <c r="E10" s="5" t="s">
        <v>67</v>
      </c>
      <c r="F10" s="5">
        <v>0</v>
      </c>
      <c r="G10" s="18">
        <f>IFERROR(VLOOKUP(E10,Plan2!$E:$F,2,0),"")</f>
        <v>0</v>
      </c>
      <c r="H10" t="str">
        <f t="shared" si="0"/>
        <v>ok</v>
      </c>
      <c r="I10" s="5" t="s">
        <v>12</v>
      </c>
      <c r="J10" s="5" t="s">
        <v>12</v>
      </c>
      <c r="M10" s="5" t="s">
        <v>4</v>
      </c>
      <c r="N10" s="5" t="s">
        <v>4</v>
      </c>
      <c r="Q10"/>
    </row>
    <row r="11" spans="2:18" x14ac:dyDescent="0.25">
      <c r="E11" s="5" t="s">
        <v>24</v>
      </c>
      <c r="F11" s="5">
        <v>6</v>
      </c>
      <c r="G11" s="18">
        <f>IFERROR(VLOOKUP(E11,Plan2!$E:$F,2,0),"")</f>
        <v>6</v>
      </c>
      <c r="H11" t="str">
        <f t="shared" si="0"/>
        <v>ok</v>
      </c>
      <c r="I11" s="5" t="s">
        <v>13</v>
      </c>
      <c r="J11" s="5" t="s">
        <v>13</v>
      </c>
      <c r="M11" s="8" t="s">
        <v>66</v>
      </c>
      <c r="N11" s="9" t="s">
        <v>67</v>
      </c>
      <c r="Q11"/>
    </row>
    <row r="12" spans="2:18" x14ac:dyDescent="0.25">
      <c r="E12" s="5" t="s">
        <v>7</v>
      </c>
      <c r="F12" s="5">
        <v>7</v>
      </c>
      <c r="G12" s="18">
        <f>IFERROR(VLOOKUP(E12,Plan2!$E:$F,2,0),"")</f>
        <v>7</v>
      </c>
      <c r="H12" t="str">
        <f t="shared" si="0"/>
        <v>ok</v>
      </c>
      <c r="I12" s="5" t="s">
        <v>14</v>
      </c>
      <c r="J12" s="5" t="s">
        <v>14</v>
      </c>
      <c r="M12" s="5"/>
      <c r="N12" s="5"/>
      <c r="Q12"/>
    </row>
    <row r="13" spans="2:18" x14ac:dyDescent="0.25">
      <c r="E13" s="5" t="s">
        <v>8</v>
      </c>
      <c r="F13" s="5">
        <v>0</v>
      </c>
      <c r="G13" s="18">
        <f>IFERROR(VLOOKUP(E13,Plan2!$E:$F,2,0),"")</f>
        <v>0</v>
      </c>
      <c r="H13" t="str">
        <f t="shared" si="0"/>
        <v>ok</v>
      </c>
      <c r="I13" s="5" t="s">
        <v>15</v>
      </c>
      <c r="J13" s="5" t="s">
        <v>15</v>
      </c>
      <c r="M13" s="5"/>
      <c r="N13" s="5"/>
    </row>
    <row r="14" spans="2:18" x14ac:dyDescent="0.25">
      <c r="E14" s="5" t="s">
        <v>9</v>
      </c>
      <c r="F14" s="5">
        <v>148</v>
      </c>
      <c r="G14" s="18">
        <f>IFERROR(VLOOKUP(E14,Plan2!$E:$F,2,0),"")</f>
        <v>148</v>
      </c>
      <c r="H14" t="str">
        <f t="shared" si="0"/>
        <v>ok</v>
      </c>
      <c r="I14" s="5" t="s">
        <v>64</v>
      </c>
      <c r="J14" s="5" t="s">
        <v>10</v>
      </c>
      <c r="M14" s="5"/>
      <c r="N14" s="5"/>
    </row>
    <row r="15" spans="2:18" x14ac:dyDescent="0.25">
      <c r="E15" s="5" t="s">
        <v>10</v>
      </c>
      <c r="F15" s="5">
        <v>0</v>
      </c>
      <c r="G15" s="18">
        <f>IFERROR(VLOOKUP(E15,Plan2!$E:$F,2,0),"")</f>
        <v>0</v>
      </c>
      <c r="H15" t="str">
        <f t="shared" si="0"/>
        <v>ok</v>
      </c>
      <c r="I15" s="5" t="s">
        <v>58</v>
      </c>
      <c r="J15" s="5" t="s">
        <v>10</v>
      </c>
      <c r="M15" s="8"/>
      <c r="N15" s="5"/>
    </row>
    <row r="16" spans="2:18" x14ac:dyDescent="0.25">
      <c r="E16" s="5" t="s">
        <v>11</v>
      </c>
      <c r="F16" s="5">
        <v>0</v>
      </c>
      <c r="G16" s="18">
        <f>IFERROR(VLOOKUP(E16,Plan2!$E:$F,2,0),"")</f>
        <v>0</v>
      </c>
      <c r="H16" t="str">
        <f t="shared" si="0"/>
        <v>ok</v>
      </c>
      <c r="I16" s="5"/>
      <c r="J16" s="5"/>
      <c r="M16" s="5"/>
      <c r="N16" s="5"/>
    </row>
    <row r="17" spans="2:14" x14ac:dyDescent="0.25">
      <c r="E17" s="5" t="s">
        <v>12</v>
      </c>
      <c r="F17" s="5">
        <v>8</v>
      </c>
      <c r="G17" s="18">
        <f>IFERROR(VLOOKUP(E17,Plan2!$E:$F,2,0),"")</f>
        <v>8</v>
      </c>
      <c r="H17" t="str">
        <f t="shared" si="0"/>
        <v>ok</v>
      </c>
      <c r="I17" s="5"/>
      <c r="J17" s="5"/>
      <c r="M17" s="5"/>
      <c r="N17" s="5"/>
    </row>
    <row r="18" spans="2:14" x14ac:dyDescent="0.25">
      <c r="E18" s="5" t="s">
        <v>13</v>
      </c>
      <c r="F18" s="5">
        <v>0</v>
      </c>
      <c r="G18" s="18">
        <f>IFERROR(VLOOKUP(E18,Plan2!$E:$F,2,0),"")</f>
        <v>0</v>
      </c>
      <c r="H18" t="str">
        <f t="shared" si="0"/>
        <v>ok</v>
      </c>
      <c r="I18" s="5"/>
      <c r="J18" s="5"/>
      <c r="M18" s="5"/>
      <c r="N18" s="5"/>
    </row>
    <row r="19" spans="2:14" x14ac:dyDescent="0.25">
      <c r="E19" s="5" t="s">
        <v>14</v>
      </c>
      <c r="F19" s="5">
        <v>0</v>
      </c>
      <c r="G19" s="18">
        <f>IFERROR(VLOOKUP(E19,Plan2!$E:$F,2,0),"")</f>
        <v>0</v>
      </c>
      <c r="H19" t="str">
        <f t="shared" si="0"/>
        <v>ok</v>
      </c>
      <c r="I19" s="5"/>
      <c r="J19" s="5"/>
      <c r="M19" s="5"/>
      <c r="N19" s="5"/>
    </row>
    <row r="20" spans="2:14" x14ac:dyDescent="0.25">
      <c r="B20"/>
      <c r="C20"/>
      <c r="E20" s="5" t="s">
        <v>15</v>
      </c>
      <c r="F20" s="5">
        <v>0</v>
      </c>
      <c r="G20" s="18">
        <f>IFERROR(VLOOKUP(E20,Plan2!$E:$F,2,0),"")</f>
        <v>0</v>
      </c>
      <c r="H20" t="str">
        <f t="shared" si="0"/>
        <v>ok</v>
      </c>
      <c r="I20" s="5"/>
      <c r="J20" s="5"/>
      <c r="M20" s="5"/>
      <c r="N20" s="5"/>
    </row>
    <row r="21" spans="2:14" x14ac:dyDescent="0.25">
      <c r="B21"/>
      <c r="C21"/>
      <c r="E21" s="5"/>
      <c r="F21" s="5"/>
      <c r="G21" s="18" t="str">
        <f>IFERROR(VLOOKUP(E21,Plan2!$E:$F,2,0),"")</f>
        <v/>
      </c>
      <c r="H21" t="str">
        <f t="shared" si="0"/>
        <v>ok</v>
      </c>
      <c r="I21" s="5"/>
      <c r="J21" s="5"/>
      <c r="M21" s="5"/>
      <c r="N21" s="5"/>
    </row>
    <row r="22" spans="2:14" x14ac:dyDescent="0.25">
      <c r="B22"/>
      <c r="C22"/>
      <c r="E22" s="5"/>
      <c r="F22" s="5"/>
      <c r="G22" s="18" t="str">
        <f>IFERROR(VLOOKUP(E22,Plan2!$E:$F,2,0),"")</f>
        <v/>
      </c>
      <c r="H22" t="str">
        <f t="shared" si="0"/>
        <v>ok</v>
      </c>
      <c r="I22" s="5"/>
      <c r="J22" s="5"/>
      <c r="M22" s="5"/>
      <c r="N22" s="5"/>
    </row>
    <row r="23" spans="2:14" x14ac:dyDescent="0.25">
      <c r="E23" s="5"/>
      <c r="F23" s="5"/>
      <c r="G23" s="18" t="str">
        <f>IFERROR(VLOOKUP(E23,Plan2!$E:$F,2,0),"")</f>
        <v/>
      </c>
      <c r="H23" t="str">
        <f t="shared" si="0"/>
        <v>ok</v>
      </c>
      <c r="I23" s="5"/>
      <c r="J23" s="5"/>
      <c r="M23" s="5"/>
      <c r="N23" s="5"/>
    </row>
    <row r="24" spans="2:14" x14ac:dyDescent="0.25">
      <c r="E24" s="5"/>
      <c r="F24" s="5"/>
      <c r="G24" s="18" t="str">
        <f>IFERROR(VLOOKUP(E24,Plan2!$E:$F,2,0),"")</f>
        <v/>
      </c>
      <c r="H24" t="str">
        <f t="shared" si="0"/>
        <v>ok</v>
      </c>
      <c r="I24" s="5"/>
      <c r="J24" s="5"/>
      <c r="M24" s="5"/>
      <c r="N24" s="5"/>
    </row>
    <row r="25" spans="2:14" x14ac:dyDescent="0.25">
      <c r="B25"/>
      <c r="C25"/>
      <c r="E25" s="5"/>
      <c r="F25" s="5"/>
      <c r="G25" s="18" t="str">
        <f>IFERROR(VLOOKUP(E25,Plan2!$E:$F,2,0),"")</f>
        <v/>
      </c>
      <c r="H25" t="str">
        <f t="shared" si="0"/>
        <v>ok</v>
      </c>
      <c r="I25" s="5"/>
      <c r="J25" s="5"/>
      <c r="M25" s="5"/>
      <c r="N25" s="5"/>
    </row>
    <row r="27" spans="2:14" x14ac:dyDescent="0.25">
      <c r="I27"/>
    </row>
  </sheetData>
  <sortState ref="E16:E23">
    <sortCondition ref="E16"/>
  </sortState>
  <mergeCells count="1">
    <mergeCell ref="B2:C2"/>
  </mergeCells>
  <conditionalFormatting sqref="I1:I1048576">
    <cfRule type="duplicateValues" dxfId="14" priority="2"/>
  </conditionalFormatting>
  <conditionalFormatting sqref="M1:M10 M12:M14 M16:M1048576">
    <cfRule type="duplicateValues" dxfId="13" priority="1"/>
  </conditionalFormatting>
  <hyperlinks>
    <hyperlink ref="Q4" r:id="rId1"/>
    <hyperlink ref="Q3" r:id="rId2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1:R75"/>
  <sheetViews>
    <sheetView showGridLines="0" tabSelected="1" zoomScale="85" zoomScaleNormal="85" workbookViewId="0">
      <selection activeCell="B2" sqref="B2:C2"/>
    </sheetView>
  </sheetViews>
  <sheetFormatPr defaultColWidth="9.140625" defaultRowHeight="15" customHeight="1" x14ac:dyDescent="0.25"/>
  <cols>
    <col min="1" max="1" width="8.140625" style="1" customWidth="1"/>
    <col min="2" max="2" width="26.140625" style="1" bestFit="1" customWidth="1"/>
    <col min="3" max="3" width="31.28515625" style="1" bestFit="1" customWidth="1"/>
    <col min="4" max="4" width="8.140625" style="1" customWidth="1"/>
    <col min="5" max="5" width="64.28515625" style="1" bestFit="1" customWidth="1"/>
    <col min="6" max="6" width="12.42578125" style="1" customWidth="1"/>
    <col min="7" max="7" width="11.85546875" customWidth="1"/>
    <col min="8" max="8" width="8.5703125" customWidth="1"/>
    <col min="9" max="9" width="73.140625" style="1" bestFit="1" customWidth="1"/>
    <col min="10" max="10" width="72.42578125" style="1" bestFit="1" customWidth="1"/>
    <col min="11" max="11" width="122.85546875" style="1" bestFit="1" customWidth="1"/>
    <col min="12" max="12" width="59.140625" style="1" bestFit="1" customWidth="1"/>
    <col min="13" max="13" width="8.42578125" style="1" customWidth="1"/>
    <col min="14" max="15" width="9.42578125" customWidth="1"/>
    <col min="16" max="16" width="32.85546875" style="1" bestFit="1" customWidth="1"/>
    <col min="17" max="17" width="69.28515625" style="1" bestFit="1" customWidth="1"/>
    <col min="18" max="16384" width="9.140625" style="1"/>
  </cols>
  <sheetData>
    <row r="1" spans="2:18" ht="15" customHeight="1" x14ac:dyDescent="0.25">
      <c r="G1" s="15" t="s">
        <v>63</v>
      </c>
    </row>
    <row r="2" spans="2:18" ht="15" customHeight="1" x14ac:dyDescent="0.3">
      <c r="B2" s="30" t="s">
        <v>18</v>
      </c>
      <c r="C2" s="31"/>
      <c r="E2" s="10" t="s">
        <v>26</v>
      </c>
      <c r="F2" s="10"/>
      <c r="G2" s="15" t="s">
        <v>41</v>
      </c>
      <c r="I2" s="10" t="s">
        <v>20</v>
      </c>
      <c r="J2" s="10" t="s">
        <v>21</v>
      </c>
      <c r="K2" s="10"/>
      <c r="L2" s="10"/>
      <c r="P2" s="10" t="s">
        <v>0</v>
      </c>
      <c r="Q2" s="10"/>
    </row>
    <row r="3" spans="2:18" ht="15" customHeight="1" thickBot="1" x14ac:dyDescent="0.3">
      <c r="B3" s="24" t="s">
        <v>83</v>
      </c>
      <c r="C3" s="25" t="s">
        <v>84</v>
      </c>
      <c r="E3" s="13" t="s">
        <v>19</v>
      </c>
      <c r="F3" s="13" t="str">
        <f>"Qnt "&amp;SUM(F4:F25)</f>
        <v>Qnt 169</v>
      </c>
      <c r="G3" s="15" t="s">
        <v>38</v>
      </c>
      <c r="H3" s="23" t="s">
        <v>73</v>
      </c>
      <c r="I3" s="11" t="s">
        <v>5</v>
      </c>
      <c r="J3" s="11" t="s">
        <v>6</v>
      </c>
      <c r="K3" s="11" t="s">
        <v>39</v>
      </c>
      <c r="L3" s="12" t="s">
        <v>37</v>
      </c>
      <c r="P3" s="12" t="s">
        <v>22</v>
      </c>
      <c r="Q3" s="14" t="s">
        <v>85</v>
      </c>
      <c r="R3"/>
    </row>
    <row r="4" spans="2:18" ht="15" customHeight="1" x14ac:dyDescent="0.25">
      <c r="B4" s="19" t="s">
        <v>71</v>
      </c>
      <c r="C4" s="20"/>
      <c r="E4" s="5" t="s">
        <v>24</v>
      </c>
      <c r="F4" s="5">
        <v>6</v>
      </c>
      <c r="G4" s="16">
        <f>IFERROR(VLOOKUP(E4,Plan1!$E:$F,2,0),"")</f>
        <v>6</v>
      </c>
      <c r="H4" s="23" t="str">
        <f>IF(F4=G4,"OK","NÃO")</f>
        <v>OK</v>
      </c>
      <c r="I4" s="8" t="s">
        <v>24</v>
      </c>
      <c r="J4" s="8" t="s">
        <v>29</v>
      </c>
      <c r="K4" s="8" t="str">
        <f>I4&amp;J4</f>
        <v>GO - BTCC - BKO UNIFICADOAVERAGE - CANCELAMENTO FIXO E VELOX R2</v>
      </c>
      <c r="L4" s="9" t="s">
        <v>24</v>
      </c>
      <c r="P4" s="12" t="s">
        <v>23</v>
      </c>
      <c r="Q4" s="14" t="s">
        <v>86</v>
      </c>
      <c r="R4"/>
    </row>
    <row r="5" spans="2:18" ht="15" customHeight="1" x14ac:dyDescent="0.25">
      <c r="B5" s="22" t="s">
        <v>70</v>
      </c>
      <c r="C5" s="21"/>
      <c r="E5" s="5" t="s">
        <v>4</v>
      </c>
      <c r="F5" s="5">
        <v>0</v>
      </c>
      <c r="G5" s="16">
        <f>IFERROR(VLOOKUP(E5,Plan1!$E:$F,2,0),"")</f>
        <v>0</v>
      </c>
      <c r="H5" s="23" t="str">
        <f t="shared" ref="H5:H25" si="0">IF(F5=G5,"OK","NÃO")</f>
        <v>OK</v>
      </c>
      <c r="I5" s="8" t="s">
        <v>24</v>
      </c>
      <c r="J5" s="8" t="s">
        <v>27</v>
      </c>
      <c r="K5" s="8" t="str">
        <f t="shared" ref="K5:K51" si="1">I5&amp;J5</f>
        <v>GO - BTCC - BKO UNIFICADOATIVO REVERSÃO - OS DE OFERTA NÃO INSTALADA</v>
      </c>
      <c r="L5" s="9" t="s">
        <v>24</v>
      </c>
      <c r="P5"/>
      <c r="Q5"/>
    </row>
    <row r="6" spans="2:18" ht="15" customHeight="1" x14ac:dyDescent="0.25">
      <c r="E6" s="5" t="s">
        <v>7</v>
      </c>
      <c r="F6" s="5">
        <v>7</v>
      </c>
      <c r="G6" s="16">
        <f>IFERROR(VLOOKUP(E6,Plan1!$E:$F,2,0),"")</f>
        <v>7</v>
      </c>
      <c r="H6" s="23" t="str">
        <f t="shared" si="0"/>
        <v>OK</v>
      </c>
      <c r="I6" s="8" t="s">
        <v>24</v>
      </c>
      <c r="J6" s="8" t="s">
        <v>28</v>
      </c>
      <c r="K6" s="8" t="str">
        <f t="shared" si="1"/>
        <v>GO - BTCC - BKO UNIFICADORETENÇÃO - PROCEDIMENTOS DE APOIO</v>
      </c>
      <c r="L6" s="9" t="s">
        <v>24</v>
      </c>
      <c r="P6"/>
      <c r="Q6"/>
    </row>
    <row r="7" spans="2:18" ht="15" customHeight="1" x14ac:dyDescent="0.25">
      <c r="E7" s="5" t="s">
        <v>8</v>
      </c>
      <c r="F7" s="5">
        <v>0</v>
      </c>
      <c r="G7" s="16">
        <f>IFERROR(VLOOKUP(E7,Plan1!$E:$F,2,0),"")</f>
        <v>0</v>
      </c>
      <c r="H7" s="23" t="str">
        <f t="shared" si="0"/>
        <v>OK</v>
      </c>
      <c r="I7" s="8" t="s">
        <v>24</v>
      </c>
      <c r="J7" s="8" t="s">
        <v>43</v>
      </c>
      <c r="K7" s="8" t="str">
        <f t="shared" si="1"/>
        <v>GO - BTCC - BKO UNIFICADOMUDANÇA DE ENDEREÇO SEM PORTABILIDADE</v>
      </c>
      <c r="L7" s="9" t="s">
        <v>24</v>
      </c>
      <c r="P7"/>
      <c r="Q7"/>
    </row>
    <row r="8" spans="2:18" ht="15" customHeight="1" x14ac:dyDescent="0.25">
      <c r="B8" s="6"/>
      <c r="E8" s="5" t="s">
        <v>9</v>
      </c>
      <c r="F8" s="5">
        <v>148</v>
      </c>
      <c r="G8" s="16">
        <f>IFERROR(VLOOKUP(E8,Plan1!$E:$F,2,0),"")</f>
        <v>148</v>
      </c>
      <c r="H8" s="23" t="str">
        <f t="shared" si="0"/>
        <v>OK</v>
      </c>
      <c r="I8" s="8" t="s">
        <v>24</v>
      </c>
      <c r="J8" s="8" t="s">
        <v>30</v>
      </c>
      <c r="K8" s="8" t="str">
        <f t="shared" si="1"/>
        <v>GO - BTCC - BKO UNIFICADOCANCELAMENTO INDEVIDO - GERAÇÃO OS REINSTALAÇÃO</v>
      </c>
      <c r="L8" s="9" t="s">
        <v>24</v>
      </c>
    </row>
    <row r="9" spans="2:18" ht="15" customHeight="1" x14ac:dyDescent="0.25">
      <c r="E9" s="5" t="s">
        <v>10</v>
      </c>
      <c r="F9" s="5">
        <v>0</v>
      </c>
      <c r="G9" s="16">
        <f>IFERROR(VLOOKUP(E9,Plan1!$E:$F,2,0),"")</f>
        <v>0</v>
      </c>
      <c r="H9" s="23" t="str">
        <f t="shared" si="0"/>
        <v>OK</v>
      </c>
      <c r="I9" s="8" t="s">
        <v>24</v>
      </c>
      <c r="J9" s="8" t="s">
        <v>33</v>
      </c>
      <c r="K9" s="8" t="str">
        <f t="shared" si="1"/>
        <v>GO - BTCC - BKO UNIFICADODESISTÊNCIA DE CANCELAMENTO FIXO/VELOX - RETIRADA DE BPR</v>
      </c>
      <c r="L9" s="9" t="s">
        <v>24</v>
      </c>
    </row>
    <row r="10" spans="2:18" ht="15" customHeight="1" x14ac:dyDescent="0.25">
      <c r="E10" s="5" t="s">
        <v>11</v>
      </c>
      <c r="F10" s="5">
        <v>0</v>
      </c>
      <c r="G10" s="16">
        <f>IFERROR(VLOOKUP(E10,Plan1!$E:$F,2,0),"")</f>
        <v>0</v>
      </c>
      <c r="H10" s="23" t="str">
        <f t="shared" si="0"/>
        <v>OK</v>
      </c>
      <c r="I10" s="8" t="s">
        <v>24</v>
      </c>
      <c r="J10" s="8" t="s">
        <v>44</v>
      </c>
      <c r="K10" s="8" t="str">
        <f t="shared" si="1"/>
        <v>GO - BTCC - BKO UNIFICADORETENÇÃO VELOX - APLICAÇÃO DE OFERTA NO FIXO/VELOX CANCELADO</v>
      </c>
      <c r="L10" s="9" t="s">
        <v>24</v>
      </c>
    </row>
    <row r="11" spans="2:18" ht="15" customHeight="1" x14ac:dyDescent="0.25">
      <c r="E11" s="5" t="s">
        <v>12</v>
      </c>
      <c r="F11" s="5">
        <v>8</v>
      </c>
      <c r="G11" s="16">
        <f>IFERROR(VLOOKUP(E11,Plan1!$E:$F,2,0),"")</f>
        <v>8</v>
      </c>
      <c r="H11" s="23" t="str">
        <f t="shared" si="0"/>
        <v>OK</v>
      </c>
      <c r="I11" s="8" t="s">
        <v>24</v>
      </c>
      <c r="J11" s="8" t="s">
        <v>45</v>
      </c>
      <c r="K11" s="8" t="str">
        <f t="shared" si="1"/>
        <v>GO - BTCC - BKO UNIFICADORETENÇÃO - CANCELAMENTO (CÉLULA MIG. FIBRA 1P)</v>
      </c>
      <c r="L11" s="9" t="s">
        <v>24</v>
      </c>
    </row>
    <row r="12" spans="2:18" ht="15" customHeight="1" x14ac:dyDescent="0.25">
      <c r="E12" s="5" t="s">
        <v>13</v>
      </c>
      <c r="F12" s="5">
        <v>0</v>
      </c>
      <c r="G12" s="16">
        <f>IFERROR(VLOOKUP(E12,Plan1!$E:$F,2,0),"")</f>
        <v>0</v>
      </c>
      <c r="H12" s="23" t="str">
        <f t="shared" si="0"/>
        <v>OK</v>
      </c>
      <c r="I12" s="8" t="s">
        <v>24</v>
      </c>
      <c r="J12" s="8" t="s">
        <v>46</v>
      </c>
      <c r="K12" s="8" t="str">
        <f t="shared" si="1"/>
        <v>GO - BTCC - BKO UNIFICADORETENÇÃO - EMPACOTAMENTO 1P FIBRA</v>
      </c>
      <c r="L12" s="9" t="s">
        <v>24</v>
      </c>
    </row>
    <row r="13" spans="2:18" ht="15" customHeight="1" x14ac:dyDescent="0.25">
      <c r="E13" s="5" t="s">
        <v>14</v>
      </c>
      <c r="F13" s="5">
        <v>0</v>
      </c>
      <c r="G13" s="16">
        <f>IFERROR(VLOOKUP(E13,Plan1!$E:$F,2,0),"")</f>
        <v>0</v>
      </c>
      <c r="H13" s="23" t="str">
        <f t="shared" si="0"/>
        <v>OK</v>
      </c>
      <c r="I13" s="8" t="s">
        <v>24</v>
      </c>
      <c r="J13" s="8" t="s">
        <v>47</v>
      </c>
      <c r="K13" s="8" t="str">
        <f t="shared" si="1"/>
        <v>GO - BTCC - BKO UNIFICADORETENÇÃO - CANCELAMENTO FIXO E VELOX R2</v>
      </c>
      <c r="L13" s="9" t="s">
        <v>24</v>
      </c>
    </row>
    <row r="14" spans="2:18" ht="15" customHeight="1" x14ac:dyDescent="0.25">
      <c r="E14" s="5" t="s">
        <v>15</v>
      </c>
      <c r="F14" s="5">
        <v>0</v>
      </c>
      <c r="G14" s="16">
        <f>IFERROR(VLOOKUP(E14,Plan1!$E:$F,2,0),"")</f>
        <v>0</v>
      </c>
      <c r="H14" s="23" t="str">
        <f t="shared" si="0"/>
        <v>OK</v>
      </c>
      <c r="I14" s="8" t="s">
        <v>24</v>
      </c>
      <c r="J14" s="8" t="s">
        <v>48</v>
      </c>
      <c r="K14" s="8" t="str">
        <f t="shared" si="1"/>
        <v>GO - BTCC - BKO UNIFICADOSOLICITAÇÃO DE SERVIÇOS - CLIENTES COM VELOX CANCELADO</v>
      </c>
      <c r="L14" s="9" t="s">
        <v>24</v>
      </c>
    </row>
    <row r="15" spans="2:18" ht="15" customHeight="1" x14ac:dyDescent="0.25">
      <c r="E15" s="5" t="s">
        <v>67</v>
      </c>
      <c r="F15" s="5">
        <v>0</v>
      </c>
      <c r="G15" s="16">
        <f>IFERROR(VLOOKUP(E15,Plan1!$E:$F,2,0),"")</f>
        <v>0</v>
      </c>
      <c r="H15" s="23" t="str">
        <f t="shared" si="0"/>
        <v>OK</v>
      </c>
      <c r="I15" s="8" t="s">
        <v>24</v>
      </c>
      <c r="J15" s="8" t="s">
        <v>49</v>
      </c>
      <c r="K15" s="8" t="str">
        <f t="shared" si="1"/>
        <v>GO - BTCC - BKO UNIFICADORETENÇÃO - ISENÇÃO MULTA/THAB</v>
      </c>
      <c r="L15" s="9" t="s">
        <v>24</v>
      </c>
    </row>
    <row r="16" spans="2:18" ht="15" customHeight="1" x14ac:dyDescent="0.25">
      <c r="E16" s="5" t="s">
        <v>42</v>
      </c>
      <c r="F16" s="5">
        <v>0</v>
      </c>
      <c r="G16" s="16">
        <f>IFERROR(VLOOKUP(E16,Plan1!$E:$F,2,0),"")</f>
        <v>0</v>
      </c>
      <c r="H16" s="23" t="str">
        <f t="shared" si="0"/>
        <v>OK</v>
      </c>
      <c r="I16" s="8" t="s">
        <v>24</v>
      </c>
      <c r="J16" s="8" t="s">
        <v>50</v>
      </c>
      <c r="K16" s="8" t="str">
        <f t="shared" si="1"/>
        <v>GO - BTCC - BKO UNIFICADOATIVO REVERSÃO - (TRÂMITE PARCEL.) OS DE OFERTA NÃO INSTALADA</v>
      </c>
      <c r="L16" s="9" t="s">
        <v>24</v>
      </c>
    </row>
    <row r="17" spans="2:12" ht="15" customHeight="1" x14ac:dyDescent="0.25">
      <c r="E17" s="5" t="s">
        <v>1</v>
      </c>
      <c r="F17" s="5">
        <v>0</v>
      </c>
      <c r="G17" s="16">
        <f>IFERROR(VLOOKUP(E17,Plan1!$E:$F,2,0),"")</f>
        <v>0</v>
      </c>
      <c r="H17" s="23" t="str">
        <f t="shared" si="0"/>
        <v>OK</v>
      </c>
      <c r="I17" s="8" t="s">
        <v>24</v>
      </c>
      <c r="J17" s="8" t="s">
        <v>51</v>
      </c>
      <c r="K17" s="8" t="str">
        <f t="shared" si="1"/>
        <v>GO - BTCC - BKO UNIFICADORETENÇÃO- DOWNGRADE FIXO E VELOX R2</v>
      </c>
      <c r="L17" s="9" t="s">
        <v>24</v>
      </c>
    </row>
    <row r="18" spans="2:12" ht="15" customHeight="1" x14ac:dyDescent="0.25">
      <c r="E18" s="5" t="s">
        <v>2</v>
      </c>
      <c r="F18" s="5">
        <v>0</v>
      </c>
      <c r="G18" s="16">
        <f>IFERROR(VLOOKUP(E18,Plan1!$E:$F,2,0),"")</f>
        <v>0</v>
      </c>
      <c r="H18" s="23" t="str">
        <f t="shared" si="0"/>
        <v>OK</v>
      </c>
      <c r="I18" s="8" t="s">
        <v>24</v>
      </c>
      <c r="J18" s="8" t="s">
        <v>4</v>
      </c>
      <c r="K18" s="8" t="str">
        <f t="shared" si="1"/>
        <v>GO - BTCC - BKO UNIFICADORETENÇÃO - RESTRIÇÃO DE TELEMARKETING</v>
      </c>
      <c r="L18" s="9" t="s">
        <v>4</v>
      </c>
    </row>
    <row r="19" spans="2:12" ht="15" customHeight="1" x14ac:dyDescent="0.25">
      <c r="E19" s="5" t="s">
        <v>72</v>
      </c>
      <c r="F19" s="5">
        <v>0</v>
      </c>
      <c r="G19" s="16">
        <f>IFERROR(VLOOKUP(E19,Plan1!$E:$F,2,0),"")</f>
        <v>0</v>
      </c>
      <c r="H19" s="23" t="str">
        <f t="shared" si="0"/>
        <v>OK</v>
      </c>
      <c r="I19" s="8" t="s">
        <v>7</v>
      </c>
      <c r="J19" s="8" t="s">
        <v>31</v>
      </c>
      <c r="K19" s="8" t="str">
        <f t="shared" si="1"/>
        <v>GO - BTCC - BO CANAISSCNE - OS DE RETIRADA NÃO GERADA</v>
      </c>
      <c r="L19" s="9" t="s">
        <v>7</v>
      </c>
    </row>
    <row r="20" spans="2:12" ht="15" customHeight="1" x14ac:dyDescent="0.25">
      <c r="B20"/>
      <c r="C20"/>
      <c r="E20" s="5" t="s">
        <v>3</v>
      </c>
      <c r="F20" s="5">
        <v>0</v>
      </c>
      <c r="G20" s="16">
        <f>IFERROR(VLOOKUP(E20,Plan1!$E:$F,2,0),"")</f>
        <v>0</v>
      </c>
      <c r="H20" s="23" t="str">
        <f t="shared" si="0"/>
        <v>OK</v>
      </c>
      <c r="I20" s="8" t="s">
        <v>7</v>
      </c>
      <c r="J20" s="8" t="s">
        <v>52</v>
      </c>
      <c r="K20" s="8" t="str">
        <f t="shared" si="1"/>
        <v>GO - BTCC - BO CANAISDESISTÊNCIA DE VENDA</v>
      </c>
      <c r="L20" s="9" t="s">
        <v>7</v>
      </c>
    </row>
    <row r="21" spans="2:12" ht="15" customHeight="1" x14ac:dyDescent="0.25">
      <c r="B21"/>
      <c r="C21"/>
      <c r="E21" s="5"/>
      <c r="F21" s="5"/>
      <c r="G21" s="16" t="str">
        <f>IFERROR(VLOOKUP(E21,Plan1!$E:$F,2,0),"")</f>
        <v/>
      </c>
      <c r="H21" s="23" t="str">
        <f t="shared" si="0"/>
        <v>OK</v>
      </c>
      <c r="I21" s="8" t="s">
        <v>7</v>
      </c>
      <c r="J21" s="8" t="s">
        <v>32</v>
      </c>
      <c r="K21" s="8" t="str">
        <f t="shared" si="1"/>
        <v>GO - BTCC - BO CANAISSOLICITAÇÃO DE CANCELAMENTO - FIXO</v>
      </c>
      <c r="L21" s="9" t="s">
        <v>7</v>
      </c>
    </row>
    <row r="22" spans="2:12" ht="15" customHeight="1" x14ac:dyDescent="0.25">
      <c r="B22"/>
      <c r="C22"/>
      <c r="E22" s="5"/>
      <c r="F22" s="5"/>
      <c r="G22" s="16" t="str">
        <f>IFERROR(VLOOKUP(E22,Plan1!$E:$F,2,0),"")</f>
        <v/>
      </c>
      <c r="H22" s="23" t="str">
        <f t="shared" si="0"/>
        <v>OK</v>
      </c>
      <c r="I22" s="8" t="s">
        <v>7</v>
      </c>
      <c r="J22" s="8" t="s">
        <v>53</v>
      </c>
      <c r="K22" s="8" t="str">
        <f t="shared" si="1"/>
        <v>GO - BTCC - BO CANAISFIXO - CANCELAMENTO AGENTE AUTORIZADO</v>
      </c>
      <c r="L22" s="9" t="s">
        <v>7</v>
      </c>
    </row>
    <row r="23" spans="2:12" ht="15" customHeight="1" x14ac:dyDescent="0.25">
      <c r="E23" s="5"/>
      <c r="F23" s="5"/>
      <c r="G23" s="16" t="str">
        <f>IFERROR(VLOOKUP(E23,Plan1!$E:$F,2,0),"")</f>
        <v/>
      </c>
      <c r="H23" s="23" t="str">
        <f t="shared" si="0"/>
        <v>OK</v>
      </c>
      <c r="I23" s="8" t="s">
        <v>7</v>
      </c>
      <c r="J23" s="8" t="s">
        <v>54</v>
      </c>
      <c r="K23" s="8" t="str">
        <f t="shared" si="1"/>
        <v>GO - BTCC - BO CANAISSOLICITAÇÃO DE CANCELAMENTO - TURBO/VIDEON</v>
      </c>
      <c r="L23" s="9" t="s">
        <v>7</v>
      </c>
    </row>
    <row r="24" spans="2:12" ht="15" customHeight="1" x14ac:dyDescent="0.25">
      <c r="E24" s="5"/>
      <c r="F24" s="5"/>
      <c r="G24" s="16" t="str">
        <f>IFERROR(VLOOKUP(E24,Plan1!$E:$F,2,0),"")</f>
        <v/>
      </c>
      <c r="H24" s="23" t="str">
        <f t="shared" si="0"/>
        <v>OK</v>
      </c>
      <c r="I24" s="8" t="s">
        <v>7</v>
      </c>
      <c r="J24" s="8" t="s">
        <v>55</v>
      </c>
      <c r="K24" s="8" t="str">
        <f t="shared" si="1"/>
        <v>GO - BTCC - BO CANAISSOLICITAÇÃO DE CANCELAMENTO - VELOX ABERTURA BERÇÁRIO ATV</v>
      </c>
      <c r="L24" s="9" t="s">
        <v>7</v>
      </c>
    </row>
    <row r="25" spans="2:12" ht="15" customHeight="1" x14ac:dyDescent="0.25">
      <c r="E25" s="5"/>
      <c r="F25" s="5"/>
      <c r="G25" s="16" t="str">
        <f>IFERROR(VLOOKUP(E25,Plan1!$E:$F,2,0),"")</f>
        <v/>
      </c>
      <c r="H25" s="23" t="str">
        <f t="shared" si="0"/>
        <v>OK</v>
      </c>
      <c r="I25" s="8" t="s">
        <v>7</v>
      </c>
      <c r="J25" s="8" t="s">
        <v>56</v>
      </c>
      <c r="K25" s="8" t="str">
        <f t="shared" si="1"/>
        <v>GO - BTCC - BO CANAISBLOQUEIO BPR/CANC DE TERMINAL/VELOX - SAC ON LINE E CHAT</v>
      </c>
      <c r="L25" s="9" t="s">
        <v>7</v>
      </c>
    </row>
    <row r="26" spans="2:12" ht="15" customHeight="1" x14ac:dyDescent="0.25">
      <c r="E26" s="5"/>
      <c r="F26" s="5"/>
      <c r="G26" s="16" t="str">
        <f>IFERROR(VLOOKUP(E26,Plan1!$E:$F,2,0),"")</f>
        <v/>
      </c>
      <c r="I26" s="8" t="s">
        <v>8</v>
      </c>
      <c r="J26" s="8" t="s">
        <v>57</v>
      </c>
      <c r="K26" s="8" t="str">
        <f t="shared" si="1"/>
        <v>GO - BTCC - RACO RETENÇÃORACO - CANCELAMENTO FIXO E VELOX R2</v>
      </c>
      <c r="L26" s="9" t="s">
        <v>8</v>
      </c>
    </row>
    <row r="27" spans="2:12" ht="15" customHeight="1" x14ac:dyDescent="0.25">
      <c r="E27" s="5"/>
      <c r="F27" s="5"/>
      <c r="G27" s="16" t="str">
        <f>IFERROR(VLOOKUP(E27,Plan1!$E:$F,2,0),"")</f>
        <v/>
      </c>
      <c r="I27" s="8" t="s">
        <v>9</v>
      </c>
      <c r="J27" s="8" t="s">
        <v>33</v>
      </c>
      <c r="K27" s="8" t="str">
        <f t="shared" si="1"/>
        <v>GO - BTCC - REINSTALAÇÃO DE TERMINALDESISTÊNCIA DE CANCELAMENTO FIXO/VELOX - RETIRADA DE BPR</v>
      </c>
      <c r="L27" s="9" t="s">
        <v>9</v>
      </c>
    </row>
    <row r="28" spans="2:12" ht="15" customHeight="1" x14ac:dyDescent="0.25">
      <c r="E28" s="5"/>
      <c r="F28" s="5"/>
      <c r="G28" s="16" t="str">
        <f>IFERROR(VLOOKUP(E28,Plan1!$E:$F,2,0),"")</f>
        <v/>
      </c>
      <c r="I28" s="8" t="s">
        <v>9</v>
      </c>
      <c r="J28" s="8" t="s">
        <v>30</v>
      </c>
      <c r="K28" s="8" t="str">
        <f t="shared" si="1"/>
        <v>GO - BTCC - REINSTALAÇÃO DE TERMINALCANCELAMENTO INDEVIDO - GERAÇÃO OS REINSTALAÇÃO</v>
      </c>
      <c r="L28" s="9" t="s">
        <v>9</v>
      </c>
    </row>
    <row r="29" spans="2:12" ht="15" customHeight="1" x14ac:dyDescent="0.25">
      <c r="E29" s="5"/>
      <c r="F29" s="5"/>
      <c r="G29" s="16" t="str">
        <f>IFERROR(VLOOKUP(E29,Plan1!$E:$F,2,0),"")</f>
        <v/>
      </c>
      <c r="I29" s="8" t="s">
        <v>9</v>
      </c>
      <c r="J29" s="8" t="s">
        <v>43</v>
      </c>
      <c r="K29" s="8" t="str">
        <f t="shared" si="1"/>
        <v>GO - BTCC - REINSTALAÇÃO DE TERMINALMUDANÇA DE ENDEREÇO SEM PORTABILIDADE</v>
      </c>
      <c r="L29" s="9" t="s">
        <v>9</v>
      </c>
    </row>
    <row r="30" spans="2:12" ht="15" customHeight="1" x14ac:dyDescent="0.25">
      <c r="E30" s="5"/>
      <c r="F30" s="5"/>
      <c r="G30" s="16" t="str">
        <f>IFERROR(VLOOKUP(E30,Plan1!$E:$F,2,0),"")</f>
        <v/>
      </c>
      <c r="I30" s="8" t="s">
        <v>58</v>
      </c>
      <c r="J30" s="8" t="s">
        <v>59</v>
      </c>
      <c r="K30" s="8" t="str">
        <f t="shared" si="1"/>
        <v>GO - BTCC - RET - CREDITO CONFIANÇA - RETIFICAÇÃO/OPRATIVO REVERSÃO - RETIFICAÇÃO/OPR - CRÉDITO EM CONFIANÇA</v>
      </c>
      <c r="L30" s="9" t="s">
        <v>10</v>
      </c>
    </row>
    <row r="31" spans="2:12" ht="15" customHeight="1" x14ac:dyDescent="0.25">
      <c r="E31" s="5"/>
      <c r="F31" s="5"/>
      <c r="G31" s="16" t="str">
        <f>IFERROR(VLOOKUP(E31,Plan1!$E:$F,2,0),"")</f>
        <v/>
      </c>
      <c r="I31" s="8" t="s">
        <v>11</v>
      </c>
      <c r="J31" s="8" t="s">
        <v>60</v>
      </c>
      <c r="K31" s="8" t="str">
        <f t="shared" si="1"/>
        <v>GO - BTCC - RET - CREDITO EM CONFIANÇA - ESTORNOATIVO REVERSÃO - ESTORNO - CRÉDITO EM CONFIANÇA</v>
      </c>
      <c r="L31" s="9" t="s">
        <v>11</v>
      </c>
    </row>
    <row r="32" spans="2:12" ht="15" customHeight="1" x14ac:dyDescent="0.25">
      <c r="E32" s="5"/>
      <c r="F32" s="5"/>
      <c r="G32" s="16" t="str">
        <f>IFERROR(VLOOKUP(E32,Plan1!$E:$F,2,0),"")</f>
        <v/>
      </c>
      <c r="I32" s="8" t="s">
        <v>12</v>
      </c>
      <c r="J32" s="8" t="s">
        <v>34</v>
      </c>
      <c r="K32" s="8" t="str">
        <f t="shared" si="1"/>
        <v>GO - BTCC - RET ATENDIMENTO COUNI_CO - DESQUALIFICAÇÃO PARCIAL VELOX</v>
      </c>
      <c r="L32" s="9" t="s">
        <v>12</v>
      </c>
    </row>
    <row r="33" spans="5:12" ht="15" customHeight="1" x14ac:dyDescent="0.25">
      <c r="E33" s="5"/>
      <c r="F33" s="5"/>
      <c r="G33" s="16" t="str">
        <f>IFERROR(VLOOKUP(E33,Plan1!$E:$F,2,0),"")</f>
        <v/>
      </c>
      <c r="I33" s="8" t="s">
        <v>12</v>
      </c>
      <c r="J33" s="8" t="s">
        <v>61</v>
      </c>
      <c r="K33" s="8" t="str">
        <f t="shared" si="1"/>
        <v>GO - BTCC - RET ATENDIMENTO COCO - INDISPONIBILIDADE RET VAREJO</v>
      </c>
      <c r="L33" s="9" t="s">
        <v>12</v>
      </c>
    </row>
    <row r="34" spans="5:12" ht="15" customHeight="1" x14ac:dyDescent="0.25">
      <c r="E34" s="5"/>
      <c r="F34" s="5"/>
      <c r="G34" s="16" t="str">
        <f>IFERROR(VLOOKUP(E34,Plan1!$E:$F,2,0),"")</f>
        <v/>
      </c>
      <c r="I34" s="8" t="s">
        <v>12</v>
      </c>
      <c r="J34" s="8" t="s">
        <v>44</v>
      </c>
      <c r="K34" s="8" t="str">
        <f t="shared" si="1"/>
        <v>GO - BTCC - RET ATENDIMENTO CORETENÇÃO VELOX - APLICAÇÃO DE OFERTA NO FIXO/VELOX CANCELADO</v>
      </c>
      <c r="L34" s="9" t="s">
        <v>12</v>
      </c>
    </row>
    <row r="35" spans="5:12" ht="15" customHeight="1" x14ac:dyDescent="0.25">
      <c r="E35" s="5"/>
      <c r="F35" s="5"/>
      <c r="G35" s="16" t="str">
        <f>IFERROR(VLOOKUP(E35,Plan1!$E:$F,2,0),"")</f>
        <v/>
      </c>
      <c r="I35" s="8" t="s">
        <v>12</v>
      </c>
      <c r="J35" s="8" t="s">
        <v>36</v>
      </c>
      <c r="K35" s="8" t="str">
        <f t="shared" si="1"/>
        <v>GO - BTCC - RET ATENDIMENTO COBO RETENÇÃO - CORREÇÃO INIB. RETENÇÃO</v>
      </c>
      <c r="L35" s="9" t="s">
        <v>12</v>
      </c>
    </row>
    <row r="36" spans="5:12" ht="15" customHeight="1" x14ac:dyDescent="0.25">
      <c r="E36" s="5"/>
      <c r="F36" s="5"/>
      <c r="G36" s="16" t="str">
        <f>IFERROR(VLOOKUP(E36,Plan1!$E:$F,2,0),"")</f>
        <v/>
      </c>
      <c r="I36" s="8" t="s">
        <v>12</v>
      </c>
      <c r="J36" s="8" t="s">
        <v>28</v>
      </c>
      <c r="K36" s="8" t="str">
        <f t="shared" si="1"/>
        <v>GO - BTCC - RET ATENDIMENTO CORETENÇÃO - PROCEDIMENTOS DE APOIO</v>
      </c>
      <c r="L36" s="9" t="s">
        <v>12</v>
      </c>
    </row>
    <row r="37" spans="5:12" ht="15" customHeight="1" x14ac:dyDescent="0.25">
      <c r="E37" s="5"/>
      <c r="F37" s="5"/>
      <c r="G37" s="16" t="str">
        <f>IFERROR(VLOOKUP(E37,Plan1!$E:$F,2,0),"")</f>
        <v/>
      </c>
      <c r="I37" s="8" t="s">
        <v>12</v>
      </c>
      <c r="J37" s="8" t="s">
        <v>33</v>
      </c>
      <c r="K37" s="8" t="str">
        <f t="shared" si="1"/>
        <v>GO - BTCC - RET ATENDIMENTO CODESISTÊNCIA DE CANCELAMENTO FIXO/VELOX - RETIRADA DE BPR</v>
      </c>
      <c r="L37" s="9" t="s">
        <v>12</v>
      </c>
    </row>
    <row r="38" spans="5:12" ht="15" customHeight="1" x14ac:dyDescent="0.25">
      <c r="E38" s="5"/>
      <c r="F38" s="5"/>
      <c r="G38" s="16" t="str">
        <f>IFERROR(VLOOKUP(E38,Plan1!$E:$F,2,0),"")</f>
        <v/>
      </c>
      <c r="I38" s="8" t="s">
        <v>13</v>
      </c>
      <c r="J38" s="8" t="s">
        <v>35</v>
      </c>
      <c r="K38" s="8" t="str">
        <f t="shared" si="1"/>
        <v>GO - BTCC - RETENÇÃO CUMPRIMENTO JURIDICOBO RETENÇÃO - CUMPRIMENTO DETERMINAÇÃO JUDICIAL</v>
      </c>
      <c r="L38" s="9" t="s">
        <v>13</v>
      </c>
    </row>
    <row r="39" spans="5:12" ht="15" customHeight="1" x14ac:dyDescent="0.25">
      <c r="E39" s="5"/>
      <c r="F39" s="5"/>
      <c r="G39" s="16" t="str">
        <f>IFERROR(VLOOKUP(E39,Plan1!$E:$F,2,0),"")</f>
        <v/>
      </c>
      <c r="I39" s="8" t="s">
        <v>14</v>
      </c>
      <c r="J39" s="8" t="s">
        <v>62</v>
      </c>
      <c r="K39" s="8" t="str">
        <f t="shared" si="1"/>
        <v>GO - BTCC - RETENÇÃO ENVIO DE CHIPATIVO REVERSÃO - ENVIO DE CHIP PRÉ</v>
      </c>
      <c r="L39" s="9" t="s">
        <v>14</v>
      </c>
    </row>
    <row r="40" spans="5:12" ht="15" customHeight="1" x14ac:dyDescent="0.25">
      <c r="E40" s="5"/>
      <c r="F40" s="5"/>
      <c r="G40" s="16" t="str">
        <f>IFERROR(VLOOKUP(E40,Plan1!$E:$F,2,0),"")</f>
        <v/>
      </c>
      <c r="I40" s="8" t="s">
        <v>15</v>
      </c>
      <c r="J40" s="8" t="s">
        <v>36</v>
      </c>
      <c r="K40" s="8" t="str">
        <f t="shared" si="1"/>
        <v>GO - BTCC - RETENÇÃO INIBIÇÃO DE VALORESBO RETENÇÃO - CORREÇÃO INIB. RETENÇÃO</v>
      </c>
      <c r="L40" s="9" t="s">
        <v>15</v>
      </c>
    </row>
    <row r="41" spans="5:12" ht="15" customHeight="1" x14ac:dyDescent="0.25">
      <c r="E41" s="5"/>
      <c r="F41" s="5"/>
      <c r="G41" s="16" t="str">
        <f>IFERROR(VLOOKUP(E41,Plan1!$E:$F,2,0),"")</f>
        <v/>
      </c>
      <c r="I41" s="8" t="s">
        <v>15</v>
      </c>
      <c r="J41" s="8" t="s">
        <v>49</v>
      </c>
      <c r="K41" s="8" t="str">
        <f t="shared" si="1"/>
        <v>GO - BTCC - RETENÇÃO INIBIÇÃO DE VALORESRETENÇÃO - ISENÇÃO MULTA/THAB</v>
      </c>
      <c r="L41" s="9" t="s">
        <v>15</v>
      </c>
    </row>
    <row r="42" spans="5:12" ht="15" customHeight="1" x14ac:dyDescent="0.25">
      <c r="E42" s="5"/>
      <c r="F42" s="5"/>
      <c r="G42" s="16" t="str">
        <f>IFERROR(VLOOKUP(E42,Plan1!$E:$F,2,0),"")</f>
        <v/>
      </c>
      <c r="I42" s="8" t="s">
        <v>9</v>
      </c>
      <c r="J42" s="8" t="s">
        <v>28</v>
      </c>
      <c r="K42" s="8" t="str">
        <f t="shared" si="1"/>
        <v>GO - BTCC - REINSTALAÇÃO DE TERMINALRETENÇÃO - PROCEDIMENTOS DE APOIO</v>
      </c>
      <c r="L42" s="9" t="s">
        <v>9</v>
      </c>
    </row>
    <row r="43" spans="5:12" ht="15" customHeight="1" x14ac:dyDescent="0.25">
      <c r="E43" s="5"/>
      <c r="F43" s="5"/>
      <c r="G43" s="16" t="str">
        <f>IFERROR(VLOOKUP(E43,Plan1!$E:$F,2,0),"")</f>
        <v/>
      </c>
      <c r="I43" s="8" t="s">
        <v>24</v>
      </c>
      <c r="J43" s="8" t="s">
        <v>60</v>
      </c>
      <c r="K43" s="8" t="str">
        <f t="shared" si="1"/>
        <v>GO - BTCC - BKO UNIFICADOATIVO REVERSÃO - ESTORNO - CRÉDITO EM CONFIANÇA</v>
      </c>
      <c r="L43" s="9" t="s">
        <v>24</v>
      </c>
    </row>
    <row r="44" spans="5:12" ht="15" customHeight="1" x14ac:dyDescent="0.25">
      <c r="E44" s="5"/>
      <c r="F44" s="5"/>
      <c r="G44" s="16" t="str">
        <f>IFERROR(VLOOKUP(E44,Plan1!$E:$F,2,0),"")</f>
        <v/>
      </c>
      <c r="I44" s="8" t="s">
        <v>9</v>
      </c>
      <c r="J44" s="8" t="s">
        <v>31</v>
      </c>
      <c r="K44" s="8" t="str">
        <f t="shared" si="1"/>
        <v>GO - BTCC - REINSTALAÇÃO DE TERMINALSCNE - OS DE RETIRADA NÃO GERADA</v>
      </c>
      <c r="L44" s="9" t="s">
        <v>9</v>
      </c>
    </row>
    <row r="45" spans="5:12" ht="15" customHeight="1" x14ac:dyDescent="0.25">
      <c r="E45" s="5"/>
      <c r="F45" s="5"/>
      <c r="G45" s="16" t="str">
        <f>IFERROR(VLOOKUP(E45,Plan1!$E:$F,2,0),"")</f>
        <v/>
      </c>
      <c r="I45" s="8" t="s">
        <v>65</v>
      </c>
      <c r="J45" s="8" t="s">
        <v>66</v>
      </c>
      <c r="K45" s="8" t="str">
        <f t="shared" si="1"/>
        <v>GO - BTCC - INVIABILIDADE DE VELOXCRV - INVIABILIDADE DE VELOX</v>
      </c>
      <c r="L45" s="9" t="s">
        <v>67</v>
      </c>
    </row>
    <row r="46" spans="5:12" ht="15" customHeight="1" x14ac:dyDescent="0.25">
      <c r="E46" s="5"/>
      <c r="F46" s="5"/>
      <c r="G46" s="16" t="str">
        <f>IFERROR(VLOOKUP(E46,Plan1!$E:$F,2,0),"")</f>
        <v/>
      </c>
      <c r="I46" s="8" t="s">
        <v>68</v>
      </c>
      <c r="J46" s="8" t="s">
        <v>17</v>
      </c>
      <c r="K46" s="8" t="str">
        <f t="shared" si="1"/>
        <v>GO - BTCC - BLINDAGEM E DOWNGRADE - OS DE OFERTA NÃO INSTALADAAG 17</v>
      </c>
      <c r="L46" s="9" t="s">
        <v>42</v>
      </c>
    </row>
    <row r="47" spans="5:12" ht="15" customHeight="1" x14ac:dyDescent="0.25">
      <c r="E47" s="5"/>
      <c r="F47" s="5"/>
      <c r="G47" s="16" t="str">
        <f>IFERROR(VLOOKUP(E47,Plan1!$E:$F,2,0),"")</f>
        <v/>
      </c>
      <c r="I47" s="8" t="s">
        <v>9</v>
      </c>
      <c r="J47" s="8" t="s">
        <v>44</v>
      </c>
      <c r="K47" s="8" t="str">
        <f t="shared" si="1"/>
        <v>GO - BTCC - REINSTALAÇÃO DE TERMINALRETENÇÃO VELOX - APLICAÇÃO DE OFERTA NO FIXO/VELOX CANCELADO</v>
      </c>
      <c r="L47" s="9" t="s">
        <v>9</v>
      </c>
    </row>
    <row r="48" spans="5:12" ht="15" customHeight="1" x14ac:dyDescent="0.25">
      <c r="E48" s="5"/>
      <c r="F48" s="5"/>
      <c r="G48" s="16" t="str">
        <f>IFERROR(VLOOKUP(E48,Plan1!$E:$F,2,0),"")</f>
        <v/>
      </c>
      <c r="I48" s="8" t="s">
        <v>24</v>
      </c>
      <c r="J48" s="8" t="s">
        <v>69</v>
      </c>
      <c r="K48" s="8" t="str">
        <f t="shared" si="1"/>
        <v>GO - BTCC - BKO UNIFICADOBO RETENÇÃO - CADASTRO DE RECARGA AUTOMÁTICA ARS</v>
      </c>
      <c r="L48" s="9" t="s">
        <v>24</v>
      </c>
    </row>
    <row r="49" spans="5:13" ht="15" customHeight="1" x14ac:dyDescent="0.25">
      <c r="E49" s="5"/>
      <c r="F49" s="5"/>
      <c r="G49" s="16" t="str">
        <f>IFERROR(VLOOKUP(E49,Plan1!$E:$F,2,0),"")</f>
        <v/>
      </c>
      <c r="I49" s="8" t="s">
        <v>68</v>
      </c>
      <c r="J49" s="8" t="s">
        <v>1</v>
      </c>
      <c r="K49" s="8" t="str">
        <f t="shared" si="1"/>
        <v>GO - BTCC - BLINDAGEM E DOWNGRADE - OS DE OFERTA NÃO INSTALADAMIGRAÇÃO PLANOS COMBOS FIXA</v>
      </c>
      <c r="L49" s="9" t="s">
        <v>1</v>
      </c>
      <c r="M49" s="1" t="s">
        <v>82</v>
      </c>
    </row>
    <row r="50" spans="5:13" ht="15" customHeight="1" x14ac:dyDescent="0.25">
      <c r="E50" s="5"/>
      <c r="F50" s="5"/>
      <c r="G50" s="16" t="str">
        <f>IFERROR(VLOOKUP(E50,Plan1!$E:$F,2,0),"")</f>
        <v/>
      </c>
      <c r="I50" s="8" t="s">
        <v>74</v>
      </c>
      <c r="J50" s="8" t="s">
        <v>75</v>
      </c>
      <c r="K50" s="8" t="str">
        <f t="shared" si="1"/>
        <v>BR- MASTER - RET INVOL - DESCONTO FACILITADOINVOL - FIXO/VELOX - DESCONTO FACILITADO</v>
      </c>
      <c r="L50" s="9" t="s">
        <v>2</v>
      </c>
    </row>
    <row r="51" spans="5:13" ht="15" customHeight="1" x14ac:dyDescent="0.25">
      <c r="I51" s="8" t="s">
        <v>76</v>
      </c>
      <c r="J51" s="8" t="s">
        <v>77</v>
      </c>
      <c r="K51" s="8" t="str">
        <f t="shared" si="1"/>
        <v>BR- CONTAX - RET INVOL - DESCONTO FACILITADOINVOL - FIXO/VELOX - DESCONTO FACILITADO CTX</v>
      </c>
      <c r="L51" s="9" t="s">
        <v>72</v>
      </c>
    </row>
    <row r="52" spans="5:13" ht="15" customHeight="1" x14ac:dyDescent="0.25">
      <c r="I52" s="8" t="s">
        <v>68</v>
      </c>
      <c r="J52" s="8" t="s">
        <v>3</v>
      </c>
      <c r="K52" s="8" t="str">
        <f t="shared" ref="K52:K56" si="2">I52&amp;J52</f>
        <v>GO - BTCC - BLINDAGEM E DOWNGRADE - OS DE OFERTA NÃO INSTALADAILHA DE MIGRAÇÃO - INSTALAR OFERTA</v>
      </c>
      <c r="L52" s="9" t="s">
        <v>3</v>
      </c>
    </row>
    <row r="53" spans="5:13" ht="15" customHeight="1" x14ac:dyDescent="0.25">
      <c r="I53" s="8" t="s">
        <v>78</v>
      </c>
      <c r="J53" s="8" t="s">
        <v>79</v>
      </c>
      <c r="K53" s="8" t="str">
        <f t="shared" si="2"/>
        <v>CTA BTCC MERCADO EMPRESARIAL RETENÇÃO FIXO/VELOXILHA DE MIGRAÇÃO EMP - INCLUSÃO PLANO/SERVIÇO FIXO E VELOX</v>
      </c>
      <c r="L53" s="9" t="s">
        <v>3</v>
      </c>
    </row>
    <row r="54" spans="5:13" ht="15" customHeight="1" x14ac:dyDescent="0.25">
      <c r="I54" s="8" t="s">
        <v>7</v>
      </c>
      <c r="J54" s="8" t="s">
        <v>81</v>
      </c>
      <c r="K54" s="8" t="str">
        <f t="shared" si="2"/>
        <v>GO - BTCC - BO CANAISTURBO OU VELOX - CANCELAMENTO AGENTE AUTORIZADO</v>
      </c>
      <c r="L54" s="9" t="s">
        <v>7</v>
      </c>
    </row>
    <row r="55" spans="5:13" ht="15" customHeight="1" x14ac:dyDescent="0.25">
      <c r="I55" s="8" t="s">
        <v>7</v>
      </c>
      <c r="J55" s="8" t="s">
        <v>87</v>
      </c>
      <c r="K55" s="8" t="str">
        <f t="shared" si="2"/>
        <v>GO - BTCC - BO CANAISRET CANAIS - PROTOCOLO WEB - VELOX</v>
      </c>
      <c r="L55" s="9" t="s">
        <v>7</v>
      </c>
    </row>
    <row r="56" spans="5:13" ht="15" customHeight="1" x14ac:dyDescent="0.25">
      <c r="I56" s="8" t="s">
        <v>7</v>
      </c>
      <c r="J56" s="8" t="s">
        <v>88</v>
      </c>
      <c r="K56" s="8" t="str">
        <f t="shared" si="2"/>
        <v>GO - BTCC - BO CANAISCANCELAMENTO DE ACESSO MÓVEL MASSA - SAC ON LINE E CHAT</v>
      </c>
      <c r="L56" s="9" t="s">
        <v>7</v>
      </c>
    </row>
    <row r="57" spans="5:13" ht="15" customHeight="1" x14ac:dyDescent="0.25">
      <c r="I57" s="8"/>
      <c r="J57" s="8"/>
      <c r="K57" s="8"/>
      <c r="L57" s="9"/>
    </row>
    <row r="58" spans="5:13" ht="15" customHeight="1" x14ac:dyDescent="0.25">
      <c r="I58" s="8"/>
      <c r="J58" s="8"/>
      <c r="K58" s="8"/>
      <c r="L58" s="9"/>
    </row>
    <row r="59" spans="5:13" ht="15" customHeight="1" x14ac:dyDescent="0.25">
      <c r="I59" s="8"/>
      <c r="J59" s="8"/>
      <c r="K59" s="8"/>
      <c r="L59" s="9"/>
    </row>
    <row r="60" spans="5:13" ht="15" customHeight="1" x14ac:dyDescent="0.25">
      <c r="I60" s="8"/>
      <c r="J60" s="8"/>
      <c r="K60" s="8"/>
      <c r="L60" s="9"/>
    </row>
    <row r="61" spans="5:13" ht="15" customHeight="1" x14ac:dyDescent="0.25">
      <c r="I61" s="8"/>
      <c r="J61" s="8"/>
      <c r="K61" s="8"/>
      <c r="L61" s="9"/>
    </row>
    <row r="62" spans="5:13" ht="15" customHeight="1" x14ac:dyDescent="0.25">
      <c r="I62" s="8"/>
      <c r="J62" s="8"/>
      <c r="K62" s="8"/>
      <c r="L62" s="9"/>
    </row>
    <row r="63" spans="5:13" ht="15" customHeight="1" x14ac:dyDescent="0.25">
      <c r="I63" s="8"/>
      <c r="J63" s="8"/>
      <c r="K63" s="8"/>
      <c r="L63" s="9"/>
    </row>
    <row r="64" spans="5:13" ht="15" customHeight="1" x14ac:dyDescent="0.25">
      <c r="I64" s="8"/>
      <c r="J64" s="8"/>
      <c r="K64" s="8"/>
      <c r="L64" s="9"/>
    </row>
    <row r="65" spans="9:12" ht="15" customHeight="1" x14ac:dyDescent="0.25">
      <c r="I65" s="8"/>
      <c r="J65" s="8"/>
      <c r="K65" s="8"/>
      <c r="L65" s="9"/>
    </row>
    <row r="66" spans="9:12" ht="15" customHeight="1" x14ac:dyDescent="0.25">
      <c r="I66" s="8"/>
      <c r="J66" s="8"/>
      <c r="K66" s="8"/>
      <c r="L66" s="9"/>
    </row>
    <row r="67" spans="9:12" ht="15" customHeight="1" x14ac:dyDescent="0.25">
      <c r="I67" s="8"/>
      <c r="J67" s="8"/>
      <c r="K67" s="8"/>
      <c r="L67" s="9"/>
    </row>
    <row r="68" spans="9:12" ht="15" customHeight="1" x14ac:dyDescent="0.25">
      <c r="I68" s="8"/>
      <c r="J68" s="8"/>
      <c r="K68" s="8"/>
      <c r="L68" s="9"/>
    </row>
    <row r="69" spans="9:12" ht="15" customHeight="1" x14ac:dyDescent="0.25">
      <c r="I69" s="8"/>
      <c r="J69" s="8"/>
      <c r="K69" s="8"/>
      <c r="L69" s="9"/>
    </row>
    <row r="70" spans="9:12" ht="15" customHeight="1" x14ac:dyDescent="0.25">
      <c r="I70" s="8"/>
      <c r="J70" s="8"/>
      <c r="K70" s="8"/>
      <c r="L70" s="9"/>
    </row>
    <row r="71" spans="9:12" ht="15" customHeight="1" x14ac:dyDescent="0.25">
      <c r="I71" s="8"/>
      <c r="J71" s="8"/>
      <c r="K71" s="8"/>
      <c r="L71" s="9"/>
    </row>
    <row r="72" spans="9:12" ht="15" customHeight="1" x14ac:dyDescent="0.25">
      <c r="I72" s="8"/>
      <c r="J72" s="8"/>
      <c r="K72" s="8"/>
      <c r="L72" s="9"/>
    </row>
    <row r="73" spans="9:12" ht="15" customHeight="1" x14ac:dyDescent="0.25">
      <c r="I73" s="8"/>
      <c r="J73" s="8"/>
      <c r="K73" s="8"/>
      <c r="L73" s="9"/>
    </row>
    <row r="74" spans="9:12" ht="15" customHeight="1" x14ac:dyDescent="0.25">
      <c r="I74" s="8"/>
      <c r="J74" s="8"/>
      <c r="K74" s="8"/>
      <c r="L74" s="9"/>
    </row>
    <row r="75" spans="9:12" ht="15" customHeight="1" x14ac:dyDescent="0.25">
      <c r="I75" s="8"/>
      <c r="J75" s="8"/>
      <c r="K75" s="8"/>
      <c r="L75" s="9"/>
    </row>
  </sheetData>
  <mergeCells count="1">
    <mergeCell ref="B2:C2"/>
  </mergeCells>
  <conditionalFormatting sqref="K1:K63 K76:K1048576">
    <cfRule type="duplicateValues" dxfId="12" priority="14"/>
  </conditionalFormatting>
  <conditionalFormatting sqref="K64">
    <cfRule type="duplicateValues" dxfId="11" priority="12"/>
  </conditionalFormatting>
  <conditionalFormatting sqref="K65">
    <cfRule type="duplicateValues" dxfId="10" priority="11"/>
  </conditionalFormatting>
  <conditionalFormatting sqref="K66">
    <cfRule type="duplicateValues" dxfId="9" priority="10"/>
  </conditionalFormatting>
  <conditionalFormatting sqref="K67">
    <cfRule type="duplicateValues" dxfId="8" priority="9"/>
  </conditionalFormatting>
  <conditionalFormatting sqref="K68">
    <cfRule type="duplicateValues" dxfId="7" priority="8"/>
  </conditionalFormatting>
  <conditionalFormatting sqref="K69">
    <cfRule type="duplicateValues" dxfId="6" priority="7"/>
  </conditionalFormatting>
  <conditionalFormatting sqref="K70">
    <cfRule type="duplicateValues" dxfId="5" priority="6"/>
  </conditionalFormatting>
  <conditionalFormatting sqref="K71">
    <cfRule type="duplicateValues" dxfId="4" priority="5"/>
  </conditionalFormatting>
  <conditionalFormatting sqref="K72">
    <cfRule type="duplicateValues" dxfId="3" priority="4"/>
  </conditionalFormatting>
  <conditionalFormatting sqref="K73">
    <cfRule type="duplicateValues" dxfId="2" priority="3"/>
  </conditionalFormatting>
  <conditionalFormatting sqref="K74">
    <cfRule type="duplicateValues" dxfId="1" priority="2"/>
  </conditionalFormatting>
  <conditionalFormatting sqref="K75">
    <cfRule type="duplicateValues" dxfId="0" priority="1"/>
  </conditionalFormatting>
  <hyperlinks>
    <hyperlink ref="Q4" r:id="rId1"/>
    <hyperlink ref="Q3" r:id="rId2"/>
    <hyperlink ref="B5" r:id="rId3"/>
  </hyperlinks>
  <pageMargins left="0.511811024" right="0.511811024" top="0.78740157499999996" bottom="0.78740157499999996" header="0.31496062000000002" footer="0.31496062000000002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2021-01-07T15:02:32Z</dcterms:created>
  <dcterms:modified xsi:type="dcterms:W3CDTF">2021-12-13T11:47:44Z</dcterms:modified>
</cp:coreProperties>
</file>