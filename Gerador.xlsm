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naspc31\Bo_OCT$\02_Staff\BO_MACRO\09_BO MOBILIDADE\"/>
    </mc:Choice>
  </mc:AlternateContent>
  <bookViews>
    <workbookView xWindow="0" yWindow="0" windowWidth="18750" windowHeight="9975" tabRatio="585"/>
  </bookViews>
  <sheets>
    <sheet name="Gerador" sheetId="1" r:id="rId1"/>
    <sheet name="Validador da Macro" sheetId="2" state="hidden" r:id="rId2"/>
    <sheet name="Levantamento Realizado" sheetId="3" r:id="rId3"/>
  </sheets>
  <definedNames>
    <definedName name="_xlnm._FilterDatabase" localSheetId="0" hidden="1">Gerador!$A$32:$AJ$32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F6" i="1" l="1"/>
  <c r="BZ4" i="1"/>
  <c r="AJ41" i="3"/>
  <c r="AJ4" i="3"/>
  <c r="AJ5" i="3"/>
  <c r="AJ6" i="3"/>
  <c r="AJ7" i="3"/>
  <c r="AJ8" i="3"/>
  <c r="AJ9" i="3"/>
  <c r="AJ10" i="3"/>
  <c r="AJ11" i="3"/>
  <c r="AJ12" i="3"/>
  <c r="AJ13" i="3"/>
  <c r="AJ14" i="3"/>
  <c r="AJ15" i="3"/>
  <c r="AJ16" i="3"/>
  <c r="AJ17" i="3"/>
  <c r="AJ18" i="3"/>
  <c r="AJ19" i="3"/>
  <c r="AJ20" i="3"/>
  <c r="AJ21" i="3"/>
  <c r="AJ22" i="3"/>
  <c r="AJ23" i="3"/>
  <c r="AJ24" i="3"/>
  <c r="AJ25" i="3"/>
  <c r="AJ26" i="3"/>
  <c r="AJ27" i="3"/>
  <c r="AJ28" i="3"/>
  <c r="AJ29" i="3"/>
  <c r="AJ30" i="3"/>
  <c r="AJ31" i="3"/>
  <c r="AJ32" i="3"/>
  <c r="AJ33" i="3"/>
  <c r="AJ34" i="3"/>
  <c r="AJ35" i="3"/>
  <c r="AJ36" i="3"/>
  <c r="AJ37" i="3"/>
  <c r="AJ38" i="3"/>
  <c r="AJ39" i="3"/>
  <c r="AJ40" i="3"/>
  <c r="AJ3" i="3"/>
  <c r="BF5" i="1" l="1"/>
  <c r="BF4" i="1"/>
  <c r="AV6" i="1" l="1"/>
  <c r="AV5" i="1" l="1"/>
  <c r="AV4" i="1"/>
  <c r="AJ3" i="1" l="1"/>
  <c r="Q2" i="1" l="1"/>
  <c r="AH5" i="1" l="1"/>
  <c r="AE26" i="1" l="1"/>
  <c r="AE38" i="1" s="1"/>
  <c r="AE50" i="1" s="1"/>
  <c r="AE25" i="1"/>
  <c r="AE37" i="1" s="1"/>
  <c r="AE49" i="1" s="1"/>
  <c r="AE24" i="1"/>
  <c r="AE36" i="1" s="1"/>
  <c r="AE48" i="1" s="1"/>
  <c r="AE23" i="1"/>
  <c r="AE35" i="1" s="1"/>
  <c r="AE47" i="1" s="1"/>
  <c r="AE22" i="1"/>
  <c r="AE34" i="1" s="1"/>
  <c r="AE46" i="1" s="1"/>
  <c r="AE21" i="1"/>
  <c r="AE33" i="1" s="1"/>
  <c r="AE45" i="1" s="1"/>
  <c r="AE20" i="1"/>
  <c r="AE32" i="1" s="1"/>
  <c r="AE44" i="1" s="1"/>
  <c r="AE19" i="1"/>
  <c r="AE31" i="1" s="1"/>
  <c r="AE43" i="1" s="1"/>
  <c r="AE18" i="1"/>
  <c r="AE30" i="1" s="1"/>
  <c r="AE42" i="1" s="1"/>
  <c r="AE17" i="1"/>
  <c r="AE29" i="1" s="1"/>
  <c r="AE41" i="1" s="1"/>
  <c r="AE16" i="1"/>
  <c r="AE28" i="1" s="1"/>
  <c r="AE40" i="1" s="1"/>
  <c r="AE15" i="1"/>
  <c r="AE27" i="1" s="1"/>
  <c r="AE39" i="1" s="1"/>
  <c r="AE51" i="1" s="1"/>
  <c r="AH4" i="1"/>
  <c r="AA4" i="1"/>
  <c r="AD4" i="1" s="1"/>
  <c r="AI3" i="1"/>
  <c r="AH3" i="1"/>
  <c r="AD3" i="1"/>
  <c r="AC3" i="1"/>
  <c r="AB3" i="1" s="1"/>
  <c r="M32" i="1" l="1"/>
  <c r="M33" i="1" s="1"/>
  <c r="M34" i="1" s="1"/>
  <c r="AC4" i="1"/>
  <c r="AB4" i="1" s="1"/>
  <c r="AA5" i="1"/>
  <c r="M12" i="1"/>
  <c r="M13" i="1" s="1"/>
  <c r="M14" i="1" s="1"/>
  <c r="M22" i="1"/>
  <c r="M23" i="1" s="1"/>
  <c r="M24" i="1" s="1"/>
  <c r="M3" i="1"/>
  <c r="M4" i="1" s="1"/>
  <c r="M5" i="1" s="1"/>
  <c r="AD5" i="1" l="1"/>
  <c r="AA6" i="1"/>
  <c r="AC5" i="1"/>
  <c r="AB5" i="1" s="1"/>
  <c r="AD6" i="1" l="1"/>
  <c r="AA7" i="1"/>
  <c r="AC6" i="1"/>
  <c r="AB6" i="1" s="1"/>
  <c r="AD7" i="1" l="1"/>
  <c r="AA8" i="1"/>
  <c r="AC7" i="1"/>
  <c r="AB7" i="1" s="1"/>
  <c r="AD8" i="1" l="1"/>
  <c r="AA9" i="1"/>
  <c r="AC8" i="1"/>
  <c r="AB8" i="1" s="1"/>
  <c r="AD9" i="1" l="1"/>
  <c r="AA10" i="1"/>
  <c r="AC9" i="1"/>
  <c r="AB9" i="1" s="1"/>
  <c r="AD10" i="1" l="1"/>
  <c r="AA11" i="1"/>
  <c r="AC10" i="1"/>
  <c r="AB10" i="1" s="1"/>
  <c r="AA12" i="1" l="1"/>
  <c r="AD11" i="1"/>
  <c r="AC11" i="1"/>
  <c r="AB11" i="1" s="1"/>
  <c r="AC12" i="1" l="1"/>
  <c r="AB12" i="1" s="1"/>
  <c r="AA13" i="1"/>
  <c r="AD12" i="1"/>
  <c r="AA14" i="1" l="1"/>
  <c r="AD13" i="1"/>
  <c r="AC13" i="1"/>
  <c r="AB13" i="1" s="1"/>
  <c r="AA15" i="1" l="1"/>
  <c r="AC14" i="1"/>
  <c r="AB14" i="1" s="1"/>
  <c r="AD14" i="1"/>
  <c r="AC15" i="1" l="1"/>
  <c r="AB15" i="1" s="1"/>
  <c r="AA16" i="1"/>
  <c r="AD15" i="1"/>
  <c r="AA17" i="1" l="1"/>
  <c r="AD16" i="1"/>
  <c r="AC16" i="1"/>
  <c r="AB16" i="1" s="1"/>
  <c r="AC17" i="1" l="1"/>
  <c r="AB17" i="1" s="1"/>
  <c r="AA18" i="1"/>
  <c r="AD17" i="1"/>
  <c r="AA19" i="1" l="1"/>
  <c r="AD18" i="1"/>
  <c r="AC18" i="1"/>
  <c r="AB18" i="1" s="1"/>
  <c r="AC19" i="1" l="1"/>
  <c r="AB19" i="1" s="1"/>
  <c r="AA20" i="1"/>
  <c r="AD19" i="1"/>
  <c r="AA21" i="1" l="1"/>
  <c r="AD20" i="1"/>
  <c r="AC20" i="1"/>
  <c r="AB20" i="1" s="1"/>
  <c r="AA22" i="1" l="1"/>
  <c r="AC21" i="1"/>
  <c r="AB21" i="1" s="1"/>
  <c r="AD21" i="1"/>
  <c r="AA23" i="1" l="1"/>
  <c r="AC22" i="1"/>
  <c r="AB22" i="1" s="1"/>
  <c r="AD22" i="1"/>
  <c r="AA24" i="1" l="1"/>
  <c r="AC23" i="1"/>
  <c r="AB23" i="1" s="1"/>
  <c r="AD23" i="1"/>
  <c r="AC24" i="1" l="1"/>
  <c r="AB24" i="1" s="1"/>
  <c r="AA25" i="1"/>
  <c r="AD24" i="1"/>
  <c r="AA26" i="1" l="1"/>
  <c r="AD25" i="1"/>
  <c r="AC25" i="1"/>
  <c r="AB25" i="1" s="1"/>
  <c r="AC26" i="1" l="1"/>
  <c r="AB26" i="1" s="1"/>
  <c r="AA27" i="1"/>
  <c r="AD26" i="1"/>
  <c r="AA28" i="1" l="1"/>
  <c r="AD27" i="1"/>
  <c r="AC27" i="1"/>
  <c r="AB27" i="1" s="1"/>
  <c r="AC28" i="1" l="1"/>
  <c r="AB28" i="1" s="1"/>
  <c r="AA29" i="1"/>
  <c r="AD28" i="1"/>
  <c r="AA30" i="1" l="1"/>
  <c r="AD29" i="1"/>
  <c r="AC29" i="1"/>
  <c r="AB29" i="1" s="1"/>
  <c r="AC30" i="1" l="1"/>
  <c r="AB30" i="1" s="1"/>
  <c r="AA31" i="1"/>
  <c r="AD30" i="1"/>
  <c r="AD31" i="1" l="1"/>
  <c r="AA32" i="1"/>
  <c r="AC31" i="1"/>
  <c r="AB31" i="1" s="1"/>
  <c r="AD32" i="1" l="1"/>
  <c r="AA33" i="1"/>
  <c r="AC32" i="1"/>
  <c r="AB32" i="1" s="1"/>
  <c r="AD33" i="1" l="1"/>
  <c r="AA34" i="1"/>
  <c r="AC33" i="1"/>
  <c r="AB33" i="1" s="1"/>
  <c r="AA35" i="1" l="1"/>
  <c r="AD34" i="1"/>
  <c r="AC34" i="1"/>
  <c r="AB34" i="1" s="1"/>
  <c r="AC35" i="1" l="1"/>
  <c r="AB35" i="1" s="1"/>
  <c r="AA36" i="1"/>
  <c r="AD35" i="1"/>
  <c r="AA37" i="1" l="1"/>
  <c r="AD36" i="1"/>
  <c r="AC36" i="1"/>
  <c r="AB36" i="1" s="1"/>
  <c r="AC37" i="1" l="1"/>
  <c r="AB37" i="1" s="1"/>
  <c r="AA38" i="1"/>
  <c r="AD37" i="1"/>
  <c r="AA39" i="1" l="1"/>
  <c r="AD38" i="1"/>
  <c r="AC38" i="1"/>
  <c r="AB38" i="1" s="1"/>
  <c r="AA40" i="1" l="1"/>
  <c r="AC39" i="1"/>
  <c r="AB39" i="1" s="1"/>
  <c r="AD39" i="1"/>
  <c r="AA41" i="1" l="1"/>
  <c r="AC40" i="1"/>
  <c r="AB40" i="1" s="1"/>
  <c r="AD40" i="1"/>
  <c r="AA42" i="1" l="1"/>
  <c r="AC41" i="1"/>
  <c r="AB41" i="1" s="1"/>
  <c r="AD41" i="1"/>
  <c r="AA43" i="1" l="1"/>
  <c r="AC42" i="1"/>
  <c r="AB42" i="1" s="1"/>
  <c r="AD42" i="1"/>
  <c r="AA44" i="1" l="1"/>
  <c r="AC43" i="1"/>
  <c r="AB43" i="1" s="1"/>
  <c r="AD43" i="1"/>
  <c r="AA45" i="1" l="1"/>
  <c r="AC44" i="1"/>
  <c r="AB44" i="1" s="1"/>
  <c r="AD44" i="1"/>
  <c r="AA46" i="1" l="1"/>
  <c r="AC45" i="1"/>
  <c r="AB45" i="1" s="1"/>
  <c r="AD45" i="1"/>
  <c r="AA47" i="1" l="1"/>
  <c r="AC46" i="1"/>
  <c r="AB46" i="1" s="1"/>
  <c r="AD46" i="1"/>
  <c r="AA48" i="1" l="1"/>
  <c r="AC47" i="1"/>
  <c r="AB47" i="1" s="1"/>
  <c r="AD47" i="1"/>
  <c r="AA49" i="1" l="1"/>
  <c r="AC48" i="1"/>
  <c r="AB48" i="1" s="1"/>
  <c r="AD48" i="1"/>
  <c r="AA50" i="1" l="1"/>
  <c r="AC49" i="1"/>
  <c r="AB49" i="1" s="1"/>
  <c r="AD49" i="1"/>
  <c r="AA51" i="1" l="1"/>
  <c r="AC50" i="1"/>
  <c r="AB50" i="1" s="1"/>
  <c r="AD50" i="1"/>
  <c r="AA52" i="1" l="1"/>
  <c r="AC51" i="1"/>
  <c r="AB51" i="1" s="1"/>
  <c r="AD51" i="1"/>
  <c r="AA53" i="1" l="1"/>
  <c r="AC52" i="1"/>
  <c r="AB52" i="1" s="1"/>
  <c r="AD52" i="1"/>
  <c r="AA54" i="1" l="1"/>
  <c r="AC53" i="1"/>
  <c r="AB53" i="1" s="1"/>
  <c r="AD53" i="1"/>
  <c r="AA55" i="1" l="1"/>
  <c r="AC54" i="1"/>
  <c r="AB54" i="1" s="1"/>
  <c r="AD54" i="1"/>
  <c r="AA56" i="1" l="1"/>
  <c r="AC55" i="1"/>
  <c r="AB55" i="1" s="1"/>
  <c r="AD55" i="1"/>
  <c r="AA57" i="1" l="1"/>
  <c r="AC56" i="1"/>
  <c r="AB56" i="1" s="1"/>
  <c r="AD56" i="1"/>
  <c r="AA58" i="1" l="1"/>
  <c r="AC57" i="1"/>
  <c r="AB57" i="1" s="1"/>
  <c r="AD57" i="1"/>
  <c r="AA59" i="1" l="1"/>
  <c r="AC58" i="1"/>
  <c r="AB58" i="1" s="1"/>
  <c r="AD58" i="1"/>
  <c r="AA60" i="1" l="1"/>
  <c r="AC59" i="1"/>
  <c r="AB59" i="1" s="1"/>
  <c r="AD59" i="1"/>
  <c r="AA61" i="1" l="1"/>
  <c r="AC60" i="1"/>
  <c r="AB60" i="1" s="1"/>
  <c r="AD60" i="1"/>
  <c r="AA62" i="1" l="1"/>
  <c r="AC61" i="1"/>
  <c r="AB61" i="1" s="1"/>
  <c r="AD61" i="1"/>
  <c r="AA63" i="1" l="1"/>
  <c r="AC62" i="1"/>
  <c r="AB62" i="1" s="1"/>
  <c r="AD62" i="1"/>
  <c r="AA64" i="1" l="1"/>
  <c r="AC63" i="1"/>
  <c r="AB63" i="1" s="1"/>
  <c r="AD63" i="1"/>
  <c r="AA65" i="1" l="1"/>
  <c r="AC64" i="1"/>
  <c r="AB64" i="1" s="1"/>
  <c r="AD64" i="1"/>
  <c r="AA66" i="1" l="1"/>
  <c r="AC65" i="1"/>
  <c r="AB65" i="1" s="1"/>
  <c r="AD65" i="1"/>
  <c r="AA67" i="1" l="1"/>
  <c r="AC66" i="1"/>
  <c r="AB66" i="1" s="1"/>
  <c r="AD66" i="1"/>
  <c r="AA68" i="1" l="1"/>
  <c r="AC67" i="1"/>
  <c r="AB67" i="1" s="1"/>
  <c r="AD67" i="1"/>
  <c r="AA69" i="1" l="1"/>
  <c r="AC68" i="1"/>
  <c r="AB68" i="1" s="1"/>
  <c r="AD68" i="1"/>
  <c r="AA70" i="1" l="1"/>
  <c r="AC69" i="1"/>
  <c r="AB69" i="1" s="1"/>
  <c r="AD69" i="1"/>
  <c r="AA71" i="1" l="1"/>
  <c r="AC70" i="1"/>
  <c r="AB70" i="1" s="1"/>
  <c r="AD70" i="1"/>
  <c r="AA72" i="1" l="1"/>
  <c r="AC71" i="1"/>
  <c r="AB71" i="1" s="1"/>
  <c r="AD71" i="1"/>
  <c r="AA73" i="1" l="1"/>
  <c r="AC72" i="1"/>
  <c r="AB72" i="1" s="1"/>
  <c r="AD72" i="1"/>
  <c r="AA74" i="1" l="1"/>
  <c r="AC73" i="1"/>
  <c r="AB73" i="1" s="1"/>
  <c r="AD73" i="1"/>
  <c r="AA75" i="1" l="1"/>
  <c r="AC74" i="1"/>
  <c r="AB74" i="1" s="1"/>
  <c r="AD74" i="1"/>
  <c r="AA76" i="1" l="1"/>
  <c r="AC75" i="1"/>
  <c r="AB75" i="1" s="1"/>
  <c r="AD75" i="1"/>
  <c r="AA77" i="1" l="1"/>
  <c r="AC76" i="1"/>
  <c r="AB76" i="1" s="1"/>
  <c r="AD76" i="1"/>
  <c r="AA78" i="1" l="1"/>
  <c r="AC77" i="1"/>
  <c r="AB77" i="1" s="1"/>
  <c r="AD77" i="1"/>
  <c r="AA79" i="1" l="1"/>
  <c r="AC78" i="1"/>
  <c r="AB78" i="1" s="1"/>
  <c r="AD78" i="1"/>
  <c r="AA80" i="1" l="1"/>
  <c r="AC79" i="1"/>
  <c r="AB79" i="1" s="1"/>
  <c r="AD79" i="1"/>
  <c r="AA81" i="1" l="1"/>
  <c r="AC80" i="1"/>
  <c r="AB80" i="1" s="1"/>
  <c r="AD80" i="1"/>
  <c r="AA82" i="1" l="1"/>
  <c r="AC81" i="1"/>
  <c r="AB81" i="1" s="1"/>
  <c r="AD81" i="1"/>
  <c r="AA83" i="1" l="1"/>
  <c r="AC82" i="1"/>
  <c r="AB82" i="1" s="1"/>
  <c r="AD82" i="1"/>
  <c r="AA84" i="1" l="1"/>
  <c r="AC83" i="1"/>
  <c r="AB83" i="1" s="1"/>
  <c r="AD83" i="1"/>
  <c r="AA85" i="1" l="1"/>
  <c r="AC84" i="1"/>
  <c r="AB84" i="1" s="1"/>
  <c r="AD84" i="1"/>
  <c r="AA86" i="1" l="1"/>
  <c r="AC85" i="1"/>
  <c r="AB85" i="1" s="1"/>
  <c r="AD85" i="1"/>
  <c r="AA87" i="1" l="1"/>
  <c r="AC86" i="1"/>
  <c r="AB86" i="1" s="1"/>
  <c r="AD86" i="1"/>
  <c r="AA88" i="1" l="1"/>
  <c r="AC87" i="1"/>
  <c r="AB87" i="1" s="1"/>
  <c r="AD87" i="1"/>
  <c r="AA89" i="1" l="1"/>
  <c r="AC88" i="1"/>
  <c r="AB88" i="1" s="1"/>
  <c r="AD88" i="1"/>
  <c r="AA90" i="1" l="1"/>
  <c r="AC89" i="1"/>
  <c r="AB89" i="1" s="1"/>
  <c r="AD89" i="1"/>
  <c r="AA91" i="1" l="1"/>
  <c r="AC90" i="1"/>
  <c r="AB90" i="1" s="1"/>
  <c r="AD90" i="1"/>
  <c r="AA92" i="1" l="1"/>
  <c r="AC91" i="1"/>
  <c r="AB91" i="1" s="1"/>
  <c r="AD91" i="1"/>
  <c r="AA93" i="1" l="1"/>
  <c r="AC92" i="1"/>
  <c r="AB92" i="1" s="1"/>
  <c r="AD92" i="1"/>
  <c r="AA94" i="1" l="1"/>
  <c r="AC93" i="1"/>
  <c r="AB93" i="1" s="1"/>
  <c r="AD93" i="1"/>
  <c r="AA95" i="1" l="1"/>
  <c r="AC94" i="1"/>
  <c r="AB94" i="1" s="1"/>
  <c r="AD94" i="1"/>
  <c r="AA96" i="1" l="1"/>
  <c r="AC95" i="1"/>
  <c r="AB95" i="1" s="1"/>
  <c r="AD95" i="1"/>
  <c r="AA97" i="1" l="1"/>
  <c r="AC96" i="1"/>
  <c r="AB96" i="1" s="1"/>
  <c r="AD96" i="1"/>
  <c r="AD97" i="1" l="1"/>
  <c r="AA98" i="1"/>
  <c r="AC97" i="1"/>
  <c r="AB97" i="1" s="1"/>
  <c r="AD98" i="1" l="1"/>
  <c r="AA99" i="1"/>
  <c r="AC98" i="1"/>
  <c r="AB98" i="1" s="1"/>
  <c r="AD99" i="1" l="1"/>
  <c r="AA100" i="1"/>
  <c r="AC99" i="1"/>
  <c r="AB99" i="1" s="1"/>
  <c r="AD100" i="1" l="1"/>
  <c r="AA101" i="1"/>
  <c r="AC100" i="1"/>
  <c r="AB100" i="1" s="1"/>
  <c r="AD101" i="1" l="1"/>
  <c r="AA102" i="1"/>
  <c r="AC101" i="1"/>
  <c r="AB101" i="1" s="1"/>
  <c r="AD102" i="1" l="1"/>
  <c r="AA103" i="1"/>
  <c r="AC102" i="1"/>
  <c r="AB102" i="1" s="1"/>
  <c r="AD103" i="1" l="1"/>
  <c r="AA104" i="1"/>
  <c r="AC103" i="1"/>
  <c r="AB103" i="1" s="1"/>
  <c r="AD104" i="1" l="1"/>
  <c r="AA105" i="1"/>
  <c r="AC104" i="1"/>
  <c r="AB104" i="1" s="1"/>
  <c r="AD105" i="1" l="1"/>
  <c r="AA106" i="1"/>
  <c r="AC105" i="1"/>
  <c r="AB105" i="1" s="1"/>
  <c r="AD106" i="1" l="1"/>
  <c r="AA107" i="1"/>
  <c r="AC106" i="1"/>
  <c r="AB106" i="1" s="1"/>
  <c r="AD107" i="1" l="1"/>
  <c r="AA108" i="1"/>
  <c r="AC107" i="1"/>
  <c r="AB107" i="1" s="1"/>
  <c r="AD108" i="1" l="1"/>
  <c r="AA109" i="1"/>
  <c r="AC108" i="1"/>
  <c r="AB108" i="1" s="1"/>
  <c r="AD109" i="1" l="1"/>
  <c r="AA110" i="1"/>
  <c r="AC109" i="1"/>
  <c r="AB109" i="1" s="1"/>
  <c r="AD110" i="1" l="1"/>
  <c r="AA111" i="1"/>
  <c r="AC110" i="1"/>
  <c r="AB110" i="1" s="1"/>
  <c r="AD111" i="1" l="1"/>
  <c r="AA112" i="1"/>
  <c r="AC111" i="1"/>
  <c r="AB111" i="1" s="1"/>
  <c r="AD112" i="1" l="1"/>
  <c r="AA113" i="1"/>
  <c r="AC112" i="1"/>
  <c r="AB112" i="1" s="1"/>
  <c r="AD113" i="1" l="1"/>
  <c r="AA114" i="1"/>
  <c r="AC113" i="1"/>
  <c r="AB113" i="1" s="1"/>
  <c r="AD114" i="1" l="1"/>
  <c r="AA115" i="1"/>
  <c r="AC114" i="1"/>
  <c r="AB114" i="1" s="1"/>
  <c r="AD115" i="1" l="1"/>
  <c r="AA116" i="1"/>
  <c r="AC115" i="1"/>
  <c r="AB115" i="1" s="1"/>
  <c r="AD116" i="1" l="1"/>
  <c r="AA117" i="1"/>
  <c r="AC116" i="1"/>
  <c r="AB116" i="1" s="1"/>
  <c r="AD117" i="1" l="1"/>
  <c r="AA118" i="1"/>
  <c r="AC117" i="1"/>
  <c r="AB117" i="1" s="1"/>
  <c r="AD118" i="1" l="1"/>
  <c r="AA119" i="1"/>
  <c r="AC118" i="1"/>
  <c r="AB118" i="1" s="1"/>
  <c r="AD119" i="1" l="1"/>
  <c r="AA120" i="1"/>
  <c r="AC119" i="1"/>
  <c r="AB119" i="1" s="1"/>
  <c r="AD120" i="1" l="1"/>
  <c r="AA121" i="1"/>
  <c r="AC120" i="1"/>
  <c r="AB120" i="1" s="1"/>
  <c r="AD121" i="1" l="1"/>
  <c r="AA122" i="1"/>
  <c r="AC121" i="1"/>
  <c r="AB121" i="1" s="1"/>
  <c r="AD122" i="1" l="1"/>
  <c r="AA123" i="1"/>
  <c r="AC122" i="1"/>
  <c r="AB122" i="1" s="1"/>
  <c r="AD123" i="1" l="1"/>
  <c r="AA124" i="1"/>
  <c r="AC123" i="1"/>
  <c r="AB123" i="1" s="1"/>
  <c r="AD124" i="1" l="1"/>
  <c r="AA125" i="1"/>
  <c r="AC124" i="1"/>
  <c r="AB124" i="1" s="1"/>
  <c r="AD125" i="1" l="1"/>
  <c r="AA126" i="1"/>
  <c r="AC125" i="1"/>
  <c r="AB125" i="1" s="1"/>
  <c r="AD126" i="1" l="1"/>
  <c r="AA127" i="1"/>
  <c r="AC126" i="1"/>
  <c r="AB126" i="1" s="1"/>
  <c r="AD127" i="1" l="1"/>
  <c r="AA128" i="1"/>
  <c r="AC127" i="1"/>
  <c r="AB127" i="1" s="1"/>
  <c r="AD128" i="1" l="1"/>
  <c r="AA129" i="1"/>
  <c r="AC128" i="1"/>
  <c r="AB128" i="1" s="1"/>
  <c r="AD129" i="1" l="1"/>
  <c r="AA130" i="1"/>
  <c r="AC129" i="1"/>
  <c r="AB129" i="1" s="1"/>
  <c r="AD130" i="1" l="1"/>
  <c r="AA131" i="1"/>
  <c r="AC130" i="1"/>
  <c r="AB130" i="1" s="1"/>
  <c r="AD131" i="1" l="1"/>
  <c r="AA132" i="1"/>
  <c r="AC131" i="1"/>
  <c r="AB131" i="1" s="1"/>
  <c r="AD132" i="1" l="1"/>
  <c r="AA133" i="1"/>
  <c r="AC132" i="1"/>
  <c r="AB132" i="1" s="1"/>
  <c r="AD133" i="1" l="1"/>
  <c r="AA134" i="1"/>
  <c r="AC133" i="1"/>
  <c r="AB133" i="1" s="1"/>
  <c r="AD134" i="1" l="1"/>
  <c r="AA135" i="1"/>
  <c r="AC134" i="1"/>
  <c r="AB134" i="1" s="1"/>
  <c r="AD135" i="1" l="1"/>
  <c r="AA136" i="1"/>
  <c r="AC135" i="1"/>
  <c r="AB135" i="1" s="1"/>
  <c r="AD136" i="1" l="1"/>
  <c r="AA137" i="1"/>
  <c r="AC136" i="1"/>
  <c r="AB136" i="1" s="1"/>
  <c r="AD137" i="1" l="1"/>
  <c r="AA138" i="1"/>
  <c r="AC137" i="1"/>
  <c r="AB137" i="1" s="1"/>
  <c r="AD138" i="1" l="1"/>
  <c r="AA139" i="1"/>
  <c r="AC138" i="1"/>
  <c r="AB138" i="1" s="1"/>
  <c r="AD139" i="1" l="1"/>
  <c r="AA140" i="1"/>
  <c r="AC139" i="1"/>
  <c r="AB139" i="1" s="1"/>
  <c r="AD140" i="1" l="1"/>
  <c r="AA141" i="1"/>
  <c r="AC140" i="1"/>
  <c r="AB140" i="1" s="1"/>
  <c r="AD141" i="1" l="1"/>
  <c r="AA142" i="1"/>
  <c r="AC141" i="1"/>
  <c r="AB141" i="1" s="1"/>
  <c r="AD142" i="1" l="1"/>
  <c r="AA143" i="1"/>
  <c r="AC142" i="1"/>
  <c r="AB142" i="1" s="1"/>
  <c r="AD143" i="1" l="1"/>
  <c r="AA144" i="1"/>
  <c r="AC143" i="1"/>
  <c r="AB143" i="1" s="1"/>
  <c r="AD144" i="1" l="1"/>
  <c r="AA145" i="1"/>
  <c r="AC144" i="1"/>
  <c r="AB144" i="1" s="1"/>
  <c r="AD145" i="1" l="1"/>
  <c r="AA146" i="1"/>
  <c r="AC145" i="1"/>
  <c r="AB145" i="1" s="1"/>
  <c r="AD146" i="1" l="1"/>
  <c r="AA147" i="1"/>
  <c r="AC146" i="1"/>
  <c r="AB146" i="1" s="1"/>
  <c r="AD147" i="1" l="1"/>
  <c r="AA148" i="1"/>
  <c r="AC147" i="1"/>
  <c r="AB147" i="1" s="1"/>
  <c r="AD148" i="1" l="1"/>
  <c r="AA149" i="1"/>
  <c r="AC148" i="1"/>
  <c r="AB148" i="1" s="1"/>
  <c r="AD149" i="1" l="1"/>
  <c r="AA150" i="1"/>
  <c r="AC149" i="1"/>
  <c r="AB149" i="1" s="1"/>
  <c r="AD150" i="1" l="1"/>
  <c r="AA151" i="1"/>
  <c r="AC150" i="1"/>
  <c r="AB150" i="1" s="1"/>
  <c r="AD151" i="1" l="1"/>
  <c r="AA152" i="1"/>
  <c r="AC151" i="1"/>
  <c r="AB151" i="1" s="1"/>
  <c r="AD152" i="1" l="1"/>
  <c r="AA153" i="1"/>
  <c r="AC152" i="1"/>
  <c r="AB152" i="1" s="1"/>
  <c r="AD153" i="1" l="1"/>
  <c r="AA154" i="1"/>
  <c r="AC153" i="1"/>
  <c r="AB153" i="1" s="1"/>
  <c r="AD154" i="1" l="1"/>
  <c r="AA155" i="1"/>
  <c r="AC154" i="1"/>
  <c r="AB154" i="1" s="1"/>
  <c r="AD155" i="1" l="1"/>
  <c r="AA156" i="1"/>
  <c r="AC155" i="1"/>
  <c r="AB155" i="1" s="1"/>
  <c r="AD156" i="1" l="1"/>
  <c r="AA157" i="1"/>
  <c r="AC156" i="1"/>
  <c r="AB156" i="1" s="1"/>
  <c r="AD157" i="1" l="1"/>
  <c r="AA158" i="1"/>
  <c r="AC157" i="1"/>
  <c r="AB157" i="1" s="1"/>
  <c r="AD158" i="1" l="1"/>
  <c r="AA159" i="1"/>
  <c r="AC158" i="1"/>
  <c r="AB158" i="1" s="1"/>
  <c r="AD159" i="1" l="1"/>
  <c r="AA160" i="1"/>
  <c r="AC159" i="1"/>
  <c r="AB159" i="1" s="1"/>
  <c r="AD160" i="1" l="1"/>
  <c r="AA161" i="1"/>
  <c r="AC160" i="1"/>
  <c r="AB160" i="1" s="1"/>
  <c r="AD161" i="1" l="1"/>
  <c r="AA162" i="1"/>
  <c r="AC161" i="1"/>
  <c r="AB161" i="1" s="1"/>
  <c r="AD162" i="1" l="1"/>
  <c r="AA163" i="1"/>
  <c r="AC162" i="1"/>
  <c r="AB162" i="1" s="1"/>
  <c r="AD163" i="1" l="1"/>
  <c r="AA164" i="1"/>
  <c r="AC163" i="1"/>
  <c r="AB163" i="1" s="1"/>
  <c r="AD164" i="1" l="1"/>
  <c r="AA165" i="1"/>
  <c r="AC164" i="1"/>
  <c r="AB164" i="1" s="1"/>
  <c r="AD165" i="1" l="1"/>
  <c r="AA166" i="1"/>
  <c r="AC165" i="1"/>
  <c r="AB165" i="1" s="1"/>
  <c r="AD166" i="1" l="1"/>
  <c r="AA167" i="1"/>
  <c r="AC166" i="1"/>
  <c r="AB166" i="1" s="1"/>
  <c r="AD167" i="1" l="1"/>
  <c r="AA168" i="1"/>
  <c r="AC167" i="1"/>
  <c r="AB167" i="1" s="1"/>
  <c r="AD168" i="1" l="1"/>
  <c r="AA169" i="1"/>
  <c r="AC168" i="1"/>
  <c r="AB168" i="1" s="1"/>
  <c r="AD169" i="1" l="1"/>
  <c r="AA170" i="1"/>
  <c r="AC169" i="1"/>
  <c r="AB169" i="1" s="1"/>
  <c r="AD170" i="1" l="1"/>
  <c r="AA171" i="1"/>
  <c r="AC170" i="1"/>
  <c r="AB170" i="1" s="1"/>
  <c r="AD171" i="1" l="1"/>
  <c r="AA172" i="1"/>
  <c r="AC171" i="1"/>
  <c r="AB171" i="1" s="1"/>
  <c r="AD172" i="1" l="1"/>
  <c r="AA173" i="1"/>
  <c r="AC172" i="1"/>
  <c r="AB172" i="1" s="1"/>
  <c r="AD173" i="1" l="1"/>
  <c r="AA174" i="1"/>
  <c r="AC173" i="1"/>
  <c r="AB173" i="1" s="1"/>
  <c r="AD174" i="1" l="1"/>
  <c r="AA175" i="1"/>
  <c r="AC174" i="1"/>
  <c r="AB174" i="1" s="1"/>
  <c r="AD175" i="1" l="1"/>
  <c r="AA176" i="1"/>
  <c r="AC175" i="1"/>
  <c r="AB175" i="1" s="1"/>
  <c r="AD176" i="1" l="1"/>
  <c r="AA177" i="1"/>
  <c r="AC176" i="1"/>
  <c r="AB176" i="1" s="1"/>
  <c r="AD177" i="1" l="1"/>
  <c r="AA178" i="1"/>
  <c r="AC177" i="1"/>
  <c r="AB177" i="1" s="1"/>
  <c r="AD178" i="1" l="1"/>
  <c r="AA179" i="1"/>
  <c r="AC178" i="1"/>
  <c r="AB178" i="1" s="1"/>
  <c r="AD179" i="1" l="1"/>
  <c r="AA180" i="1"/>
  <c r="AC179" i="1"/>
  <c r="AB179" i="1" s="1"/>
  <c r="AD180" i="1" l="1"/>
  <c r="AA181" i="1"/>
  <c r="AC180" i="1"/>
  <c r="AB180" i="1" s="1"/>
  <c r="AD181" i="1" l="1"/>
  <c r="AA182" i="1"/>
  <c r="AC181" i="1"/>
  <c r="AB181" i="1" s="1"/>
  <c r="AD182" i="1" l="1"/>
  <c r="AA183" i="1"/>
  <c r="AC182" i="1"/>
  <c r="AB182" i="1" s="1"/>
  <c r="AD183" i="1" l="1"/>
  <c r="AA184" i="1"/>
  <c r="AC183" i="1"/>
  <c r="AB183" i="1" s="1"/>
  <c r="AD184" i="1" l="1"/>
  <c r="AA185" i="1"/>
  <c r="AC184" i="1"/>
  <c r="AB184" i="1" s="1"/>
  <c r="AD185" i="1" l="1"/>
  <c r="AA186" i="1"/>
  <c r="AC185" i="1"/>
  <c r="AB185" i="1" s="1"/>
  <c r="AD186" i="1" l="1"/>
  <c r="AA187" i="1"/>
  <c r="AC186" i="1"/>
  <c r="AB186" i="1" s="1"/>
  <c r="AD187" i="1" l="1"/>
  <c r="AA188" i="1"/>
  <c r="AC187" i="1"/>
  <c r="AB187" i="1" s="1"/>
  <c r="AD188" i="1" l="1"/>
  <c r="AA189" i="1"/>
  <c r="AC188" i="1"/>
  <c r="AB188" i="1" s="1"/>
  <c r="AD189" i="1" l="1"/>
  <c r="AA190" i="1"/>
  <c r="AC189" i="1"/>
  <c r="AB189" i="1" s="1"/>
  <c r="AD190" i="1" l="1"/>
  <c r="AA191" i="1"/>
  <c r="AC190" i="1"/>
  <c r="AB190" i="1" s="1"/>
  <c r="AD191" i="1" l="1"/>
  <c r="AA192" i="1"/>
  <c r="AC191" i="1"/>
  <c r="AB191" i="1" s="1"/>
  <c r="AD192" i="1" l="1"/>
  <c r="AA193" i="1"/>
  <c r="AC192" i="1"/>
  <c r="AB192" i="1" s="1"/>
  <c r="AD193" i="1" l="1"/>
  <c r="AA194" i="1"/>
  <c r="AC193" i="1"/>
  <c r="AB193" i="1" s="1"/>
  <c r="AD194" i="1" l="1"/>
  <c r="AA195" i="1"/>
  <c r="AC194" i="1"/>
  <c r="AB194" i="1" s="1"/>
  <c r="AD195" i="1" l="1"/>
  <c r="AA196" i="1"/>
  <c r="AC195" i="1"/>
  <c r="AB195" i="1" s="1"/>
  <c r="AD196" i="1" l="1"/>
  <c r="AA197" i="1"/>
  <c r="AC196" i="1"/>
  <c r="AB196" i="1" s="1"/>
  <c r="AD197" i="1" l="1"/>
  <c r="AA198" i="1"/>
  <c r="AC197" i="1"/>
  <c r="AB197" i="1" s="1"/>
  <c r="AD198" i="1" l="1"/>
  <c r="AA199" i="1"/>
  <c r="AC198" i="1"/>
  <c r="AB198" i="1" s="1"/>
  <c r="AD199" i="1" l="1"/>
  <c r="AA200" i="1"/>
  <c r="AC199" i="1"/>
  <c r="AB199" i="1" s="1"/>
  <c r="AD200" i="1" l="1"/>
  <c r="AA201" i="1"/>
  <c r="AC200" i="1"/>
  <c r="AB200" i="1" s="1"/>
  <c r="AD201" i="1" l="1"/>
  <c r="AA202" i="1"/>
  <c r="AC201" i="1"/>
  <c r="AB201" i="1" s="1"/>
  <c r="AD202" i="1" l="1"/>
  <c r="AA203" i="1"/>
  <c r="AC202" i="1"/>
  <c r="AB202" i="1" s="1"/>
  <c r="AD203" i="1" l="1"/>
  <c r="AA204" i="1"/>
  <c r="AC203" i="1"/>
  <c r="AB203" i="1" s="1"/>
  <c r="AD204" i="1" l="1"/>
  <c r="AA205" i="1"/>
  <c r="AC204" i="1"/>
  <c r="AB204" i="1" s="1"/>
  <c r="AD205" i="1" l="1"/>
  <c r="AA206" i="1"/>
  <c r="AC205" i="1"/>
  <c r="AB205" i="1" s="1"/>
  <c r="AD206" i="1" l="1"/>
  <c r="AA207" i="1"/>
  <c r="AC206" i="1"/>
  <c r="AB206" i="1" s="1"/>
  <c r="AD207" i="1" l="1"/>
  <c r="AA208" i="1"/>
  <c r="AC207" i="1"/>
  <c r="AB207" i="1" s="1"/>
  <c r="AD208" i="1" l="1"/>
  <c r="AA209" i="1"/>
  <c r="AC208" i="1"/>
  <c r="AB208" i="1" s="1"/>
  <c r="AD209" i="1" l="1"/>
  <c r="AA210" i="1"/>
  <c r="AC209" i="1"/>
  <c r="AB209" i="1" s="1"/>
  <c r="AD210" i="1" l="1"/>
  <c r="AA211" i="1"/>
  <c r="AC210" i="1"/>
  <c r="AB210" i="1" s="1"/>
  <c r="AD211" i="1" l="1"/>
  <c r="AA212" i="1"/>
  <c r="AC211" i="1"/>
  <c r="AB211" i="1" s="1"/>
  <c r="AD212" i="1" l="1"/>
  <c r="AA213" i="1"/>
  <c r="AC212" i="1"/>
  <c r="AB212" i="1" s="1"/>
  <c r="AD213" i="1" l="1"/>
  <c r="AA214" i="1"/>
  <c r="AC213" i="1"/>
  <c r="AB213" i="1" s="1"/>
  <c r="AD214" i="1" l="1"/>
  <c r="AA215" i="1"/>
  <c r="AC214" i="1"/>
  <c r="AB214" i="1" s="1"/>
  <c r="AD215" i="1" l="1"/>
  <c r="AA216" i="1"/>
  <c r="AC215" i="1"/>
  <c r="AB215" i="1" s="1"/>
  <c r="AD216" i="1" l="1"/>
  <c r="AA217" i="1"/>
  <c r="AC216" i="1"/>
  <c r="AB216" i="1" s="1"/>
  <c r="AD217" i="1" l="1"/>
  <c r="AA218" i="1"/>
  <c r="AC217" i="1"/>
  <c r="AB217" i="1" s="1"/>
  <c r="AD218" i="1" l="1"/>
  <c r="AA219" i="1"/>
  <c r="AC218" i="1"/>
  <c r="AB218" i="1" s="1"/>
  <c r="AD219" i="1" l="1"/>
  <c r="AA220" i="1"/>
  <c r="AC219" i="1"/>
  <c r="AB219" i="1" s="1"/>
  <c r="AD220" i="1" l="1"/>
  <c r="AA221" i="1"/>
  <c r="AC220" i="1"/>
  <c r="AB220" i="1" s="1"/>
  <c r="AD221" i="1" l="1"/>
  <c r="AA222" i="1"/>
  <c r="AC221" i="1"/>
  <c r="AB221" i="1" s="1"/>
  <c r="AD222" i="1" l="1"/>
  <c r="AA223" i="1"/>
  <c r="AC222" i="1"/>
  <c r="AB222" i="1" s="1"/>
  <c r="AD223" i="1" l="1"/>
  <c r="AA224" i="1"/>
  <c r="AC223" i="1"/>
  <c r="AB223" i="1" s="1"/>
  <c r="AD224" i="1" l="1"/>
  <c r="AA225" i="1"/>
  <c r="AC224" i="1"/>
  <c r="AB224" i="1" s="1"/>
  <c r="AD225" i="1" l="1"/>
  <c r="AA226" i="1"/>
  <c r="AC225" i="1"/>
  <c r="AB225" i="1" s="1"/>
  <c r="AD226" i="1" l="1"/>
  <c r="AA227" i="1"/>
  <c r="AC226" i="1"/>
  <c r="AB226" i="1" s="1"/>
  <c r="AD227" i="1" l="1"/>
  <c r="AA228" i="1"/>
  <c r="AC227" i="1"/>
  <c r="AB227" i="1" s="1"/>
  <c r="AD228" i="1" l="1"/>
  <c r="AA229" i="1"/>
  <c r="AC228" i="1"/>
  <c r="AB228" i="1" s="1"/>
  <c r="AD229" i="1" l="1"/>
  <c r="AA230" i="1"/>
  <c r="AC229" i="1"/>
  <c r="AB229" i="1" s="1"/>
  <c r="AD230" i="1" l="1"/>
  <c r="AA231" i="1"/>
  <c r="AC230" i="1"/>
  <c r="AB230" i="1" s="1"/>
  <c r="AD231" i="1" l="1"/>
  <c r="AA232" i="1"/>
  <c r="AC231" i="1"/>
  <c r="AB231" i="1" s="1"/>
  <c r="AD232" i="1" l="1"/>
  <c r="AA233" i="1"/>
  <c r="AC232" i="1"/>
  <c r="AB232" i="1" s="1"/>
  <c r="AD233" i="1" l="1"/>
  <c r="AA234" i="1"/>
  <c r="AC233" i="1"/>
  <c r="AB233" i="1" s="1"/>
  <c r="AD234" i="1" l="1"/>
  <c r="AA235" i="1"/>
  <c r="AC234" i="1"/>
  <c r="AB234" i="1" s="1"/>
  <c r="AD235" i="1" l="1"/>
  <c r="AA236" i="1"/>
  <c r="AC235" i="1"/>
  <c r="AB235" i="1" s="1"/>
  <c r="AD236" i="1" l="1"/>
  <c r="AA237" i="1"/>
  <c r="AC236" i="1"/>
  <c r="AB236" i="1" s="1"/>
  <c r="AD237" i="1" l="1"/>
  <c r="AA238" i="1"/>
  <c r="AC237" i="1"/>
  <c r="AB237" i="1" s="1"/>
  <c r="AD238" i="1" l="1"/>
  <c r="AA239" i="1"/>
  <c r="AC238" i="1"/>
  <c r="AB238" i="1" s="1"/>
  <c r="AD239" i="1" l="1"/>
  <c r="AA240" i="1"/>
  <c r="AC239" i="1"/>
  <c r="AB239" i="1" s="1"/>
  <c r="AD240" i="1" l="1"/>
  <c r="AA241" i="1"/>
  <c r="AC240" i="1"/>
  <c r="AB240" i="1" s="1"/>
  <c r="AD241" i="1" l="1"/>
  <c r="AA242" i="1"/>
  <c r="AC241" i="1"/>
  <c r="AB241" i="1" s="1"/>
  <c r="AD242" i="1" l="1"/>
  <c r="AA243" i="1"/>
  <c r="AC242" i="1"/>
  <c r="AB242" i="1" s="1"/>
  <c r="AD243" i="1" l="1"/>
  <c r="AA244" i="1"/>
  <c r="AC243" i="1"/>
  <c r="AB243" i="1" s="1"/>
  <c r="AD244" i="1" l="1"/>
  <c r="AA245" i="1"/>
  <c r="AC244" i="1"/>
  <c r="AB244" i="1" s="1"/>
  <c r="AD245" i="1" l="1"/>
  <c r="AA246" i="1"/>
  <c r="AC245" i="1"/>
  <c r="AB245" i="1" s="1"/>
  <c r="AD246" i="1" l="1"/>
  <c r="AA247" i="1"/>
  <c r="AC246" i="1"/>
  <c r="AB246" i="1" s="1"/>
  <c r="AD247" i="1" l="1"/>
  <c r="AA248" i="1"/>
  <c r="AC247" i="1"/>
  <c r="AB247" i="1" s="1"/>
  <c r="AD248" i="1" l="1"/>
  <c r="AA249" i="1"/>
  <c r="AC248" i="1"/>
  <c r="AB248" i="1" s="1"/>
  <c r="AD249" i="1" l="1"/>
  <c r="AA250" i="1"/>
  <c r="AC249" i="1"/>
  <c r="AB249" i="1" s="1"/>
  <c r="AD250" i="1" l="1"/>
  <c r="AA251" i="1"/>
  <c r="AC250" i="1"/>
  <c r="AB250" i="1" s="1"/>
  <c r="AD251" i="1" l="1"/>
  <c r="AA252" i="1"/>
  <c r="AC251" i="1"/>
  <c r="AB251" i="1" s="1"/>
  <c r="AD252" i="1" l="1"/>
  <c r="AA253" i="1"/>
  <c r="AC252" i="1"/>
  <c r="AB252" i="1" s="1"/>
  <c r="AD253" i="1" l="1"/>
  <c r="AA254" i="1"/>
  <c r="AC253" i="1"/>
  <c r="AB253" i="1" s="1"/>
  <c r="AD254" i="1" l="1"/>
  <c r="AA255" i="1"/>
  <c r="AC254" i="1"/>
  <c r="AB254" i="1" s="1"/>
  <c r="AD255" i="1" l="1"/>
  <c r="AA256" i="1"/>
  <c r="AC255" i="1"/>
  <c r="AB255" i="1" s="1"/>
  <c r="AD256" i="1" l="1"/>
  <c r="AA257" i="1"/>
  <c r="AC256" i="1"/>
  <c r="AB256" i="1" s="1"/>
  <c r="AD257" i="1" l="1"/>
  <c r="AA258" i="1"/>
  <c r="AC257" i="1"/>
  <c r="AB257" i="1" s="1"/>
  <c r="AD258" i="1" l="1"/>
  <c r="AA259" i="1"/>
  <c r="AC258" i="1"/>
  <c r="AB258" i="1" s="1"/>
  <c r="AD259" i="1" l="1"/>
  <c r="AA260" i="1"/>
  <c r="AC259" i="1"/>
  <c r="AB259" i="1" s="1"/>
  <c r="AD260" i="1" l="1"/>
  <c r="AA261" i="1"/>
  <c r="AC260" i="1"/>
  <c r="AB260" i="1" s="1"/>
  <c r="AD261" i="1" l="1"/>
  <c r="AA262" i="1"/>
  <c r="AC261" i="1"/>
  <c r="AB261" i="1" s="1"/>
  <c r="AD262" i="1" l="1"/>
  <c r="AA263" i="1"/>
  <c r="AC262" i="1"/>
  <c r="AB262" i="1" s="1"/>
  <c r="AD263" i="1" l="1"/>
  <c r="AA264" i="1"/>
  <c r="AC263" i="1"/>
  <c r="AB263" i="1" s="1"/>
  <c r="AD264" i="1" l="1"/>
  <c r="AA265" i="1"/>
  <c r="AC264" i="1"/>
  <c r="AB264" i="1" s="1"/>
  <c r="AD265" i="1" l="1"/>
  <c r="AA266" i="1"/>
  <c r="AC265" i="1"/>
  <c r="AB265" i="1" s="1"/>
  <c r="AD266" i="1" l="1"/>
  <c r="AA267" i="1"/>
  <c r="AC266" i="1"/>
  <c r="AB266" i="1" s="1"/>
  <c r="AD267" i="1" l="1"/>
  <c r="AA268" i="1"/>
  <c r="AC267" i="1"/>
  <c r="AB267" i="1" s="1"/>
  <c r="AD268" i="1" l="1"/>
  <c r="AA269" i="1"/>
  <c r="AC268" i="1"/>
  <c r="AB268" i="1" s="1"/>
  <c r="AD269" i="1" l="1"/>
  <c r="AA270" i="1"/>
  <c r="AC269" i="1"/>
  <c r="AB269" i="1" s="1"/>
  <c r="AD270" i="1" l="1"/>
  <c r="AA271" i="1"/>
  <c r="AC270" i="1"/>
  <c r="AB270" i="1" s="1"/>
  <c r="AD271" i="1" l="1"/>
  <c r="AA272" i="1"/>
  <c r="AC271" i="1"/>
  <c r="AB271" i="1" s="1"/>
  <c r="AD272" i="1" l="1"/>
  <c r="AA273" i="1"/>
  <c r="AC272" i="1"/>
  <c r="AB272" i="1" s="1"/>
  <c r="AD273" i="1" l="1"/>
  <c r="AA274" i="1"/>
  <c r="AC273" i="1"/>
  <c r="AB273" i="1" s="1"/>
  <c r="AD274" i="1" l="1"/>
  <c r="AA275" i="1"/>
  <c r="AC274" i="1"/>
  <c r="AB274" i="1" s="1"/>
  <c r="AD275" i="1" l="1"/>
  <c r="AA276" i="1"/>
  <c r="AC275" i="1"/>
  <c r="AB275" i="1" s="1"/>
  <c r="AD276" i="1" l="1"/>
  <c r="AA277" i="1"/>
  <c r="AC276" i="1"/>
  <c r="AB276" i="1" s="1"/>
  <c r="AD277" i="1" l="1"/>
  <c r="AA278" i="1"/>
  <c r="AC277" i="1"/>
  <c r="AB277" i="1" s="1"/>
  <c r="AD278" i="1" l="1"/>
  <c r="AA279" i="1"/>
  <c r="AC278" i="1"/>
  <c r="AB278" i="1" s="1"/>
  <c r="AD279" i="1" l="1"/>
  <c r="AA280" i="1"/>
  <c r="AC279" i="1"/>
  <c r="AB279" i="1" s="1"/>
  <c r="AD280" i="1" l="1"/>
  <c r="AA281" i="1"/>
  <c r="AC280" i="1"/>
  <c r="AB280" i="1" s="1"/>
  <c r="AD281" i="1" l="1"/>
  <c r="AA282" i="1"/>
  <c r="AC281" i="1"/>
  <c r="AB281" i="1" s="1"/>
  <c r="AD282" i="1" l="1"/>
  <c r="AA283" i="1"/>
  <c r="AC282" i="1"/>
  <c r="AB282" i="1" s="1"/>
  <c r="AD283" i="1" l="1"/>
  <c r="AA284" i="1"/>
  <c r="AC283" i="1"/>
  <c r="AB283" i="1" s="1"/>
  <c r="AD284" i="1" l="1"/>
  <c r="AA285" i="1"/>
  <c r="AC284" i="1"/>
  <c r="AB284" i="1" s="1"/>
  <c r="AD285" i="1" l="1"/>
  <c r="AA286" i="1"/>
  <c r="AC285" i="1"/>
  <c r="AB285" i="1" s="1"/>
  <c r="AD286" i="1" l="1"/>
  <c r="AA287" i="1"/>
  <c r="AC286" i="1"/>
  <c r="AB286" i="1" s="1"/>
  <c r="AD287" i="1" l="1"/>
  <c r="AA288" i="1"/>
  <c r="AC287" i="1"/>
  <c r="AB287" i="1" s="1"/>
  <c r="AD288" i="1" l="1"/>
  <c r="AA289" i="1"/>
  <c r="AC288" i="1"/>
  <c r="AB288" i="1" s="1"/>
  <c r="AD289" i="1" l="1"/>
  <c r="AA290" i="1"/>
  <c r="AC289" i="1"/>
  <c r="AB289" i="1" s="1"/>
  <c r="AD290" i="1" l="1"/>
  <c r="AA291" i="1"/>
  <c r="AC290" i="1"/>
  <c r="AB290" i="1" s="1"/>
  <c r="AD291" i="1" l="1"/>
  <c r="AA292" i="1"/>
  <c r="AC291" i="1"/>
  <c r="AB291" i="1" s="1"/>
  <c r="AD292" i="1" l="1"/>
  <c r="AA293" i="1"/>
  <c r="AC292" i="1"/>
  <c r="AB292" i="1" s="1"/>
  <c r="AD293" i="1" l="1"/>
  <c r="AA294" i="1"/>
  <c r="AC293" i="1"/>
  <c r="AB293" i="1" s="1"/>
  <c r="AD294" i="1" l="1"/>
  <c r="AA295" i="1"/>
  <c r="AC294" i="1"/>
  <c r="AB294" i="1" s="1"/>
  <c r="AD295" i="1" l="1"/>
  <c r="AA296" i="1"/>
  <c r="AC295" i="1"/>
  <c r="AB295" i="1" s="1"/>
  <c r="AD296" i="1" l="1"/>
  <c r="AA297" i="1"/>
  <c r="AC296" i="1"/>
  <c r="AB296" i="1" s="1"/>
  <c r="AD297" i="1" l="1"/>
  <c r="AA298" i="1"/>
  <c r="AC297" i="1"/>
  <c r="AB297" i="1" s="1"/>
  <c r="AD298" i="1" l="1"/>
  <c r="AA299" i="1"/>
  <c r="AC298" i="1"/>
  <c r="AB298" i="1" s="1"/>
  <c r="AD299" i="1" l="1"/>
  <c r="AA300" i="1"/>
  <c r="AC299" i="1"/>
  <c r="AB299" i="1" s="1"/>
  <c r="AD300" i="1" l="1"/>
  <c r="AA301" i="1"/>
  <c r="AC300" i="1"/>
  <c r="AB300" i="1" s="1"/>
  <c r="AD301" i="1" l="1"/>
  <c r="AA302" i="1"/>
  <c r="AC301" i="1"/>
  <c r="AB301" i="1" s="1"/>
  <c r="AD302" i="1" l="1"/>
  <c r="AA303" i="1"/>
  <c r="AC302" i="1"/>
  <c r="AB302" i="1" s="1"/>
  <c r="AD303" i="1" l="1"/>
  <c r="AA304" i="1"/>
  <c r="AC303" i="1"/>
  <c r="AB303" i="1" s="1"/>
  <c r="AD304" i="1" l="1"/>
  <c r="AA305" i="1"/>
  <c r="AC304" i="1"/>
  <c r="AB304" i="1" s="1"/>
  <c r="AD305" i="1" l="1"/>
  <c r="AA306" i="1"/>
  <c r="AC305" i="1"/>
  <c r="AB305" i="1" s="1"/>
  <c r="AD306" i="1" l="1"/>
  <c r="AA307" i="1"/>
  <c r="AC306" i="1"/>
  <c r="AB306" i="1" s="1"/>
  <c r="AD307" i="1" l="1"/>
  <c r="AA308" i="1"/>
  <c r="AC307" i="1"/>
  <c r="AB307" i="1" s="1"/>
  <c r="AD308" i="1" l="1"/>
  <c r="AA309" i="1"/>
  <c r="AC308" i="1"/>
  <c r="AB308" i="1" s="1"/>
  <c r="AD309" i="1" l="1"/>
  <c r="AA310" i="1"/>
  <c r="AC309" i="1"/>
  <c r="AB309" i="1" s="1"/>
  <c r="AD310" i="1" l="1"/>
  <c r="AA311" i="1"/>
  <c r="AC310" i="1"/>
  <c r="AB310" i="1" s="1"/>
  <c r="AD311" i="1" l="1"/>
  <c r="AA312" i="1"/>
  <c r="AC311" i="1"/>
  <c r="AB311" i="1" s="1"/>
  <c r="AD312" i="1" l="1"/>
  <c r="AA313" i="1"/>
  <c r="AC312" i="1"/>
  <c r="AB312" i="1" s="1"/>
  <c r="AD313" i="1" l="1"/>
  <c r="AA314" i="1"/>
  <c r="AC313" i="1"/>
  <c r="AB313" i="1" s="1"/>
  <c r="AD314" i="1" l="1"/>
  <c r="AA315" i="1"/>
  <c r="AC314" i="1"/>
  <c r="AB314" i="1" s="1"/>
  <c r="AD315" i="1" l="1"/>
  <c r="AA316" i="1"/>
  <c r="AC315" i="1"/>
  <c r="AB315" i="1" s="1"/>
  <c r="AD316" i="1" l="1"/>
  <c r="AA317" i="1"/>
  <c r="AC316" i="1"/>
  <c r="AB316" i="1" s="1"/>
  <c r="AD317" i="1" l="1"/>
  <c r="AA318" i="1"/>
  <c r="AC317" i="1"/>
  <c r="AB317" i="1" s="1"/>
  <c r="AD318" i="1" l="1"/>
  <c r="AA319" i="1"/>
  <c r="AC318" i="1"/>
  <c r="AB318" i="1" s="1"/>
  <c r="AD319" i="1" l="1"/>
  <c r="AA320" i="1"/>
  <c r="AC319" i="1"/>
  <c r="AB319" i="1" s="1"/>
  <c r="AD320" i="1" l="1"/>
  <c r="AA321" i="1"/>
  <c r="AC320" i="1"/>
  <c r="AB320" i="1" s="1"/>
  <c r="AD321" i="1" l="1"/>
  <c r="AA322" i="1"/>
  <c r="AC321" i="1"/>
  <c r="AB321" i="1" s="1"/>
  <c r="AD322" i="1" l="1"/>
  <c r="AA323" i="1"/>
  <c r="AC322" i="1"/>
  <c r="AB322" i="1" s="1"/>
  <c r="AD323" i="1" l="1"/>
  <c r="AA324" i="1"/>
  <c r="AC323" i="1"/>
  <c r="AB323" i="1" s="1"/>
  <c r="AD324" i="1" l="1"/>
  <c r="AA325" i="1"/>
  <c r="AC324" i="1"/>
  <c r="AB324" i="1" s="1"/>
  <c r="AD325" i="1" l="1"/>
  <c r="AA326" i="1"/>
  <c r="AC325" i="1"/>
  <c r="AB325" i="1" s="1"/>
  <c r="AD326" i="1" l="1"/>
  <c r="AA327" i="1"/>
  <c r="AC326" i="1"/>
  <c r="AB326" i="1" s="1"/>
  <c r="AD327" i="1" l="1"/>
  <c r="AA328" i="1"/>
  <c r="AC327" i="1"/>
  <c r="AB327" i="1" s="1"/>
  <c r="AD328" i="1" l="1"/>
  <c r="AA329" i="1"/>
  <c r="AC328" i="1"/>
  <c r="AB328" i="1" s="1"/>
  <c r="AD329" i="1" l="1"/>
  <c r="AA330" i="1"/>
  <c r="AC329" i="1"/>
  <c r="AB329" i="1" s="1"/>
  <c r="AD330" i="1" l="1"/>
  <c r="AA331" i="1"/>
  <c r="AC330" i="1"/>
  <c r="AB330" i="1" s="1"/>
  <c r="AD331" i="1" l="1"/>
  <c r="AA332" i="1"/>
  <c r="AC331" i="1"/>
  <c r="AB331" i="1" s="1"/>
  <c r="AD332" i="1" l="1"/>
  <c r="AA333" i="1"/>
  <c r="AC332" i="1"/>
  <c r="AB332" i="1" s="1"/>
  <c r="AD333" i="1" l="1"/>
  <c r="AA334" i="1"/>
  <c r="AC333" i="1"/>
  <c r="AB333" i="1" s="1"/>
  <c r="AD334" i="1" l="1"/>
  <c r="AA335" i="1"/>
  <c r="AC334" i="1"/>
  <c r="AB334" i="1" s="1"/>
  <c r="AD335" i="1" l="1"/>
  <c r="AA336" i="1"/>
  <c r="AC335" i="1"/>
  <c r="AB335" i="1" s="1"/>
  <c r="AD336" i="1" l="1"/>
  <c r="AA337" i="1"/>
  <c r="AC336" i="1"/>
  <c r="AB336" i="1" s="1"/>
  <c r="AD337" i="1" l="1"/>
  <c r="AA338" i="1"/>
  <c r="AC337" i="1"/>
  <c r="AB337" i="1" s="1"/>
  <c r="AD338" i="1" l="1"/>
  <c r="AA339" i="1"/>
  <c r="AC338" i="1"/>
  <c r="AB338" i="1" s="1"/>
  <c r="AD339" i="1" l="1"/>
  <c r="AA340" i="1"/>
  <c r="AC339" i="1"/>
  <c r="AB339" i="1" s="1"/>
  <c r="AD340" i="1" l="1"/>
  <c r="AA341" i="1"/>
  <c r="AC340" i="1"/>
  <c r="AB340" i="1" s="1"/>
  <c r="AD341" i="1" l="1"/>
  <c r="AA342" i="1"/>
  <c r="AC341" i="1"/>
  <c r="AB341" i="1" s="1"/>
  <c r="AD342" i="1" l="1"/>
  <c r="AA343" i="1"/>
  <c r="AC342" i="1"/>
  <c r="AB342" i="1" s="1"/>
  <c r="AD343" i="1" l="1"/>
  <c r="AA344" i="1"/>
  <c r="AC343" i="1"/>
  <c r="AB343" i="1" s="1"/>
  <c r="AD344" i="1" l="1"/>
  <c r="AA345" i="1"/>
  <c r="AC344" i="1"/>
  <c r="AB344" i="1" s="1"/>
  <c r="AD345" i="1" l="1"/>
  <c r="AA346" i="1"/>
  <c r="AC345" i="1"/>
  <c r="AB345" i="1" s="1"/>
  <c r="AD346" i="1" l="1"/>
  <c r="AA347" i="1"/>
  <c r="AC346" i="1"/>
  <c r="AB346" i="1" s="1"/>
  <c r="AD347" i="1" l="1"/>
  <c r="AA348" i="1"/>
  <c r="AC347" i="1"/>
  <c r="AB347" i="1" s="1"/>
  <c r="AD348" i="1" l="1"/>
  <c r="AA349" i="1"/>
  <c r="AC348" i="1"/>
  <c r="AB348" i="1" s="1"/>
  <c r="AD349" i="1" l="1"/>
  <c r="AA350" i="1"/>
  <c r="AC349" i="1"/>
  <c r="AB349" i="1" s="1"/>
  <c r="AD350" i="1" l="1"/>
  <c r="AA351" i="1"/>
  <c r="AC350" i="1"/>
  <c r="AB350" i="1" s="1"/>
  <c r="AD351" i="1" l="1"/>
  <c r="AA352" i="1"/>
  <c r="AC351" i="1"/>
  <c r="AB351" i="1" s="1"/>
  <c r="AD352" i="1" l="1"/>
  <c r="AA353" i="1"/>
  <c r="AC352" i="1"/>
  <c r="AB352" i="1" s="1"/>
  <c r="AD353" i="1" l="1"/>
  <c r="AA354" i="1"/>
  <c r="AC353" i="1"/>
  <c r="AB353" i="1" s="1"/>
  <c r="AD354" i="1" l="1"/>
  <c r="AA355" i="1"/>
  <c r="AC354" i="1"/>
  <c r="AB354" i="1" s="1"/>
  <c r="AD355" i="1" l="1"/>
  <c r="AA356" i="1"/>
  <c r="AC355" i="1"/>
  <c r="AB355" i="1" s="1"/>
  <c r="AD356" i="1" l="1"/>
  <c r="AA357" i="1"/>
  <c r="AC356" i="1"/>
  <c r="AB356" i="1" s="1"/>
  <c r="AD357" i="1" l="1"/>
  <c r="AA358" i="1"/>
  <c r="AC357" i="1"/>
  <c r="AB357" i="1" s="1"/>
  <c r="AD358" i="1" l="1"/>
  <c r="AA359" i="1"/>
  <c r="AC358" i="1"/>
  <c r="AB358" i="1" s="1"/>
  <c r="AD359" i="1" l="1"/>
  <c r="AA360" i="1"/>
  <c r="AC359" i="1"/>
  <c r="AB359" i="1" s="1"/>
  <c r="AD360" i="1" l="1"/>
  <c r="AA361" i="1"/>
  <c r="AC360" i="1"/>
  <c r="AB360" i="1" s="1"/>
  <c r="AD361" i="1" l="1"/>
  <c r="AA362" i="1"/>
  <c r="AC361" i="1"/>
  <c r="AB361" i="1" s="1"/>
  <c r="AD362" i="1" l="1"/>
  <c r="AA363" i="1"/>
  <c r="AC362" i="1"/>
  <c r="AB362" i="1" s="1"/>
  <c r="AD363" i="1" l="1"/>
  <c r="AA364" i="1"/>
  <c r="AC363" i="1"/>
  <c r="AB363" i="1" s="1"/>
  <c r="AD364" i="1" l="1"/>
  <c r="AA365" i="1"/>
  <c r="AC364" i="1"/>
  <c r="AB364" i="1" s="1"/>
  <c r="AD365" i="1" l="1"/>
  <c r="AA366" i="1"/>
  <c r="AC365" i="1"/>
  <c r="AB365" i="1" s="1"/>
  <c r="AD366" i="1" l="1"/>
  <c r="AA367" i="1"/>
  <c r="AC366" i="1"/>
  <c r="AB366" i="1" s="1"/>
  <c r="AD367" i="1" l="1"/>
  <c r="AA368" i="1"/>
  <c r="AC367" i="1"/>
  <c r="AB367" i="1" s="1"/>
  <c r="AD368" i="1" l="1"/>
  <c r="AA369" i="1"/>
  <c r="AC368" i="1"/>
  <c r="AB368" i="1" s="1"/>
  <c r="AD369" i="1" l="1"/>
  <c r="AA370" i="1"/>
  <c r="AC369" i="1"/>
  <c r="AB369" i="1" s="1"/>
  <c r="AD370" i="1" l="1"/>
  <c r="AA371" i="1"/>
  <c r="AC370" i="1"/>
  <c r="AB370" i="1" s="1"/>
  <c r="AD371" i="1" l="1"/>
  <c r="AA372" i="1"/>
  <c r="AC371" i="1"/>
  <c r="AB371" i="1" s="1"/>
  <c r="AD372" i="1" l="1"/>
  <c r="AA373" i="1"/>
  <c r="AC372" i="1"/>
  <c r="AB372" i="1" s="1"/>
  <c r="AD373" i="1" l="1"/>
  <c r="AA374" i="1"/>
  <c r="AC373" i="1"/>
  <c r="AB373" i="1" s="1"/>
  <c r="AD374" i="1" l="1"/>
  <c r="AA375" i="1"/>
  <c r="AC374" i="1"/>
  <c r="AB374" i="1" s="1"/>
  <c r="AD375" i="1" l="1"/>
  <c r="AA376" i="1"/>
  <c r="AC375" i="1"/>
  <c r="AB375" i="1" s="1"/>
  <c r="AD376" i="1" l="1"/>
  <c r="AA377" i="1"/>
  <c r="AC376" i="1"/>
  <c r="AB376" i="1" s="1"/>
  <c r="AD377" i="1" l="1"/>
  <c r="AA378" i="1"/>
  <c r="AC377" i="1"/>
  <c r="AB377" i="1" s="1"/>
  <c r="AD378" i="1" l="1"/>
  <c r="AA379" i="1"/>
  <c r="AC378" i="1"/>
  <c r="AB378" i="1" s="1"/>
  <c r="AD379" i="1" l="1"/>
  <c r="AA380" i="1"/>
  <c r="AC379" i="1"/>
  <c r="AB379" i="1" s="1"/>
  <c r="AD380" i="1" l="1"/>
  <c r="AA381" i="1"/>
  <c r="AC380" i="1"/>
  <c r="AB380" i="1" s="1"/>
  <c r="AD381" i="1" l="1"/>
  <c r="AA382" i="1"/>
  <c r="AC381" i="1"/>
  <c r="AB381" i="1" s="1"/>
  <c r="AD382" i="1" l="1"/>
  <c r="AA383" i="1"/>
  <c r="AC382" i="1"/>
  <c r="AB382" i="1" s="1"/>
  <c r="AD383" i="1" l="1"/>
  <c r="AA384" i="1"/>
  <c r="AC383" i="1"/>
  <c r="AB383" i="1" s="1"/>
  <c r="AD384" i="1" l="1"/>
  <c r="AA385" i="1"/>
  <c r="AC384" i="1"/>
  <c r="AB384" i="1" s="1"/>
  <c r="AD385" i="1" l="1"/>
  <c r="AA386" i="1"/>
  <c r="AC385" i="1"/>
  <c r="AB385" i="1" s="1"/>
  <c r="AD386" i="1" l="1"/>
  <c r="AA387" i="1"/>
  <c r="AC386" i="1"/>
  <c r="AB386" i="1" s="1"/>
  <c r="AD387" i="1" l="1"/>
  <c r="AA388" i="1"/>
  <c r="AC387" i="1"/>
  <c r="AB387" i="1" s="1"/>
  <c r="AD388" i="1" l="1"/>
  <c r="AA389" i="1"/>
  <c r="AC388" i="1"/>
  <c r="AB388" i="1" s="1"/>
  <c r="AD389" i="1" l="1"/>
  <c r="AA390" i="1"/>
  <c r="AC389" i="1"/>
  <c r="AB389" i="1" s="1"/>
  <c r="AD390" i="1" l="1"/>
  <c r="AA391" i="1"/>
  <c r="AC390" i="1"/>
  <c r="AB390" i="1" s="1"/>
  <c r="AD391" i="1" l="1"/>
  <c r="AA392" i="1"/>
  <c r="AC391" i="1"/>
  <c r="AB391" i="1" s="1"/>
  <c r="AD392" i="1" l="1"/>
  <c r="AA393" i="1"/>
  <c r="AC392" i="1"/>
  <c r="AB392" i="1" s="1"/>
  <c r="AD393" i="1" l="1"/>
  <c r="AA394" i="1"/>
  <c r="AC393" i="1"/>
  <c r="AB393" i="1" s="1"/>
  <c r="AD394" i="1" l="1"/>
  <c r="AA395" i="1"/>
  <c r="AC394" i="1"/>
  <c r="AB394" i="1" s="1"/>
  <c r="AD395" i="1" l="1"/>
  <c r="AA396" i="1"/>
  <c r="AC395" i="1"/>
  <c r="AB395" i="1" s="1"/>
  <c r="AD396" i="1" l="1"/>
  <c r="AA397" i="1"/>
  <c r="AC396" i="1"/>
  <c r="AB396" i="1" s="1"/>
  <c r="AD397" i="1" l="1"/>
  <c r="AA398" i="1"/>
  <c r="AC397" i="1"/>
  <c r="AB397" i="1" s="1"/>
  <c r="AD398" i="1" l="1"/>
  <c r="AA399" i="1"/>
  <c r="AC398" i="1"/>
  <c r="AB398" i="1" s="1"/>
  <c r="AD399" i="1" l="1"/>
  <c r="AA400" i="1"/>
  <c r="AC399" i="1"/>
  <c r="AB399" i="1" s="1"/>
  <c r="AD400" i="1" l="1"/>
  <c r="AA401" i="1"/>
  <c r="AC400" i="1"/>
  <c r="AB400" i="1" s="1"/>
  <c r="AD401" i="1" l="1"/>
  <c r="AA402" i="1"/>
  <c r="AC401" i="1"/>
  <c r="AB401" i="1" s="1"/>
  <c r="AD402" i="1" l="1"/>
  <c r="AA403" i="1"/>
  <c r="AC402" i="1"/>
  <c r="AB402" i="1" s="1"/>
  <c r="AD403" i="1" l="1"/>
  <c r="AA404" i="1"/>
  <c r="AC403" i="1"/>
  <c r="AB403" i="1" s="1"/>
  <c r="AD404" i="1" l="1"/>
  <c r="AA405" i="1"/>
  <c r="AC404" i="1"/>
  <c r="AB404" i="1" s="1"/>
  <c r="AD405" i="1" l="1"/>
  <c r="AA406" i="1"/>
  <c r="AC405" i="1"/>
  <c r="AB405" i="1" s="1"/>
  <c r="AD406" i="1" l="1"/>
  <c r="AA407" i="1"/>
  <c r="AC406" i="1"/>
  <c r="AB406" i="1" s="1"/>
  <c r="AD407" i="1" l="1"/>
  <c r="AA408" i="1"/>
  <c r="AC407" i="1"/>
  <c r="AB407" i="1" s="1"/>
  <c r="AD408" i="1" l="1"/>
  <c r="AA409" i="1"/>
  <c r="AC408" i="1"/>
  <c r="AB408" i="1" s="1"/>
  <c r="AD409" i="1" l="1"/>
  <c r="AA410" i="1"/>
  <c r="AC409" i="1"/>
  <c r="AB409" i="1" s="1"/>
  <c r="AD410" i="1" l="1"/>
  <c r="AA411" i="1"/>
  <c r="AC410" i="1"/>
  <c r="AB410" i="1" s="1"/>
  <c r="AD411" i="1" l="1"/>
  <c r="AA412" i="1"/>
  <c r="AC411" i="1"/>
  <c r="AB411" i="1" s="1"/>
  <c r="AD412" i="1" l="1"/>
  <c r="AA413" i="1"/>
  <c r="AC412" i="1"/>
  <c r="AB412" i="1" s="1"/>
  <c r="AD413" i="1" l="1"/>
  <c r="AA414" i="1"/>
  <c r="AC413" i="1"/>
  <c r="AB413" i="1" s="1"/>
  <c r="AD414" i="1" l="1"/>
  <c r="AA415" i="1"/>
  <c r="AC414" i="1"/>
  <c r="AB414" i="1" s="1"/>
  <c r="AD415" i="1" l="1"/>
  <c r="AA416" i="1"/>
  <c r="AC415" i="1"/>
  <c r="AB415" i="1" s="1"/>
  <c r="AD416" i="1" l="1"/>
  <c r="AA417" i="1"/>
  <c r="AC416" i="1"/>
  <c r="AB416" i="1" s="1"/>
  <c r="AD417" i="1" l="1"/>
  <c r="AA418" i="1"/>
  <c r="AC417" i="1"/>
  <c r="AB417" i="1" s="1"/>
  <c r="AD418" i="1" l="1"/>
  <c r="AA419" i="1"/>
  <c r="AC418" i="1"/>
  <c r="AB418" i="1" s="1"/>
  <c r="AD419" i="1" l="1"/>
  <c r="AA420" i="1"/>
  <c r="AC419" i="1"/>
  <c r="AB419" i="1" s="1"/>
  <c r="AD420" i="1" l="1"/>
  <c r="AA421" i="1"/>
  <c r="AC420" i="1"/>
  <c r="AB420" i="1" s="1"/>
  <c r="AD421" i="1" l="1"/>
  <c r="AA422" i="1"/>
  <c r="AC421" i="1"/>
  <c r="AB421" i="1" s="1"/>
  <c r="AD422" i="1" l="1"/>
  <c r="AA423" i="1"/>
  <c r="AC422" i="1"/>
  <c r="AB422" i="1" s="1"/>
  <c r="AD423" i="1" l="1"/>
  <c r="AA424" i="1"/>
  <c r="AC423" i="1"/>
  <c r="AB423" i="1" s="1"/>
  <c r="AD424" i="1" l="1"/>
  <c r="AA425" i="1"/>
  <c r="AC424" i="1"/>
  <c r="AB424" i="1" s="1"/>
  <c r="AD425" i="1" l="1"/>
  <c r="AA426" i="1"/>
  <c r="AC425" i="1"/>
  <c r="AB425" i="1" s="1"/>
  <c r="AD426" i="1" l="1"/>
  <c r="AA427" i="1"/>
  <c r="AC426" i="1"/>
  <c r="AB426" i="1" s="1"/>
  <c r="AD427" i="1" l="1"/>
  <c r="AA428" i="1"/>
  <c r="AC427" i="1"/>
  <c r="AB427" i="1" s="1"/>
  <c r="AD428" i="1" l="1"/>
  <c r="AA429" i="1"/>
  <c r="AC428" i="1"/>
  <c r="AB428" i="1" s="1"/>
  <c r="AD429" i="1" l="1"/>
  <c r="AA430" i="1"/>
  <c r="AC429" i="1"/>
  <c r="AB429" i="1" s="1"/>
  <c r="AD430" i="1" l="1"/>
  <c r="AA431" i="1"/>
  <c r="AC430" i="1"/>
  <c r="AB430" i="1" s="1"/>
  <c r="AD431" i="1" l="1"/>
  <c r="AA432" i="1"/>
  <c r="AC431" i="1"/>
  <c r="AB431" i="1" s="1"/>
  <c r="AD432" i="1" l="1"/>
  <c r="AA433" i="1"/>
  <c r="AC432" i="1"/>
  <c r="AB432" i="1" s="1"/>
  <c r="AD433" i="1" l="1"/>
  <c r="AA434" i="1"/>
  <c r="AC433" i="1"/>
  <c r="AB433" i="1" s="1"/>
  <c r="AD434" i="1" l="1"/>
  <c r="AA435" i="1"/>
  <c r="AC434" i="1"/>
  <c r="AB434" i="1" s="1"/>
  <c r="AD435" i="1" l="1"/>
  <c r="AA436" i="1"/>
  <c r="AC435" i="1"/>
  <c r="AB435" i="1" s="1"/>
  <c r="AD436" i="1" l="1"/>
  <c r="AA437" i="1"/>
  <c r="AC436" i="1"/>
  <c r="AB436" i="1" s="1"/>
  <c r="AD437" i="1" l="1"/>
  <c r="AA438" i="1"/>
  <c r="AC437" i="1"/>
  <c r="AB437" i="1" s="1"/>
  <c r="AD438" i="1" l="1"/>
  <c r="AA439" i="1"/>
  <c r="AC438" i="1"/>
  <c r="AB438" i="1" s="1"/>
  <c r="AD439" i="1" l="1"/>
  <c r="AA440" i="1"/>
  <c r="AC439" i="1"/>
  <c r="AB439" i="1" s="1"/>
  <c r="AD440" i="1" l="1"/>
  <c r="AA441" i="1"/>
  <c r="AC440" i="1"/>
  <c r="AB440" i="1" s="1"/>
  <c r="AD441" i="1" l="1"/>
  <c r="AA442" i="1"/>
  <c r="AC441" i="1"/>
  <c r="AB441" i="1" s="1"/>
  <c r="AD442" i="1" l="1"/>
  <c r="AA443" i="1"/>
  <c r="AC442" i="1"/>
  <c r="AB442" i="1" s="1"/>
  <c r="AD443" i="1" l="1"/>
  <c r="AA444" i="1"/>
  <c r="AC443" i="1"/>
  <c r="AB443" i="1" s="1"/>
  <c r="AD444" i="1" l="1"/>
  <c r="AA445" i="1"/>
  <c r="AC444" i="1"/>
  <c r="AB444" i="1" s="1"/>
  <c r="AD445" i="1" l="1"/>
  <c r="AA446" i="1"/>
  <c r="AC445" i="1"/>
  <c r="AB445" i="1" s="1"/>
  <c r="AD446" i="1" l="1"/>
  <c r="AA447" i="1"/>
  <c r="AC446" i="1"/>
  <c r="AB446" i="1" s="1"/>
  <c r="AD447" i="1" l="1"/>
  <c r="AA448" i="1"/>
  <c r="AC447" i="1"/>
  <c r="AB447" i="1" s="1"/>
  <c r="AD448" i="1" l="1"/>
  <c r="AA449" i="1"/>
  <c r="AC448" i="1"/>
  <c r="AB448" i="1" s="1"/>
  <c r="AD449" i="1" l="1"/>
  <c r="AA450" i="1"/>
  <c r="AC449" i="1"/>
  <c r="AB449" i="1" s="1"/>
  <c r="AD450" i="1" l="1"/>
  <c r="AA451" i="1"/>
  <c r="AC450" i="1"/>
  <c r="AB450" i="1" s="1"/>
  <c r="AD451" i="1" l="1"/>
  <c r="AA452" i="1"/>
  <c r="AC451" i="1"/>
  <c r="AB451" i="1" s="1"/>
  <c r="AD452" i="1" l="1"/>
  <c r="AA453" i="1"/>
  <c r="AC452" i="1"/>
  <c r="AB452" i="1" s="1"/>
  <c r="AD453" i="1" l="1"/>
  <c r="AA454" i="1"/>
  <c r="AC453" i="1"/>
  <c r="AB453" i="1" s="1"/>
  <c r="AD454" i="1" l="1"/>
  <c r="AA455" i="1"/>
  <c r="AC454" i="1"/>
  <c r="AB454" i="1" s="1"/>
  <c r="AD455" i="1" l="1"/>
  <c r="AA456" i="1"/>
  <c r="AC455" i="1"/>
  <c r="AB455" i="1" s="1"/>
  <c r="AD456" i="1" l="1"/>
  <c r="AA457" i="1"/>
  <c r="AC456" i="1"/>
  <c r="AB456" i="1" s="1"/>
  <c r="AD457" i="1" l="1"/>
  <c r="AA458" i="1"/>
  <c r="AC457" i="1"/>
  <c r="AB457" i="1" s="1"/>
  <c r="AD458" i="1" l="1"/>
  <c r="AA459" i="1"/>
  <c r="AC458" i="1"/>
  <c r="AB458" i="1" s="1"/>
  <c r="AD459" i="1" l="1"/>
  <c r="AA460" i="1"/>
  <c r="AC459" i="1"/>
  <c r="AB459" i="1" s="1"/>
  <c r="AD460" i="1" l="1"/>
  <c r="AA461" i="1"/>
  <c r="AC460" i="1"/>
  <c r="AB460" i="1" s="1"/>
  <c r="AD461" i="1" l="1"/>
  <c r="AA462" i="1"/>
  <c r="AC461" i="1"/>
  <c r="AB461" i="1" s="1"/>
  <c r="AD462" i="1" l="1"/>
  <c r="AA463" i="1"/>
  <c r="AC462" i="1"/>
  <c r="AB462" i="1" s="1"/>
  <c r="AD463" i="1" l="1"/>
  <c r="AA464" i="1"/>
  <c r="AC463" i="1"/>
  <c r="AB463" i="1" s="1"/>
  <c r="AD464" i="1" l="1"/>
  <c r="AA465" i="1"/>
  <c r="AC464" i="1"/>
  <c r="AB464" i="1" s="1"/>
  <c r="AD465" i="1" l="1"/>
  <c r="AA466" i="1"/>
  <c r="AC465" i="1"/>
  <c r="AB465" i="1" s="1"/>
  <c r="AD466" i="1" l="1"/>
  <c r="AA467" i="1"/>
  <c r="AC466" i="1"/>
  <c r="AB466" i="1" s="1"/>
  <c r="AD467" i="1" l="1"/>
  <c r="AA468" i="1"/>
  <c r="AC467" i="1"/>
  <c r="AB467" i="1" s="1"/>
  <c r="AD468" i="1" l="1"/>
  <c r="AA469" i="1"/>
  <c r="AC468" i="1"/>
  <c r="AB468" i="1" s="1"/>
  <c r="AD469" i="1" l="1"/>
  <c r="AA470" i="1"/>
  <c r="AC469" i="1"/>
  <c r="AB469" i="1" s="1"/>
  <c r="AD470" i="1" l="1"/>
  <c r="AA471" i="1"/>
  <c r="AC470" i="1"/>
  <c r="AB470" i="1" s="1"/>
  <c r="AD471" i="1" l="1"/>
  <c r="AA472" i="1"/>
  <c r="AC471" i="1"/>
  <c r="AB471" i="1" s="1"/>
  <c r="AD472" i="1" l="1"/>
  <c r="AA473" i="1"/>
  <c r="AC472" i="1"/>
  <c r="AB472" i="1" s="1"/>
  <c r="AD473" i="1" l="1"/>
  <c r="AA474" i="1"/>
  <c r="AC473" i="1"/>
  <c r="AB473" i="1" s="1"/>
  <c r="AD474" i="1" l="1"/>
  <c r="AA475" i="1"/>
  <c r="AC474" i="1"/>
  <c r="AB474" i="1" s="1"/>
  <c r="AD475" i="1" l="1"/>
  <c r="AA476" i="1"/>
  <c r="AC475" i="1"/>
  <c r="AB475" i="1" s="1"/>
  <c r="AD476" i="1" l="1"/>
  <c r="AA477" i="1"/>
  <c r="AC476" i="1"/>
  <c r="AB476" i="1" s="1"/>
  <c r="AD477" i="1" l="1"/>
  <c r="AA478" i="1"/>
  <c r="AC477" i="1"/>
  <c r="AB477" i="1" s="1"/>
  <c r="AD478" i="1" l="1"/>
  <c r="AA479" i="1"/>
  <c r="AC478" i="1"/>
  <c r="AB478" i="1" s="1"/>
  <c r="AD479" i="1" l="1"/>
  <c r="AA480" i="1"/>
  <c r="AC479" i="1"/>
  <c r="AB479" i="1" s="1"/>
  <c r="AD480" i="1" l="1"/>
  <c r="AA481" i="1"/>
  <c r="AC480" i="1"/>
  <c r="AB480" i="1" s="1"/>
  <c r="AD481" i="1" l="1"/>
  <c r="AA482" i="1"/>
  <c r="AC481" i="1"/>
  <c r="AB481" i="1" s="1"/>
  <c r="AD482" i="1" l="1"/>
  <c r="AA483" i="1"/>
  <c r="AC482" i="1"/>
  <c r="AB482" i="1" s="1"/>
  <c r="AD483" i="1" l="1"/>
  <c r="AA484" i="1"/>
  <c r="AC483" i="1"/>
  <c r="AB483" i="1" s="1"/>
  <c r="AD484" i="1" l="1"/>
  <c r="AA485" i="1"/>
  <c r="AC484" i="1"/>
  <c r="AB484" i="1" s="1"/>
  <c r="AD485" i="1" l="1"/>
  <c r="AA486" i="1"/>
  <c r="AC485" i="1"/>
  <c r="AB485" i="1" s="1"/>
  <c r="AD486" i="1" l="1"/>
  <c r="AA487" i="1"/>
  <c r="AC486" i="1"/>
  <c r="AB486" i="1" s="1"/>
  <c r="AD487" i="1" l="1"/>
  <c r="AA488" i="1"/>
  <c r="AC487" i="1"/>
  <c r="AB487" i="1" s="1"/>
  <c r="AD488" i="1" l="1"/>
  <c r="AA489" i="1"/>
  <c r="AC488" i="1"/>
  <c r="AB488" i="1" s="1"/>
  <c r="AD489" i="1" l="1"/>
  <c r="AA490" i="1"/>
  <c r="AC489" i="1"/>
  <c r="AB489" i="1" s="1"/>
  <c r="AD490" i="1" l="1"/>
  <c r="AA491" i="1"/>
  <c r="AC490" i="1"/>
  <c r="AB490" i="1" s="1"/>
  <c r="AD491" i="1" l="1"/>
  <c r="AA492" i="1"/>
  <c r="AC491" i="1"/>
  <c r="AB491" i="1" s="1"/>
  <c r="AD492" i="1" l="1"/>
  <c r="AA493" i="1"/>
  <c r="AC492" i="1"/>
  <c r="AB492" i="1" s="1"/>
  <c r="AD493" i="1" l="1"/>
  <c r="AA494" i="1"/>
  <c r="AC493" i="1"/>
  <c r="AB493" i="1" s="1"/>
  <c r="AD494" i="1" l="1"/>
  <c r="AA495" i="1"/>
  <c r="AC494" i="1"/>
  <c r="AB494" i="1" s="1"/>
  <c r="AD495" i="1" l="1"/>
  <c r="AA496" i="1"/>
  <c r="AC495" i="1"/>
  <c r="AB495" i="1" s="1"/>
  <c r="AD496" i="1" l="1"/>
  <c r="AA497" i="1"/>
  <c r="AC496" i="1"/>
  <c r="AB496" i="1" s="1"/>
  <c r="AD497" i="1" l="1"/>
  <c r="AA498" i="1"/>
  <c r="AC497" i="1"/>
  <c r="AB497" i="1" s="1"/>
  <c r="AD498" i="1" l="1"/>
  <c r="AA499" i="1"/>
  <c r="AC498" i="1"/>
  <c r="AB498" i="1" s="1"/>
  <c r="AD499" i="1" l="1"/>
  <c r="AA500" i="1"/>
  <c r="AC499" i="1"/>
  <c r="AB499" i="1" s="1"/>
  <c r="AD500" i="1" l="1"/>
  <c r="AA501" i="1"/>
  <c r="AC500" i="1"/>
  <c r="AB500" i="1" s="1"/>
  <c r="AD501" i="1" l="1"/>
  <c r="AA502" i="1"/>
  <c r="AC501" i="1"/>
  <c r="AB501" i="1" s="1"/>
  <c r="AD502" i="1" l="1"/>
  <c r="AA503" i="1"/>
  <c r="AC502" i="1"/>
  <c r="AB502" i="1" s="1"/>
  <c r="AD503" i="1" l="1"/>
  <c r="AA504" i="1"/>
  <c r="AC503" i="1"/>
  <c r="AB503" i="1" s="1"/>
  <c r="AD504" i="1" l="1"/>
  <c r="AA505" i="1"/>
  <c r="AC504" i="1"/>
  <c r="AB504" i="1" s="1"/>
  <c r="AD505" i="1" l="1"/>
  <c r="AA506" i="1"/>
  <c r="AC505" i="1"/>
  <c r="AB505" i="1" s="1"/>
  <c r="AD506" i="1" l="1"/>
  <c r="AA507" i="1"/>
  <c r="AC506" i="1"/>
  <c r="AB506" i="1" s="1"/>
  <c r="AD507" i="1" l="1"/>
  <c r="AA508" i="1"/>
  <c r="AC507" i="1"/>
  <c r="AB507" i="1" s="1"/>
  <c r="AD508" i="1" l="1"/>
  <c r="AA509" i="1"/>
  <c r="AC508" i="1"/>
  <c r="AB508" i="1" s="1"/>
  <c r="AD509" i="1" l="1"/>
  <c r="AA510" i="1"/>
  <c r="AC509" i="1"/>
  <c r="AB509" i="1" s="1"/>
  <c r="AD510" i="1" l="1"/>
  <c r="AA511" i="1"/>
  <c r="AC510" i="1"/>
  <c r="AB510" i="1" s="1"/>
  <c r="AD511" i="1" l="1"/>
  <c r="AA512" i="1"/>
  <c r="AC511" i="1"/>
  <c r="AB511" i="1" s="1"/>
  <c r="AD512" i="1" l="1"/>
  <c r="AA513" i="1"/>
  <c r="AC512" i="1"/>
  <c r="AB512" i="1" s="1"/>
  <c r="AD513" i="1" l="1"/>
  <c r="AA514" i="1"/>
  <c r="AC513" i="1"/>
  <c r="AB513" i="1" s="1"/>
  <c r="AD514" i="1" l="1"/>
  <c r="AA515" i="1"/>
  <c r="AC514" i="1"/>
  <c r="AB514" i="1" s="1"/>
  <c r="AD515" i="1" l="1"/>
  <c r="AA516" i="1"/>
  <c r="AC515" i="1"/>
  <c r="AB515" i="1" s="1"/>
  <c r="AD516" i="1" l="1"/>
  <c r="AA517" i="1"/>
  <c r="AC516" i="1"/>
  <c r="AB516" i="1" s="1"/>
  <c r="AD517" i="1" l="1"/>
  <c r="AA518" i="1"/>
  <c r="AC517" i="1"/>
  <c r="AB517" i="1" s="1"/>
  <c r="AD518" i="1" l="1"/>
  <c r="AA519" i="1"/>
  <c r="AC518" i="1"/>
  <c r="AB518" i="1" s="1"/>
  <c r="AD519" i="1" l="1"/>
  <c r="AA520" i="1"/>
  <c r="AC519" i="1"/>
  <c r="AB519" i="1" s="1"/>
  <c r="AD520" i="1" l="1"/>
  <c r="AA521" i="1"/>
  <c r="AC520" i="1"/>
  <c r="AB520" i="1" s="1"/>
  <c r="AD521" i="1" l="1"/>
  <c r="AA522" i="1"/>
  <c r="AC521" i="1"/>
  <c r="AB521" i="1" s="1"/>
  <c r="AD522" i="1" l="1"/>
  <c r="AA523" i="1"/>
  <c r="AC522" i="1"/>
  <c r="AB522" i="1" s="1"/>
  <c r="AD523" i="1" l="1"/>
  <c r="AA524" i="1"/>
  <c r="AC523" i="1"/>
  <c r="AB523" i="1" s="1"/>
  <c r="AD524" i="1" l="1"/>
  <c r="AA525" i="1"/>
  <c r="AC524" i="1"/>
  <c r="AB524" i="1" s="1"/>
  <c r="AD525" i="1" l="1"/>
  <c r="AA526" i="1"/>
  <c r="AC525" i="1"/>
  <c r="AB525" i="1" s="1"/>
  <c r="AD526" i="1" l="1"/>
  <c r="AA527" i="1"/>
  <c r="AC526" i="1"/>
  <c r="AB526" i="1" s="1"/>
  <c r="AD527" i="1" l="1"/>
  <c r="AA528" i="1"/>
  <c r="AC527" i="1"/>
  <c r="AB527" i="1" s="1"/>
  <c r="AD528" i="1" l="1"/>
  <c r="AA529" i="1"/>
  <c r="AC528" i="1"/>
  <c r="AB528" i="1" s="1"/>
  <c r="AD529" i="1" l="1"/>
  <c r="AA530" i="1"/>
  <c r="AC529" i="1"/>
  <c r="AB529" i="1" s="1"/>
  <c r="AD530" i="1" l="1"/>
  <c r="AA531" i="1"/>
  <c r="AC530" i="1"/>
  <c r="AB530" i="1" s="1"/>
  <c r="AD531" i="1" l="1"/>
  <c r="AA532" i="1"/>
  <c r="AC531" i="1"/>
  <c r="AB531" i="1" s="1"/>
  <c r="AD532" i="1" l="1"/>
  <c r="AA533" i="1"/>
  <c r="AC532" i="1"/>
  <c r="AB532" i="1" s="1"/>
  <c r="AD533" i="1" l="1"/>
  <c r="AA534" i="1"/>
  <c r="AC533" i="1"/>
  <c r="AB533" i="1" s="1"/>
  <c r="AD534" i="1" l="1"/>
  <c r="AA535" i="1"/>
  <c r="AC534" i="1"/>
  <c r="AB534" i="1" s="1"/>
  <c r="AD535" i="1" l="1"/>
  <c r="AA536" i="1"/>
  <c r="AC535" i="1"/>
  <c r="AB535" i="1" s="1"/>
  <c r="AD536" i="1" l="1"/>
  <c r="AA537" i="1"/>
  <c r="AC536" i="1"/>
  <c r="AB536" i="1" s="1"/>
  <c r="AD537" i="1" l="1"/>
  <c r="AA538" i="1"/>
  <c r="AC537" i="1"/>
  <c r="AB537" i="1" s="1"/>
  <c r="AD538" i="1" l="1"/>
  <c r="AA539" i="1"/>
  <c r="AC538" i="1"/>
  <c r="AB538" i="1" s="1"/>
  <c r="AD539" i="1" l="1"/>
  <c r="AA540" i="1"/>
  <c r="AC539" i="1"/>
  <c r="AB539" i="1" s="1"/>
  <c r="AD540" i="1" l="1"/>
  <c r="AA541" i="1"/>
  <c r="AC540" i="1"/>
  <c r="AB540" i="1" s="1"/>
  <c r="AD541" i="1" l="1"/>
  <c r="AA542" i="1"/>
  <c r="AC541" i="1"/>
  <c r="AB541" i="1" s="1"/>
  <c r="AD542" i="1" l="1"/>
  <c r="AA543" i="1"/>
  <c r="AC542" i="1"/>
  <c r="AB542" i="1" s="1"/>
  <c r="AD543" i="1" l="1"/>
  <c r="AA544" i="1"/>
  <c r="AC543" i="1"/>
  <c r="AB543" i="1" s="1"/>
  <c r="AD544" i="1" l="1"/>
  <c r="AA545" i="1"/>
  <c r="AC544" i="1"/>
  <c r="AB544" i="1" s="1"/>
  <c r="AD545" i="1" l="1"/>
  <c r="AA546" i="1"/>
  <c r="AC545" i="1"/>
  <c r="AB545" i="1" s="1"/>
  <c r="AD546" i="1" l="1"/>
  <c r="AA547" i="1"/>
  <c r="AC546" i="1"/>
  <c r="AB546" i="1" s="1"/>
  <c r="AD547" i="1" l="1"/>
  <c r="AA548" i="1"/>
  <c r="AC547" i="1"/>
  <c r="AB547" i="1" s="1"/>
  <c r="AD548" i="1" l="1"/>
  <c r="AA549" i="1"/>
  <c r="AC548" i="1"/>
  <c r="AB548" i="1" s="1"/>
  <c r="AD549" i="1" l="1"/>
  <c r="AA550" i="1"/>
  <c r="AC549" i="1"/>
  <c r="AB549" i="1" s="1"/>
  <c r="AD550" i="1" l="1"/>
  <c r="AA551" i="1"/>
  <c r="AC550" i="1"/>
  <c r="AB550" i="1" s="1"/>
  <c r="AD551" i="1" l="1"/>
  <c r="AA552" i="1"/>
  <c r="AC551" i="1"/>
  <c r="AB551" i="1" s="1"/>
  <c r="AD552" i="1" l="1"/>
  <c r="AA553" i="1"/>
  <c r="AC552" i="1"/>
  <c r="AB552" i="1" s="1"/>
  <c r="AD553" i="1" l="1"/>
  <c r="AA554" i="1"/>
  <c r="AC553" i="1"/>
  <c r="AB553" i="1" s="1"/>
  <c r="AD554" i="1" l="1"/>
  <c r="AA555" i="1"/>
  <c r="AC554" i="1"/>
  <c r="AB554" i="1" s="1"/>
  <c r="AD555" i="1" l="1"/>
  <c r="AA556" i="1"/>
  <c r="AC555" i="1"/>
  <c r="AB555" i="1" s="1"/>
  <c r="AD556" i="1" l="1"/>
  <c r="AA557" i="1"/>
  <c r="AC556" i="1"/>
  <c r="AB556" i="1" s="1"/>
  <c r="AD557" i="1" l="1"/>
  <c r="AA558" i="1"/>
  <c r="AC557" i="1"/>
  <c r="AB557" i="1" s="1"/>
  <c r="AD558" i="1" l="1"/>
  <c r="AA559" i="1"/>
  <c r="AC558" i="1"/>
  <c r="AB558" i="1" s="1"/>
  <c r="AD559" i="1" l="1"/>
  <c r="AA560" i="1"/>
  <c r="AC559" i="1"/>
  <c r="AB559" i="1" s="1"/>
  <c r="AD560" i="1" l="1"/>
  <c r="AA561" i="1"/>
  <c r="AC560" i="1"/>
  <c r="AB560" i="1" s="1"/>
  <c r="AD561" i="1" l="1"/>
  <c r="AA562" i="1"/>
  <c r="AC561" i="1"/>
  <c r="AB561" i="1" s="1"/>
  <c r="AD562" i="1" l="1"/>
  <c r="AA563" i="1"/>
  <c r="AC562" i="1"/>
  <c r="AB562" i="1" s="1"/>
  <c r="AD563" i="1" l="1"/>
  <c r="AA564" i="1"/>
  <c r="AC563" i="1"/>
  <c r="AB563" i="1" s="1"/>
  <c r="AD564" i="1" l="1"/>
  <c r="AA565" i="1"/>
  <c r="AC564" i="1"/>
  <c r="AB564" i="1" s="1"/>
  <c r="AD565" i="1" l="1"/>
  <c r="AA566" i="1"/>
  <c r="AC565" i="1"/>
  <c r="AB565" i="1" s="1"/>
  <c r="AD566" i="1" l="1"/>
  <c r="AA567" i="1"/>
  <c r="AC566" i="1"/>
  <c r="AB566" i="1" s="1"/>
  <c r="AD567" i="1" l="1"/>
  <c r="AA568" i="1"/>
  <c r="AC567" i="1"/>
  <c r="AB567" i="1" s="1"/>
  <c r="AD568" i="1" l="1"/>
  <c r="AA569" i="1"/>
  <c r="AC568" i="1"/>
  <c r="AB568" i="1" s="1"/>
  <c r="AD569" i="1" l="1"/>
  <c r="AA570" i="1"/>
  <c r="AC569" i="1"/>
  <c r="AB569" i="1" s="1"/>
  <c r="AD570" i="1" l="1"/>
  <c r="AA571" i="1"/>
  <c r="AC570" i="1"/>
  <c r="AB570" i="1" s="1"/>
  <c r="AD571" i="1" l="1"/>
  <c r="AA572" i="1"/>
  <c r="AC571" i="1"/>
  <c r="AB571" i="1" s="1"/>
  <c r="AD572" i="1" l="1"/>
  <c r="AA573" i="1"/>
  <c r="AC572" i="1"/>
  <c r="AB572" i="1" s="1"/>
  <c r="AD573" i="1" l="1"/>
  <c r="AA574" i="1"/>
  <c r="AC573" i="1"/>
  <c r="AB573" i="1" s="1"/>
  <c r="AD574" i="1" l="1"/>
  <c r="AA575" i="1"/>
  <c r="AC574" i="1"/>
  <c r="AB574" i="1" s="1"/>
  <c r="AD575" i="1" l="1"/>
  <c r="AA576" i="1"/>
  <c r="AC575" i="1"/>
  <c r="AB575" i="1" s="1"/>
  <c r="AD576" i="1" l="1"/>
  <c r="AA577" i="1"/>
  <c r="AC576" i="1"/>
  <c r="AB576" i="1" s="1"/>
  <c r="AD577" i="1" l="1"/>
  <c r="AA578" i="1"/>
  <c r="AC577" i="1"/>
  <c r="AB577" i="1" s="1"/>
  <c r="AD578" i="1" l="1"/>
  <c r="AA579" i="1"/>
  <c r="AC578" i="1"/>
  <c r="AB578" i="1" s="1"/>
  <c r="AD579" i="1" l="1"/>
  <c r="AA580" i="1"/>
  <c r="AC579" i="1"/>
  <c r="AB579" i="1" s="1"/>
  <c r="AD580" i="1" l="1"/>
  <c r="AA581" i="1"/>
  <c r="AC580" i="1"/>
  <c r="AB580" i="1" s="1"/>
  <c r="AD581" i="1" l="1"/>
  <c r="AA582" i="1"/>
  <c r="AC581" i="1"/>
  <c r="AB581" i="1" s="1"/>
  <c r="AD582" i="1" l="1"/>
  <c r="AA583" i="1"/>
  <c r="AC582" i="1"/>
  <c r="AB582" i="1" s="1"/>
  <c r="AD583" i="1" l="1"/>
  <c r="AA584" i="1"/>
  <c r="AC583" i="1"/>
  <c r="AB583" i="1" s="1"/>
  <c r="AD584" i="1" l="1"/>
  <c r="AA585" i="1"/>
  <c r="AC584" i="1"/>
  <c r="AB584" i="1" s="1"/>
  <c r="AD585" i="1" l="1"/>
  <c r="AA586" i="1"/>
  <c r="AC585" i="1"/>
  <c r="AB585" i="1" s="1"/>
  <c r="AD586" i="1" l="1"/>
  <c r="AA587" i="1"/>
  <c r="AC586" i="1"/>
  <c r="AB586" i="1" s="1"/>
  <c r="AD587" i="1" l="1"/>
  <c r="AA588" i="1"/>
  <c r="AC587" i="1"/>
  <c r="AB587" i="1" s="1"/>
  <c r="AD588" i="1" l="1"/>
  <c r="AA589" i="1"/>
  <c r="AC588" i="1"/>
  <c r="AB588" i="1" s="1"/>
  <c r="AD589" i="1" l="1"/>
  <c r="AA590" i="1"/>
  <c r="AC589" i="1"/>
  <c r="AB589" i="1" s="1"/>
  <c r="AD590" i="1" l="1"/>
  <c r="AA591" i="1"/>
  <c r="AC590" i="1"/>
  <c r="AB590" i="1" s="1"/>
  <c r="AD591" i="1" l="1"/>
  <c r="AA592" i="1"/>
  <c r="AC591" i="1"/>
  <c r="AB591" i="1" s="1"/>
  <c r="AD592" i="1" l="1"/>
  <c r="AA593" i="1"/>
  <c r="AC592" i="1"/>
  <c r="AB592" i="1" s="1"/>
  <c r="AD593" i="1" l="1"/>
  <c r="AA594" i="1"/>
  <c r="AC593" i="1"/>
  <c r="AB593" i="1" s="1"/>
  <c r="AD594" i="1" l="1"/>
  <c r="AA595" i="1"/>
  <c r="AC594" i="1"/>
  <c r="AB594" i="1" s="1"/>
  <c r="AD595" i="1" l="1"/>
  <c r="AA596" i="1"/>
  <c r="AC595" i="1"/>
  <c r="AB595" i="1" s="1"/>
  <c r="AD596" i="1" l="1"/>
  <c r="AA597" i="1"/>
  <c r="AC596" i="1"/>
  <c r="AB596" i="1" s="1"/>
  <c r="AD597" i="1" l="1"/>
  <c r="AA598" i="1"/>
  <c r="AC597" i="1"/>
  <c r="AB597" i="1" s="1"/>
  <c r="AD598" i="1" l="1"/>
  <c r="AA599" i="1"/>
  <c r="AC598" i="1"/>
  <c r="AB598" i="1" s="1"/>
  <c r="AD599" i="1" l="1"/>
  <c r="AA600" i="1"/>
  <c r="AC599" i="1"/>
  <c r="AB599" i="1" s="1"/>
  <c r="AD600" i="1" l="1"/>
  <c r="AA601" i="1"/>
  <c r="AC600" i="1"/>
  <c r="AB600" i="1" s="1"/>
  <c r="AD601" i="1" l="1"/>
  <c r="AA602" i="1"/>
  <c r="AC601" i="1"/>
  <c r="AB601" i="1" s="1"/>
  <c r="AD602" i="1" l="1"/>
  <c r="AA603" i="1"/>
  <c r="AC602" i="1"/>
  <c r="AB602" i="1" s="1"/>
  <c r="AD603" i="1" l="1"/>
  <c r="AA604" i="1"/>
  <c r="AC603" i="1"/>
  <c r="AB603" i="1" s="1"/>
  <c r="AD604" i="1" l="1"/>
  <c r="AA605" i="1"/>
  <c r="AC604" i="1"/>
  <c r="AB604" i="1" s="1"/>
  <c r="AD605" i="1" l="1"/>
  <c r="AA606" i="1"/>
  <c r="AC605" i="1"/>
  <c r="AB605" i="1" s="1"/>
  <c r="AD606" i="1" l="1"/>
  <c r="AA607" i="1"/>
  <c r="AC606" i="1"/>
  <c r="AB606" i="1" s="1"/>
  <c r="AD607" i="1" l="1"/>
  <c r="AA608" i="1"/>
  <c r="AC607" i="1"/>
  <c r="AB607" i="1" s="1"/>
  <c r="AD608" i="1" l="1"/>
  <c r="AA609" i="1"/>
  <c r="AC608" i="1"/>
  <c r="AB608" i="1" s="1"/>
  <c r="AD609" i="1" l="1"/>
  <c r="AC609" i="1"/>
  <c r="AB609" i="1" s="1"/>
  <c r="AA610" i="1"/>
  <c r="AD610" i="1" l="1"/>
  <c r="AC610" i="1"/>
  <c r="AB610" i="1" s="1"/>
  <c r="AA611" i="1"/>
  <c r="AD611" i="1" l="1"/>
  <c r="AC611" i="1"/>
  <c r="AB611" i="1" s="1"/>
  <c r="AA612" i="1"/>
  <c r="AD612" i="1" l="1"/>
  <c r="AC612" i="1"/>
  <c r="AB612" i="1" s="1"/>
  <c r="AA613" i="1"/>
  <c r="AD613" i="1" l="1"/>
  <c r="AC613" i="1"/>
  <c r="AB613" i="1" s="1"/>
  <c r="AA614" i="1"/>
  <c r="AD614" i="1" l="1"/>
  <c r="AC614" i="1"/>
  <c r="AB614" i="1" s="1"/>
  <c r="AA615" i="1"/>
  <c r="AD615" i="1" l="1"/>
  <c r="AC615" i="1"/>
  <c r="AB615" i="1" s="1"/>
  <c r="AA616" i="1"/>
  <c r="AD616" i="1" l="1"/>
  <c r="AC616" i="1"/>
  <c r="AB616" i="1" s="1"/>
  <c r="AA617" i="1"/>
  <c r="AD617" i="1" l="1"/>
  <c r="AC617" i="1"/>
  <c r="AB617" i="1" s="1"/>
  <c r="AA618" i="1"/>
  <c r="AD618" i="1" l="1"/>
  <c r="AC618" i="1"/>
  <c r="AB618" i="1" s="1"/>
  <c r="AA619" i="1"/>
  <c r="AD619" i="1" l="1"/>
  <c r="AC619" i="1"/>
  <c r="AB619" i="1" s="1"/>
  <c r="AA620" i="1"/>
  <c r="AD620" i="1" l="1"/>
  <c r="AC620" i="1"/>
  <c r="AB620" i="1" s="1"/>
  <c r="AA621" i="1"/>
  <c r="AD621" i="1" l="1"/>
  <c r="AC621" i="1"/>
  <c r="AB621" i="1" s="1"/>
  <c r="AA622" i="1"/>
  <c r="AD622" i="1" l="1"/>
  <c r="AC622" i="1"/>
  <c r="AB622" i="1" s="1"/>
  <c r="AA623" i="1"/>
  <c r="AD623" i="1" l="1"/>
  <c r="AC623" i="1"/>
  <c r="AB623" i="1" s="1"/>
  <c r="AA624" i="1"/>
  <c r="AD624" i="1" l="1"/>
  <c r="AC624" i="1"/>
  <c r="AB624" i="1" s="1"/>
  <c r="AA625" i="1"/>
  <c r="AD625" i="1" l="1"/>
  <c r="AC625" i="1"/>
  <c r="AB625" i="1" s="1"/>
  <c r="AA626" i="1"/>
  <c r="AD626" i="1" l="1"/>
  <c r="AC626" i="1"/>
  <c r="AB626" i="1" s="1"/>
  <c r="AA627" i="1"/>
  <c r="AD627" i="1" l="1"/>
  <c r="AC627" i="1"/>
  <c r="AB627" i="1" s="1"/>
  <c r="AA628" i="1"/>
  <c r="AD628" i="1" l="1"/>
  <c r="AC628" i="1"/>
  <c r="AB628" i="1" s="1"/>
  <c r="AA629" i="1"/>
  <c r="AD629" i="1" l="1"/>
  <c r="AC629" i="1"/>
  <c r="AB629" i="1" s="1"/>
  <c r="AA630" i="1"/>
  <c r="AD630" i="1" l="1"/>
  <c r="AC630" i="1"/>
  <c r="AB630" i="1" s="1"/>
  <c r="AA631" i="1"/>
  <c r="AD631" i="1" l="1"/>
  <c r="AC631" i="1"/>
  <c r="AB631" i="1" s="1"/>
  <c r="AA632" i="1"/>
  <c r="AD632" i="1" l="1"/>
  <c r="AC632" i="1"/>
  <c r="AB632" i="1" s="1"/>
  <c r="AA633" i="1"/>
  <c r="AD633" i="1" l="1"/>
  <c r="AC633" i="1"/>
  <c r="AB633" i="1" s="1"/>
  <c r="AA634" i="1"/>
  <c r="AD634" i="1" l="1"/>
  <c r="AC634" i="1"/>
  <c r="AB634" i="1" s="1"/>
  <c r="AA635" i="1"/>
  <c r="AD635" i="1" l="1"/>
  <c r="AC635" i="1"/>
  <c r="AB635" i="1" s="1"/>
  <c r="AA636" i="1"/>
  <c r="AD636" i="1" l="1"/>
  <c r="AC636" i="1"/>
  <c r="AB636" i="1" s="1"/>
  <c r="AA637" i="1"/>
  <c r="AD637" i="1" l="1"/>
  <c r="AC637" i="1"/>
  <c r="AB637" i="1" s="1"/>
  <c r="AA638" i="1"/>
  <c r="AD638" i="1" l="1"/>
  <c r="AC638" i="1"/>
  <c r="AB638" i="1" s="1"/>
  <c r="AA639" i="1"/>
  <c r="AD639" i="1" l="1"/>
  <c r="AC639" i="1"/>
  <c r="AB639" i="1" s="1"/>
  <c r="AA640" i="1"/>
  <c r="AD640" i="1" l="1"/>
  <c r="AC640" i="1"/>
  <c r="AB640" i="1" s="1"/>
  <c r="AA641" i="1"/>
  <c r="AD641" i="1" l="1"/>
  <c r="AC641" i="1"/>
  <c r="AB641" i="1" s="1"/>
  <c r="AA642" i="1"/>
  <c r="AD642" i="1" l="1"/>
  <c r="AC642" i="1"/>
  <c r="AB642" i="1" s="1"/>
  <c r="AA643" i="1"/>
  <c r="AD643" i="1" l="1"/>
  <c r="AC643" i="1"/>
  <c r="AB643" i="1" s="1"/>
  <c r="AA644" i="1"/>
  <c r="AD644" i="1" l="1"/>
  <c r="AC644" i="1"/>
  <c r="AB644" i="1" s="1"/>
  <c r="AA645" i="1"/>
  <c r="AD645" i="1" l="1"/>
  <c r="AC645" i="1"/>
  <c r="AB645" i="1" s="1"/>
  <c r="AA646" i="1"/>
  <c r="AD646" i="1" l="1"/>
  <c r="AC646" i="1"/>
  <c r="AB646" i="1" s="1"/>
  <c r="AA647" i="1"/>
  <c r="AD647" i="1" l="1"/>
  <c r="AC647" i="1"/>
  <c r="AB647" i="1" s="1"/>
  <c r="AA648" i="1"/>
  <c r="AD648" i="1" l="1"/>
  <c r="AC648" i="1"/>
  <c r="AB648" i="1" s="1"/>
  <c r="AA649" i="1"/>
  <c r="AD649" i="1" l="1"/>
  <c r="AC649" i="1"/>
  <c r="AB649" i="1" s="1"/>
  <c r="AA650" i="1"/>
  <c r="AD650" i="1" l="1"/>
  <c r="AC650" i="1"/>
  <c r="AB650" i="1" s="1"/>
  <c r="AA651" i="1"/>
  <c r="AD651" i="1" l="1"/>
  <c r="AC651" i="1"/>
  <c r="AB651" i="1" s="1"/>
  <c r="AA652" i="1"/>
  <c r="AD652" i="1" l="1"/>
  <c r="AC652" i="1"/>
  <c r="AB652" i="1" s="1"/>
  <c r="AA653" i="1"/>
  <c r="AD653" i="1" l="1"/>
  <c r="AC653" i="1"/>
  <c r="AB653" i="1" s="1"/>
  <c r="AA654" i="1"/>
  <c r="AD654" i="1" l="1"/>
  <c r="AC654" i="1"/>
  <c r="AB654" i="1" s="1"/>
  <c r="AA655" i="1"/>
  <c r="AD655" i="1" l="1"/>
  <c r="AC655" i="1"/>
  <c r="AB655" i="1" s="1"/>
  <c r="AA656" i="1"/>
  <c r="AD656" i="1" l="1"/>
  <c r="AC656" i="1"/>
  <c r="AB656" i="1" s="1"/>
  <c r="AA657" i="1"/>
  <c r="AD657" i="1" l="1"/>
  <c r="AC657" i="1"/>
  <c r="AB657" i="1" s="1"/>
  <c r="AA658" i="1"/>
  <c r="AD658" i="1" l="1"/>
  <c r="AC658" i="1"/>
  <c r="AB658" i="1" s="1"/>
  <c r="AA659" i="1"/>
  <c r="AD659" i="1" l="1"/>
  <c r="AC659" i="1"/>
  <c r="AB659" i="1" s="1"/>
  <c r="AA660" i="1"/>
  <c r="AD660" i="1" l="1"/>
  <c r="AC660" i="1"/>
  <c r="AB660" i="1" s="1"/>
  <c r="AA661" i="1"/>
  <c r="AD661" i="1" l="1"/>
  <c r="AC661" i="1"/>
  <c r="AB661" i="1" s="1"/>
  <c r="AA662" i="1"/>
  <c r="AD662" i="1" l="1"/>
  <c r="AC662" i="1"/>
  <c r="AB662" i="1" s="1"/>
  <c r="AA663" i="1"/>
  <c r="AD663" i="1" l="1"/>
  <c r="AC663" i="1"/>
  <c r="AB663" i="1" s="1"/>
  <c r="AA664" i="1"/>
  <c r="AD664" i="1" l="1"/>
  <c r="AC664" i="1"/>
  <c r="AB664" i="1" s="1"/>
  <c r="AA665" i="1"/>
  <c r="AD665" i="1" l="1"/>
  <c r="AC665" i="1"/>
  <c r="AB665" i="1" s="1"/>
  <c r="AA666" i="1"/>
  <c r="AD666" i="1" l="1"/>
  <c r="AC666" i="1"/>
  <c r="AB666" i="1" s="1"/>
  <c r="AA667" i="1"/>
  <c r="AD667" i="1" l="1"/>
  <c r="AC667" i="1"/>
  <c r="AB667" i="1" s="1"/>
  <c r="AA668" i="1"/>
  <c r="AD668" i="1" l="1"/>
  <c r="AC668" i="1"/>
  <c r="AB668" i="1" s="1"/>
  <c r="AA669" i="1"/>
  <c r="AD669" i="1" l="1"/>
  <c r="AC669" i="1"/>
  <c r="AB669" i="1" s="1"/>
  <c r="AA670" i="1"/>
  <c r="AD670" i="1" l="1"/>
  <c r="AC670" i="1"/>
  <c r="AB670" i="1" s="1"/>
  <c r="AA671" i="1"/>
  <c r="AD671" i="1" l="1"/>
  <c r="AC671" i="1"/>
  <c r="AB671" i="1" s="1"/>
  <c r="AA672" i="1"/>
  <c r="AD672" i="1" l="1"/>
  <c r="AC672" i="1"/>
  <c r="AB672" i="1" s="1"/>
  <c r="AA673" i="1"/>
  <c r="AD673" i="1" l="1"/>
  <c r="AC673" i="1"/>
  <c r="AB673" i="1" s="1"/>
  <c r="AA674" i="1"/>
  <c r="AD674" i="1" l="1"/>
  <c r="AC674" i="1"/>
  <c r="AB674" i="1" s="1"/>
  <c r="AA675" i="1"/>
  <c r="AD675" i="1" l="1"/>
  <c r="AC675" i="1"/>
  <c r="AB675" i="1" s="1"/>
  <c r="AA676" i="1"/>
  <c r="AD676" i="1" l="1"/>
  <c r="AC676" i="1"/>
  <c r="AB676" i="1" s="1"/>
  <c r="AA677" i="1"/>
  <c r="AD677" i="1" l="1"/>
  <c r="AC677" i="1"/>
  <c r="AB677" i="1" s="1"/>
  <c r="AA678" i="1"/>
  <c r="AD678" i="1" l="1"/>
  <c r="AC678" i="1"/>
  <c r="AB678" i="1" s="1"/>
  <c r="AA679" i="1"/>
  <c r="AD679" i="1" l="1"/>
  <c r="AC679" i="1"/>
  <c r="AB679" i="1" s="1"/>
  <c r="AA680" i="1"/>
  <c r="AD680" i="1" l="1"/>
  <c r="AC680" i="1"/>
  <c r="AB680" i="1" s="1"/>
  <c r="AA681" i="1"/>
  <c r="AD681" i="1" l="1"/>
  <c r="AC681" i="1"/>
  <c r="AB681" i="1" s="1"/>
  <c r="AA682" i="1"/>
  <c r="AD682" i="1" l="1"/>
  <c r="AC682" i="1"/>
  <c r="AB682" i="1" s="1"/>
  <c r="AA683" i="1"/>
  <c r="AD683" i="1" l="1"/>
  <c r="AC683" i="1"/>
  <c r="AB683" i="1" s="1"/>
  <c r="AA684" i="1"/>
  <c r="AD684" i="1" l="1"/>
  <c r="AC684" i="1"/>
  <c r="AB684" i="1" s="1"/>
  <c r="AA685" i="1"/>
  <c r="AD685" i="1" l="1"/>
  <c r="AC685" i="1"/>
  <c r="AB685" i="1" s="1"/>
  <c r="AA686" i="1"/>
  <c r="AD686" i="1" l="1"/>
  <c r="AC686" i="1"/>
  <c r="AB686" i="1" s="1"/>
  <c r="AA687" i="1"/>
  <c r="AD687" i="1" l="1"/>
  <c r="AC687" i="1"/>
  <c r="AB687" i="1" s="1"/>
  <c r="AA688" i="1"/>
  <c r="AD688" i="1" l="1"/>
  <c r="AC688" i="1"/>
  <c r="AB688" i="1" s="1"/>
  <c r="AA689" i="1"/>
  <c r="AD689" i="1" l="1"/>
  <c r="AC689" i="1"/>
  <c r="AB689" i="1" s="1"/>
  <c r="AA690" i="1"/>
  <c r="AD690" i="1" l="1"/>
  <c r="AC690" i="1"/>
  <c r="AB690" i="1" s="1"/>
  <c r="AA691" i="1"/>
  <c r="AD691" i="1" l="1"/>
  <c r="AC691" i="1"/>
  <c r="AB691" i="1" s="1"/>
  <c r="AA692" i="1"/>
  <c r="AD692" i="1" l="1"/>
  <c r="AC692" i="1"/>
  <c r="AB692" i="1" s="1"/>
  <c r="AA693" i="1"/>
  <c r="AD693" i="1" l="1"/>
  <c r="AC693" i="1"/>
  <c r="AB693" i="1" s="1"/>
  <c r="AA694" i="1"/>
  <c r="AD694" i="1" l="1"/>
  <c r="AC694" i="1"/>
  <c r="AB694" i="1" s="1"/>
  <c r="AA695" i="1"/>
  <c r="AD695" i="1" l="1"/>
  <c r="AC695" i="1"/>
  <c r="AB695" i="1" s="1"/>
  <c r="AA696" i="1"/>
  <c r="AD696" i="1" l="1"/>
  <c r="AC696" i="1"/>
  <c r="AB696" i="1" s="1"/>
  <c r="AA697" i="1"/>
  <c r="AD697" i="1" l="1"/>
  <c r="AC697" i="1"/>
  <c r="AB697" i="1" s="1"/>
  <c r="AA698" i="1"/>
  <c r="AD698" i="1" l="1"/>
  <c r="AC698" i="1"/>
  <c r="AB698" i="1" s="1"/>
  <c r="AA699" i="1"/>
  <c r="AD699" i="1" l="1"/>
  <c r="AC699" i="1"/>
  <c r="AB699" i="1" s="1"/>
  <c r="AA700" i="1"/>
  <c r="AD700" i="1" l="1"/>
  <c r="AC700" i="1"/>
  <c r="AB700" i="1" s="1"/>
  <c r="AA701" i="1"/>
  <c r="AD701" i="1" l="1"/>
  <c r="AC701" i="1"/>
  <c r="AB701" i="1" s="1"/>
  <c r="AA702" i="1"/>
  <c r="AD702" i="1" l="1"/>
  <c r="AC702" i="1"/>
  <c r="AB702" i="1" s="1"/>
  <c r="AA703" i="1"/>
  <c r="AD703" i="1" l="1"/>
  <c r="AC703" i="1"/>
  <c r="AB703" i="1" s="1"/>
  <c r="AA704" i="1"/>
  <c r="AD704" i="1" l="1"/>
  <c r="AC704" i="1"/>
  <c r="AB704" i="1" s="1"/>
  <c r="AA705" i="1"/>
  <c r="AD705" i="1" l="1"/>
  <c r="AC705" i="1"/>
  <c r="AB705" i="1" s="1"/>
  <c r="AA706" i="1"/>
  <c r="AD706" i="1" l="1"/>
  <c r="AC706" i="1"/>
  <c r="AB706" i="1" s="1"/>
  <c r="AA707" i="1"/>
  <c r="AD707" i="1" l="1"/>
  <c r="AC707" i="1"/>
  <c r="AB707" i="1" s="1"/>
  <c r="AA708" i="1"/>
  <c r="AD708" i="1" l="1"/>
  <c r="AC708" i="1"/>
  <c r="AB708" i="1" s="1"/>
  <c r="AA709" i="1"/>
  <c r="AD709" i="1" l="1"/>
  <c r="AC709" i="1"/>
  <c r="AB709" i="1" s="1"/>
  <c r="AA710" i="1"/>
  <c r="AD710" i="1" l="1"/>
  <c r="AC710" i="1"/>
  <c r="AB710" i="1" s="1"/>
  <c r="AA711" i="1"/>
  <c r="AD711" i="1" l="1"/>
  <c r="AC711" i="1"/>
  <c r="AB711" i="1" s="1"/>
  <c r="AA712" i="1"/>
  <c r="AD712" i="1" l="1"/>
  <c r="AC712" i="1"/>
  <c r="AB712" i="1" s="1"/>
  <c r="AA713" i="1"/>
  <c r="AD713" i="1" l="1"/>
  <c r="AC713" i="1"/>
  <c r="AB713" i="1" s="1"/>
  <c r="AA714" i="1"/>
  <c r="AD714" i="1" l="1"/>
  <c r="AC714" i="1"/>
  <c r="AB714" i="1" s="1"/>
  <c r="AA715" i="1"/>
  <c r="AD715" i="1" l="1"/>
  <c r="AC715" i="1"/>
  <c r="AB715" i="1" s="1"/>
  <c r="AA716" i="1"/>
  <c r="AD716" i="1" l="1"/>
  <c r="AC716" i="1"/>
  <c r="AB716" i="1" s="1"/>
  <c r="AA717" i="1"/>
  <c r="AD717" i="1" l="1"/>
  <c r="AC717" i="1"/>
  <c r="AB717" i="1" s="1"/>
  <c r="AA718" i="1"/>
  <c r="AD718" i="1" l="1"/>
  <c r="AC718" i="1"/>
  <c r="AB718" i="1" s="1"/>
  <c r="AA719" i="1"/>
  <c r="AD719" i="1" l="1"/>
  <c r="AC719" i="1"/>
  <c r="AB719" i="1" s="1"/>
  <c r="AA720" i="1"/>
  <c r="AD720" i="1" l="1"/>
  <c r="AC720" i="1"/>
  <c r="AB720" i="1" s="1"/>
  <c r="AA721" i="1"/>
  <c r="AD721" i="1" l="1"/>
  <c r="AC721" i="1"/>
  <c r="AB721" i="1" s="1"/>
  <c r="AA722" i="1"/>
  <c r="AD722" i="1" l="1"/>
  <c r="AC722" i="1"/>
  <c r="AB722" i="1" s="1"/>
  <c r="AA723" i="1"/>
  <c r="AD723" i="1" l="1"/>
  <c r="AC723" i="1"/>
  <c r="AB723" i="1" s="1"/>
  <c r="AA724" i="1"/>
  <c r="AD724" i="1" l="1"/>
  <c r="AC724" i="1"/>
  <c r="AB724" i="1" s="1"/>
  <c r="AA725" i="1"/>
  <c r="AD725" i="1" l="1"/>
  <c r="AC725" i="1"/>
  <c r="AB725" i="1" s="1"/>
  <c r="AA726" i="1"/>
  <c r="AD726" i="1" l="1"/>
  <c r="AC726" i="1"/>
  <c r="AB726" i="1" s="1"/>
  <c r="AA727" i="1"/>
  <c r="AD727" i="1" l="1"/>
  <c r="AC727" i="1"/>
  <c r="AB727" i="1" s="1"/>
  <c r="AA728" i="1"/>
  <c r="AD728" i="1" l="1"/>
  <c r="AC728" i="1"/>
  <c r="AB728" i="1" s="1"/>
  <c r="AA729" i="1"/>
  <c r="AD729" i="1" l="1"/>
  <c r="AC729" i="1"/>
  <c r="AB729" i="1" s="1"/>
  <c r="AA730" i="1"/>
  <c r="AD730" i="1" l="1"/>
  <c r="AC730" i="1"/>
  <c r="AB730" i="1" s="1"/>
  <c r="AA731" i="1"/>
  <c r="AD731" i="1" l="1"/>
  <c r="AC731" i="1"/>
  <c r="AB731" i="1" s="1"/>
  <c r="AA732" i="1"/>
  <c r="AD732" i="1" l="1"/>
  <c r="AC732" i="1"/>
  <c r="AB732" i="1" s="1"/>
  <c r="AA733" i="1"/>
  <c r="AD733" i="1" l="1"/>
  <c r="AC733" i="1"/>
  <c r="AB733" i="1" s="1"/>
  <c r="AA734" i="1"/>
  <c r="AD734" i="1" l="1"/>
  <c r="AC734" i="1"/>
  <c r="AB734" i="1" s="1"/>
  <c r="AA735" i="1"/>
  <c r="AD735" i="1" l="1"/>
  <c r="AC735" i="1"/>
  <c r="AB735" i="1" s="1"/>
  <c r="AA736" i="1"/>
  <c r="AD736" i="1" l="1"/>
  <c r="AC736" i="1"/>
  <c r="AB736" i="1" s="1"/>
  <c r="AA737" i="1"/>
  <c r="AD737" i="1" l="1"/>
  <c r="AC737" i="1"/>
  <c r="AB737" i="1" s="1"/>
  <c r="AA738" i="1"/>
  <c r="AD738" i="1" l="1"/>
  <c r="AC738" i="1"/>
  <c r="AB738" i="1" s="1"/>
  <c r="AA739" i="1"/>
  <c r="AD739" i="1" l="1"/>
  <c r="AC739" i="1"/>
  <c r="AB739" i="1" s="1"/>
  <c r="AA740" i="1"/>
  <c r="AD740" i="1" l="1"/>
  <c r="AC740" i="1"/>
  <c r="AB740" i="1" s="1"/>
  <c r="AA741" i="1"/>
  <c r="AD741" i="1" l="1"/>
  <c r="AC741" i="1"/>
  <c r="AB741" i="1" s="1"/>
  <c r="AA742" i="1"/>
  <c r="AD742" i="1" l="1"/>
  <c r="AC742" i="1"/>
  <c r="AB742" i="1" s="1"/>
  <c r="AA743" i="1"/>
  <c r="AD743" i="1" l="1"/>
  <c r="AC743" i="1"/>
  <c r="AB743" i="1" s="1"/>
  <c r="AA744" i="1"/>
  <c r="AD744" i="1" l="1"/>
  <c r="AC744" i="1"/>
  <c r="AB744" i="1" s="1"/>
  <c r="AA745" i="1"/>
  <c r="AD745" i="1" l="1"/>
  <c r="AC745" i="1"/>
  <c r="AB745" i="1" s="1"/>
  <c r="AA746" i="1"/>
  <c r="AD746" i="1" l="1"/>
  <c r="AC746" i="1"/>
  <c r="AB746" i="1" s="1"/>
  <c r="AA747" i="1"/>
  <c r="AD747" i="1" l="1"/>
  <c r="AC747" i="1"/>
  <c r="AB747" i="1" s="1"/>
  <c r="AA748" i="1"/>
  <c r="AD748" i="1" l="1"/>
  <c r="AC748" i="1"/>
  <c r="AB748" i="1" s="1"/>
  <c r="AA749" i="1"/>
  <c r="AD749" i="1" l="1"/>
  <c r="AC749" i="1"/>
  <c r="AB749" i="1" s="1"/>
  <c r="AA750" i="1"/>
  <c r="AD750" i="1" l="1"/>
  <c r="AC750" i="1"/>
  <c r="AB750" i="1" s="1"/>
  <c r="AA751" i="1"/>
  <c r="AD751" i="1" l="1"/>
  <c r="AC751" i="1"/>
  <c r="AB751" i="1" s="1"/>
  <c r="AA752" i="1"/>
  <c r="AD752" i="1" l="1"/>
  <c r="AC752" i="1"/>
  <c r="AB752" i="1" s="1"/>
  <c r="AA753" i="1"/>
  <c r="AD753" i="1" l="1"/>
  <c r="AC753" i="1"/>
  <c r="AB753" i="1" s="1"/>
  <c r="AA754" i="1"/>
  <c r="AD754" i="1" l="1"/>
  <c r="AC754" i="1"/>
  <c r="AB754" i="1" s="1"/>
  <c r="AA755" i="1"/>
  <c r="AD755" i="1" l="1"/>
  <c r="AC755" i="1"/>
  <c r="AB755" i="1" s="1"/>
  <c r="AA756" i="1"/>
  <c r="AD756" i="1" l="1"/>
  <c r="AC756" i="1"/>
  <c r="AB756" i="1" s="1"/>
  <c r="AA757" i="1"/>
  <c r="AD757" i="1" l="1"/>
  <c r="AC757" i="1"/>
  <c r="AB757" i="1" s="1"/>
  <c r="AA758" i="1"/>
  <c r="AD758" i="1" l="1"/>
  <c r="AC758" i="1"/>
  <c r="AB758" i="1" s="1"/>
  <c r="AA759" i="1"/>
  <c r="AD759" i="1" l="1"/>
  <c r="AC759" i="1"/>
  <c r="AB759" i="1" s="1"/>
  <c r="AA760" i="1"/>
  <c r="AD760" i="1" l="1"/>
  <c r="AC760" i="1"/>
  <c r="AB760" i="1" s="1"/>
  <c r="AA761" i="1"/>
  <c r="AD761" i="1" l="1"/>
  <c r="AC761" i="1"/>
  <c r="AB761" i="1" s="1"/>
  <c r="AA762" i="1"/>
  <c r="AD762" i="1" l="1"/>
  <c r="AC762" i="1"/>
  <c r="AB762" i="1" s="1"/>
  <c r="AA763" i="1"/>
  <c r="AD763" i="1" l="1"/>
  <c r="AC763" i="1"/>
  <c r="AB763" i="1" s="1"/>
  <c r="AA764" i="1"/>
  <c r="AD764" i="1" l="1"/>
  <c r="AC764" i="1"/>
  <c r="AB764" i="1" s="1"/>
  <c r="AA765" i="1"/>
  <c r="AD765" i="1" l="1"/>
  <c r="AC765" i="1"/>
  <c r="AB765" i="1" s="1"/>
  <c r="AA766" i="1"/>
  <c r="AD766" i="1" l="1"/>
  <c r="AC766" i="1"/>
  <c r="AB766" i="1" s="1"/>
  <c r="AA767" i="1"/>
  <c r="AD767" i="1" l="1"/>
  <c r="AC767" i="1"/>
  <c r="AB767" i="1" s="1"/>
  <c r="AA768" i="1"/>
  <c r="AD768" i="1" l="1"/>
  <c r="AC768" i="1"/>
  <c r="AB768" i="1" s="1"/>
  <c r="AA769" i="1"/>
  <c r="AD769" i="1" l="1"/>
  <c r="AC769" i="1"/>
  <c r="AB769" i="1" s="1"/>
  <c r="AA770" i="1"/>
  <c r="AD770" i="1" l="1"/>
  <c r="AC770" i="1"/>
  <c r="AB770" i="1" s="1"/>
  <c r="AA771" i="1"/>
  <c r="AD771" i="1" l="1"/>
  <c r="AC771" i="1"/>
  <c r="AB771" i="1" s="1"/>
  <c r="AA772" i="1"/>
  <c r="AD772" i="1" l="1"/>
  <c r="AC772" i="1"/>
  <c r="AB772" i="1" s="1"/>
  <c r="AA773" i="1"/>
  <c r="AD773" i="1" l="1"/>
  <c r="AC773" i="1"/>
  <c r="AB773" i="1" s="1"/>
  <c r="AA774" i="1"/>
  <c r="AD774" i="1" l="1"/>
  <c r="AC774" i="1"/>
  <c r="AB774" i="1" s="1"/>
  <c r="AA775" i="1"/>
  <c r="AD775" i="1" l="1"/>
  <c r="AC775" i="1"/>
  <c r="AB775" i="1" s="1"/>
  <c r="AA776" i="1"/>
  <c r="AD776" i="1" l="1"/>
  <c r="AC776" i="1"/>
  <c r="AB776" i="1" s="1"/>
  <c r="AA777" i="1"/>
  <c r="AD777" i="1" l="1"/>
  <c r="AC777" i="1"/>
  <c r="AB777" i="1" s="1"/>
  <c r="AA778" i="1"/>
  <c r="AD778" i="1" l="1"/>
  <c r="AC778" i="1"/>
  <c r="AB778" i="1" s="1"/>
  <c r="AA779" i="1"/>
  <c r="AD779" i="1" l="1"/>
  <c r="AC779" i="1"/>
  <c r="AB779" i="1" s="1"/>
  <c r="AA780" i="1"/>
  <c r="AD780" i="1" l="1"/>
  <c r="AC780" i="1"/>
  <c r="AB780" i="1" s="1"/>
  <c r="AA781" i="1"/>
  <c r="AD781" i="1" l="1"/>
  <c r="AC781" i="1"/>
  <c r="AB781" i="1" s="1"/>
  <c r="AA782" i="1"/>
  <c r="AD782" i="1" l="1"/>
  <c r="AC782" i="1"/>
  <c r="AB782" i="1" s="1"/>
  <c r="AA783" i="1"/>
  <c r="AD783" i="1" l="1"/>
  <c r="AC783" i="1"/>
  <c r="AB783" i="1" s="1"/>
  <c r="AA784" i="1"/>
  <c r="AD784" i="1" l="1"/>
  <c r="AC784" i="1"/>
  <c r="AB784" i="1" s="1"/>
  <c r="AA785" i="1"/>
  <c r="AD785" i="1" l="1"/>
  <c r="AC785" i="1"/>
  <c r="AB785" i="1" s="1"/>
  <c r="AA786" i="1"/>
  <c r="AD786" i="1" l="1"/>
  <c r="AC786" i="1"/>
  <c r="AB786" i="1" s="1"/>
  <c r="AA787" i="1"/>
  <c r="AD787" i="1" l="1"/>
  <c r="AC787" i="1"/>
  <c r="AB787" i="1" s="1"/>
  <c r="AA788" i="1"/>
  <c r="AD788" i="1" l="1"/>
  <c r="AC788" i="1"/>
  <c r="AB788" i="1" s="1"/>
  <c r="AA789" i="1"/>
  <c r="AD789" i="1" l="1"/>
  <c r="AC789" i="1"/>
  <c r="AB789" i="1" s="1"/>
  <c r="AA790" i="1"/>
  <c r="AD790" i="1" l="1"/>
  <c r="AC790" i="1"/>
  <c r="AB790" i="1" s="1"/>
  <c r="AA791" i="1"/>
  <c r="AD791" i="1" l="1"/>
  <c r="AC791" i="1"/>
  <c r="AB791" i="1" s="1"/>
  <c r="AA792" i="1"/>
  <c r="AD792" i="1" l="1"/>
  <c r="AC792" i="1"/>
  <c r="AB792" i="1" s="1"/>
  <c r="AA793" i="1"/>
  <c r="AD793" i="1" l="1"/>
  <c r="AC793" i="1"/>
  <c r="AB793" i="1" s="1"/>
  <c r="AA794" i="1"/>
  <c r="AD794" i="1" l="1"/>
  <c r="AC794" i="1"/>
  <c r="AB794" i="1" s="1"/>
  <c r="AA795" i="1"/>
  <c r="AD795" i="1" l="1"/>
  <c r="AC795" i="1"/>
  <c r="AB795" i="1" s="1"/>
  <c r="AA796" i="1"/>
  <c r="AD796" i="1" l="1"/>
  <c r="AC796" i="1"/>
  <c r="AB796" i="1" s="1"/>
  <c r="AA797" i="1"/>
  <c r="AD797" i="1" l="1"/>
  <c r="AC797" i="1"/>
  <c r="AB797" i="1" s="1"/>
  <c r="AA798" i="1"/>
  <c r="AD798" i="1" l="1"/>
  <c r="AC798" i="1"/>
  <c r="AB798" i="1" s="1"/>
  <c r="AA799" i="1"/>
  <c r="AD799" i="1" l="1"/>
  <c r="AC799" i="1"/>
  <c r="AB799" i="1" s="1"/>
  <c r="AA800" i="1"/>
  <c r="AD800" i="1" l="1"/>
  <c r="AC800" i="1"/>
  <c r="AB800" i="1" s="1"/>
  <c r="AA801" i="1"/>
  <c r="AD801" i="1" l="1"/>
  <c r="AC801" i="1"/>
  <c r="AB801" i="1" s="1"/>
  <c r="AA802" i="1"/>
  <c r="AD802" i="1" l="1"/>
  <c r="AC802" i="1"/>
  <c r="AB802" i="1" s="1"/>
  <c r="AA803" i="1"/>
  <c r="AD803" i="1" l="1"/>
  <c r="AC803" i="1"/>
  <c r="AB803" i="1" s="1"/>
  <c r="AA804" i="1"/>
  <c r="AD804" i="1" l="1"/>
  <c r="AC804" i="1"/>
  <c r="AB804" i="1" s="1"/>
  <c r="AA805" i="1"/>
  <c r="AD805" i="1" l="1"/>
  <c r="AC805" i="1"/>
  <c r="AB805" i="1" s="1"/>
  <c r="AA806" i="1"/>
  <c r="AD806" i="1" l="1"/>
  <c r="AC806" i="1"/>
  <c r="AB806" i="1" s="1"/>
  <c r="AA807" i="1"/>
  <c r="AD807" i="1" l="1"/>
  <c r="AC807" i="1"/>
  <c r="AB807" i="1" s="1"/>
  <c r="AA808" i="1"/>
  <c r="AD808" i="1" l="1"/>
  <c r="AC808" i="1"/>
  <c r="AB808" i="1" s="1"/>
  <c r="AA809" i="1"/>
  <c r="AD809" i="1" l="1"/>
  <c r="AC809" i="1"/>
  <c r="AB809" i="1" s="1"/>
  <c r="AA810" i="1"/>
  <c r="AD810" i="1" l="1"/>
  <c r="AC810" i="1"/>
  <c r="AB810" i="1" s="1"/>
  <c r="AA811" i="1"/>
  <c r="AD811" i="1" l="1"/>
  <c r="AC811" i="1"/>
  <c r="AB811" i="1" s="1"/>
  <c r="AA812" i="1"/>
  <c r="AD812" i="1" l="1"/>
  <c r="AC812" i="1"/>
  <c r="AB812" i="1" s="1"/>
  <c r="AA813" i="1"/>
  <c r="AD813" i="1" l="1"/>
  <c r="AC813" i="1"/>
  <c r="AB813" i="1" s="1"/>
  <c r="AA814" i="1"/>
  <c r="AD814" i="1" l="1"/>
  <c r="AC814" i="1"/>
  <c r="AB814" i="1" s="1"/>
  <c r="AA815" i="1"/>
  <c r="AD815" i="1" l="1"/>
  <c r="AC815" i="1"/>
  <c r="AB815" i="1" s="1"/>
  <c r="AA816" i="1"/>
  <c r="AD816" i="1" l="1"/>
  <c r="AC816" i="1"/>
  <c r="AB816" i="1" s="1"/>
  <c r="AA817" i="1"/>
  <c r="AD817" i="1" l="1"/>
  <c r="AC817" i="1"/>
  <c r="AB817" i="1" s="1"/>
  <c r="AA818" i="1"/>
  <c r="AD818" i="1" l="1"/>
  <c r="AC818" i="1"/>
  <c r="AB818" i="1" s="1"/>
  <c r="AA819" i="1"/>
  <c r="AD819" i="1" l="1"/>
  <c r="AC819" i="1"/>
  <c r="AB819" i="1" s="1"/>
  <c r="AA820" i="1"/>
  <c r="AD820" i="1" l="1"/>
  <c r="AC820" i="1"/>
  <c r="AB820" i="1" s="1"/>
  <c r="AA821" i="1"/>
  <c r="AD821" i="1" l="1"/>
  <c r="AC821" i="1"/>
  <c r="AB821" i="1" s="1"/>
  <c r="AA822" i="1"/>
  <c r="AD822" i="1" l="1"/>
  <c r="AC822" i="1"/>
  <c r="AB822" i="1" s="1"/>
  <c r="AA823" i="1"/>
  <c r="AD823" i="1" l="1"/>
  <c r="AC823" i="1"/>
  <c r="AB823" i="1" s="1"/>
  <c r="AA824" i="1"/>
  <c r="AD824" i="1" l="1"/>
  <c r="AC824" i="1"/>
  <c r="AB824" i="1" s="1"/>
  <c r="AA825" i="1"/>
  <c r="AD825" i="1" l="1"/>
  <c r="AC825" i="1"/>
  <c r="AB825" i="1" s="1"/>
  <c r="AA826" i="1"/>
  <c r="AD826" i="1" l="1"/>
  <c r="AC826" i="1"/>
  <c r="AB826" i="1" s="1"/>
  <c r="AA827" i="1"/>
  <c r="AD827" i="1" l="1"/>
  <c r="AC827" i="1"/>
  <c r="AB827" i="1" s="1"/>
  <c r="AA828" i="1"/>
  <c r="AD828" i="1" l="1"/>
  <c r="AC828" i="1"/>
  <c r="AB828" i="1" s="1"/>
  <c r="AA829" i="1"/>
  <c r="AD829" i="1" l="1"/>
  <c r="AC829" i="1"/>
  <c r="AB829" i="1" s="1"/>
  <c r="AA830" i="1"/>
  <c r="AD830" i="1" l="1"/>
  <c r="AC830" i="1"/>
  <c r="AB830" i="1" s="1"/>
  <c r="AA831" i="1"/>
  <c r="AD831" i="1" l="1"/>
  <c r="AC831" i="1"/>
  <c r="AB831" i="1" s="1"/>
  <c r="AA832" i="1"/>
  <c r="AD832" i="1" l="1"/>
  <c r="AC832" i="1"/>
  <c r="AB832" i="1" s="1"/>
  <c r="AA833" i="1"/>
  <c r="AD833" i="1" l="1"/>
  <c r="AC833" i="1"/>
  <c r="AB833" i="1" s="1"/>
  <c r="AA834" i="1"/>
  <c r="AD834" i="1" l="1"/>
  <c r="AC834" i="1"/>
  <c r="AB834" i="1" s="1"/>
  <c r="AA835" i="1"/>
  <c r="AD835" i="1" l="1"/>
  <c r="AC835" i="1"/>
  <c r="AB835" i="1" s="1"/>
  <c r="AA836" i="1"/>
  <c r="AD836" i="1" l="1"/>
  <c r="AC836" i="1"/>
  <c r="AB836" i="1" s="1"/>
  <c r="AA837" i="1"/>
  <c r="AD837" i="1" l="1"/>
  <c r="AC837" i="1"/>
  <c r="AB837" i="1" s="1"/>
  <c r="AA838" i="1"/>
  <c r="AD838" i="1" l="1"/>
  <c r="AC838" i="1"/>
  <c r="AB838" i="1" s="1"/>
  <c r="AA839" i="1"/>
  <c r="AD839" i="1" l="1"/>
  <c r="AC839" i="1"/>
  <c r="AB839" i="1" s="1"/>
  <c r="AA840" i="1"/>
  <c r="AD840" i="1" l="1"/>
  <c r="AC840" i="1"/>
  <c r="AB840" i="1" s="1"/>
  <c r="AA841" i="1"/>
  <c r="AD841" i="1" l="1"/>
  <c r="AC841" i="1"/>
  <c r="AB841" i="1" s="1"/>
  <c r="AA842" i="1"/>
  <c r="AD842" i="1" l="1"/>
  <c r="AC842" i="1"/>
  <c r="AB842" i="1" s="1"/>
  <c r="AA843" i="1"/>
  <c r="AD843" i="1" l="1"/>
  <c r="AC843" i="1"/>
  <c r="AB843" i="1" s="1"/>
  <c r="AA844" i="1"/>
  <c r="AD844" i="1" l="1"/>
  <c r="AC844" i="1"/>
  <c r="AB844" i="1" s="1"/>
  <c r="AA845" i="1"/>
  <c r="AD845" i="1" l="1"/>
  <c r="AC845" i="1"/>
  <c r="AB845" i="1" s="1"/>
  <c r="AA846" i="1"/>
  <c r="AD846" i="1" l="1"/>
  <c r="AC846" i="1"/>
  <c r="AB846" i="1" s="1"/>
  <c r="AA847" i="1"/>
  <c r="AD847" i="1" l="1"/>
  <c r="AC847" i="1"/>
  <c r="AB847" i="1" s="1"/>
  <c r="AA848" i="1"/>
  <c r="AD848" i="1" l="1"/>
  <c r="AC848" i="1"/>
  <c r="AB848" i="1" s="1"/>
  <c r="AA849" i="1"/>
  <c r="AD849" i="1" l="1"/>
  <c r="AC849" i="1"/>
  <c r="AB849" i="1" s="1"/>
  <c r="AA850" i="1"/>
  <c r="AD850" i="1" l="1"/>
  <c r="AC850" i="1"/>
  <c r="AB850" i="1" s="1"/>
  <c r="AA851" i="1"/>
  <c r="AD851" i="1" l="1"/>
  <c r="AC851" i="1"/>
  <c r="AB851" i="1" s="1"/>
  <c r="AA852" i="1"/>
  <c r="AD852" i="1" l="1"/>
  <c r="AC852" i="1"/>
  <c r="AB852" i="1" s="1"/>
  <c r="AA853" i="1"/>
  <c r="AD853" i="1" l="1"/>
  <c r="AC853" i="1"/>
  <c r="AB853" i="1" s="1"/>
  <c r="AA854" i="1"/>
  <c r="AD854" i="1" l="1"/>
  <c r="AC854" i="1"/>
  <c r="AB854" i="1" s="1"/>
  <c r="AA855" i="1"/>
  <c r="AD855" i="1" l="1"/>
  <c r="AC855" i="1"/>
  <c r="AB855" i="1" s="1"/>
  <c r="AA856" i="1"/>
  <c r="AD856" i="1" l="1"/>
  <c r="AC856" i="1"/>
  <c r="AB856" i="1" s="1"/>
  <c r="AA857" i="1"/>
  <c r="AD857" i="1" l="1"/>
  <c r="AC857" i="1"/>
  <c r="AB857" i="1" s="1"/>
  <c r="AA858" i="1"/>
  <c r="AD858" i="1" l="1"/>
  <c r="AC858" i="1"/>
  <c r="AB858" i="1" s="1"/>
  <c r="AA859" i="1"/>
  <c r="AD859" i="1" l="1"/>
  <c r="AC859" i="1"/>
  <c r="AB859" i="1" s="1"/>
  <c r="AA860" i="1"/>
  <c r="AD860" i="1" l="1"/>
  <c r="AC860" i="1"/>
  <c r="AB860" i="1" s="1"/>
  <c r="AA861" i="1"/>
  <c r="AD861" i="1" l="1"/>
  <c r="AC861" i="1"/>
  <c r="AB861" i="1" s="1"/>
  <c r="AA862" i="1"/>
  <c r="AD862" i="1" l="1"/>
  <c r="AC862" i="1"/>
  <c r="AB862" i="1" s="1"/>
  <c r="AA863" i="1"/>
  <c r="AD863" i="1" l="1"/>
  <c r="AC863" i="1"/>
  <c r="AB863" i="1" s="1"/>
  <c r="AA864" i="1"/>
  <c r="AA865" i="1" l="1"/>
  <c r="AD864" i="1"/>
  <c r="AC864" i="1"/>
  <c r="AB864" i="1" s="1"/>
  <c r="AA866" i="1" l="1"/>
  <c r="AC865" i="1"/>
  <c r="AB865" i="1" s="1"/>
  <c r="AD865" i="1"/>
  <c r="AA867" i="1" l="1"/>
  <c r="AC866" i="1"/>
  <c r="AB866" i="1" s="1"/>
  <c r="AD866" i="1"/>
  <c r="AA868" i="1" l="1"/>
  <c r="AC867" i="1"/>
  <c r="AB867" i="1" s="1"/>
  <c r="AD867" i="1"/>
  <c r="AA869" i="1" l="1"/>
  <c r="AC868" i="1"/>
  <c r="AB868" i="1" s="1"/>
  <c r="AD868" i="1"/>
  <c r="AA870" i="1" l="1"/>
  <c r="AC869" i="1"/>
  <c r="AB869" i="1" s="1"/>
  <c r="AD869" i="1"/>
  <c r="AA871" i="1" l="1"/>
  <c r="AC870" i="1"/>
  <c r="AB870" i="1" s="1"/>
  <c r="AD870" i="1"/>
  <c r="AA872" i="1" l="1"/>
  <c r="AC871" i="1"/>
  <c r="AB871" i="1" s="1"/>
  <c r="AD871" i="1"/>
  <c r="AA873" i="1" l="1"/>
  <c r="AC872" i="1"/>
  <c r="AB872" i="1" s="1"/>
  <c r="AD872" i="1"/>
  <c r="AA874" i="1" l="1"/>
  <c r="AC873" i="1"/>
  <c r="AB873" i="1" s="1"/>
  <c r="AD873" i="1"/>
  <c r="AA875" i="1" l="1"/>
  <c r="AC874" i="1"/>
  <c r="AB874" i="1" s="1"/>
  <c r="AD874" i="1"/>
  <c r="AA876" i="1" l="1"/>
  <c r="AC875" i="1"/>
  <c r="AB875" i="1" s="1"/>
  <c r="AD875" i="1"/>
  <c r="AA877" i="1" l="1"/>
  <c r="AC876" i="1"/>
  <c r="AB876" i="1" s="1"/>
  <c r="AD876" i="1"/>
  <c r="AA878" i="1" l="1"/>
  <c r="AC877" i="1"/>
  <c r="AB877" i="1" s="1"/>
  <c r="AD877" i="1"/>
  <c r="AA879" i="1" l="1"/>
  <c r="AC878" i="1"/>
  <c r="AB878" i="1" s="1"/>
  <c r="AD878" i="1"/>
  <c r="AA880" i="1" l="1"/>
  <c r="AC879" i="1"/>
  <c r="AB879" i="1" s="1"/>
  <c r="AD879" i="1"/>
  <c r="AA881" i="1" l="1"/>
  <c r="AC880" i="1"/>
  <c r="AB880" i="1" s="1"/>
  <c r="AD880" i="1"/>
  <c r="AA882" i="1" l="1"/>
  <c r="AC881" i="1"/>
  <c r="AB881" i="1" s="1"/>
  <c r="AD881" i="1"/>
  <c r="AA883" i="1" l="1"/>
  <c r="AC882" i="1"/>
  <c r="AB882" i="1" s="1"/>
  <c r="AD882" i="1"/>
  <c r="AA884" i="1" l="1"/>
  <c r="AC883" i="1"/>
  <c r="AB883" i="1" s="1"/>
  <c r="AD883" i="1"/>
  <c r="AA885" i="1" l="1"/>
  <c r="AC884" i="1"/>
  <c r="AB884" i="1" s="1"/>
  <c r="AD884" i="1"/>
  <c r="AA886" i="1" l="1"/>
  <c r="AC885" i="1"/>
  <c r="AB885" i="1" s="1"/>
  <c r="AD885" i="1"/>
  <c r="AA887" i="1" l="1"/>
  <c r="AC886" i="1"/>
  <c r="AB886" i="1" s="1"/>
  <c r="AD886" i="1"/>
  <c r="AA888" i="1" l="1"/>
  <c r="AC887" i="1"/>
  <c r="AB887" i="1" s="1"/>
  <c r="AD887" i="1"/>
  <c r="AA889" i="1" l="1"/>
  <c r="AC888" i="1"/>
  <c r="AB888" i="1" s="1"/>
  <c r="AD888" i="1"/>
  <c r="AA890" i="1" l="1"/>
  <c r="AC889" i="1"/>
  <c r="AB889" i="1" s="1"/>
  <c r="AD889" i="1"/>
  <c r="AA891" i="1" l="1"/>
  <c r="AC890" i="1"/>
  <c r="AB890" i="1" s="1"/>
  <c r="AD890" i="1"/>
  <c r="AA892" i="1" l="1"/>
  <c r="AC891" i="1"/>
  <c r="AB891" i="1" s="1"/>
  <c r="AD891" i="1"/>
  <c r="AA893" i="1" l="1"/>
  <c r="AC892" i="1"/>
  <c r="AB892" i="1" s="1"/>
  <c r="AD892" i="1"/>
  <c r="AA894" i="1" l="1"/>
  <c r="AC893" i="1"/>
  <c r="AB893" i="1" s="1"/>
  <c r="AD893" i="1"/>
  <c r="AA895" i="1" l="1"/>
  <c r="AC894" i="1"/>
  <c r="AB894" i="1" s="1"/>
  <c r="AD894" i="1"/>
  <c r="AA896" i="1" l="1"/>
  <c r="AC895" i="1"/>
  <c r="AB895" i="1" s="1"/>
  <c r="AD895" i="1"/>
  <c r="AA897" i="1" l="1"/>
  <c r="AC896" i="1"/>
  <c r="AB896" i="1" s="1"/>
  <c r="AD896" i="1"/>
  <c r="AA898" i="1" l="1"/>
  <c r="AC897" i="1"/>
  <c r="AB897" i="1" s="1"/>
  <c r="AD897" i="1"/>
  <c r="AA899" i="1" l="1"/>
  <c r="AC898" i="1"/>
  <c r="AB898" i="1" s="1"/>
  <c r="AD898" i="1"/>
  <c r="AA900" i="1" l="1"/>
  <c r="AC899" i="1"/>
  <c r="AB899" i="1" s="1"/>
  <c r="AD899" i="1"/>
  <c r="AA901" i="1" l="1"/>
  <c r="AC900" i="1"/>
  <c r="AB900" i="1" s="1"/>
  <c r="AD900" i="1"/>
  <c r="AA902" i="1" l="1"/>
  <c r="AC901" i="1"/>
  <c r="AB901" i="1" s="1"/>
  <c r="AD901" i="1"/>
  <c r="AA903" i="1" l="1"/>
  <c r="AC902" i="1"/>
  <c r="AB902" i="1" s="1"/>
  <c r="AD902" i="1"/>
  <c r="AA904" i="1" l="1"/>
  <c r="AC903" i="1"/>
  <c r="AB903" i="1" s="1"/>
  <c r="AD903" i="1"/>
  <c r="AA905" i="1" l="1"/>
  <c r="AC904" i="1"/>
  <c r="AB904" i="1" s="1"/>
  <c r="AD904" i="1"/>
  <c r="AA906" i="1" l="1"/>
  <c r="AC905" i="1"/>
  <c r="AB905" i="1" s="1"/>
  <c r="AD905" i="1"/>
  <c r="AA907" i="1" l="1"/>
  <c r="AC906" i="1"/>
  <c r="AB906" i="1" s="1"/>
  <c r="AD906" i="1"/>
  <c r="AA908" i="1" l="1"/>
  <c r="AC907" i="1"/>
  <c r="AB907" i="1" s="1"/>
  <c r="AD907" i="1"/>
  <c r="AA909" i="1" l="1"/>
  <c r="AC908" i="1"/>
  <c r="AB908" i="1" s="1"/>
  <c r="AD908" i="1"/>
  <c r="AA910" i="1" l="1"/>
  <c r="AC909" i="1"/>
  <c r="AB909" i="1" s="1"/>
  <c r="AD909" i="1"/>
  <c r="AA911" i="1" l="1"/>
  <c r="AC910" i="1"/>
  <c r="AB910" i="1" s="1"/>
  <c r="AD910" i="1"/>
  <c r="AA912" i="1" l="1"/>
  <c r="AC911" i="1"/>
  <c r="AB911" i="1" s="1"/>
  <c r="AD911" i="1"/>
  <c r="AA913" i="1" l="1"/>
  <c r="AC912" i="1"/>
  <c r="AB912" i="1" s="1"/>
  <c r="AD912" i="1"/>
  <c r="AA914" i="1" l="1"/>
  <c r="AC913" i="1"/>
  <c r="AB913" i="1" s="1"/>
  <c r="AD913" i="1"/>
  <c r="AA915" i="1" l="1"/>
  <c r="AC914" i="1"/>
  <c r="AB914" i="1" s="1"/>
  <c r="AD914" i="1"/>
  <c r="AA916" i="1" l="1"/>
  <c r="AC915" i="1"/>
  <c r="AB915" i="1" s="1"/>
  <c r="AD915" i="1"/>
  <c r="AA917" i="1" l="1"/>
  <c r="AC916" i="1"/>
  <c r="AB916" i="1" s="1"/>
  <c r="AD916" i="1"/>
  <c r="AA918" i="1" l="1"/>
  <c r="AC917" i="1"/>
  <c r="AB917" i="1" s="1"/>
  <c r="AD917" i="1"/>
  <c r="AA919" i="1" l="1"/>
  <c r="AC918" i="1"/>
  <c r="AB918" i="1" s="1"/>
  <c r="AD918" i="1"/>
  <c r="AA920" i="1" l="1"/>
  <c r="AC919" i="1"/>
  <c r="AB919" i="1" s="1"/>
  <c r="AD919" i="1"/>
  <c r="AA921" i="1" l="1"/>
  <c r="AC920" i="1"/>
  <c r="AB920" i="1" s="1"/>
  <c r="AD920" i="1"/>
  <c r="AA922" i="1" l="1"/>
  <c r="AC921" i="1"/>
  <c r="AB921" i="1" s="1"/>
  <c r="AD921" i="1"/>
  <c r="AA923" i="1" l="1"/>
  <c r="AC922" i="1"/>
  <c r="AB922" i="1" s="1"/>
  <c r="AD922" i="1"/>
  <c r="AA924" i="1" l="1"/>
  <c r="AC923" i="1"/>
  <c r="AB923" i="1" s="1"/>
  <c r="AD923" i="1"/>
  <c r="AA925" i="1" l="1"/>
  <c r="AC924" i="1"/>
  <c r="AB924" i="1" s="1"/>
  <c r="AD924" i="1"/>
  <c r="AA926" i="1" l="1"/>
  <c r="AC925" i="1"/>
  <c r="AB925" i="1" s="1"/>
  <c r="AD925" i="1"/>
  <c r="AA927" i="1" l="1"/>
  <c r="AC926" i="1"/>
  <c r="AB926" i="1" s="1"/>
  <c r="AD926" i="1"/>
  <c r="AA928" i="1" l="1"/>
  <c r="AC927" i="1"/>
  <c r="AB927" i="1" s="1"/>
  <c r="AD927" i="1"/>
  <c r="AA929" i="1" l="1"/>
  <c r="AC928" i="1"/>
  <c r="AB928" i="1" s="1"/>
  <c r="AD928" i="1"/>
  <c r="AA930" i="1" l="1"/>
  <c r="AC929" i="1"/>
  <c r="AB929" i="1" s="1"/>
  <c r="AD929" i="1"/>
  <c r="AA931" i="1" l="1"/>
  <c r="AC930" i="1"/>
  <c r="AB930" i="1" s="1"/>
  <c r="AD930" i="1"/>
  <c r="AA932" i="1" l="1"/>
  <c r="AC931" i="1"/>
  <c r="AB931" i="1" s="1"/>
  <c r="AD931" i="1"/>
  <c r="AA933" i="1" l="1"/>
  <c r="AC932" i="1"/>
  <c r="AB932" i="1" s="1"/>
  <c r="AD932" i="1"/>
  <c r="AA934" i="1" l="1"/>
  <c r="AC933" i="1"/>
  <c r="AB933" i="1" s="1"/>
  <c r="AD933" i="1"/>
  <c r="AA935" i="1" l="1"/>
  <c r="AC934" i="1"/>
  <c r="AB934" i="1" s="1"/>
  <c r="AD934" i="1"/>
  <c r="AA936" i="1" l="1"/>
  <c r="AC935" i="1"/>
  <c r="AB935" i="1" s="1"/>
  <c r="AD935" i="1"/>
  <c r="AA937" i="1" l="1"/>
  <c r="AC936" i="1"/>
  <c r="AB936" i="1" s="1"/>
  <c r="AD936" i="1"/>
  <c r="AA938" i="1" l="1"/>
  <c r="AC937" i="1"/>
  <c r="AB937" i="1" s="1"/>
  <c r="AD937" i="1"/>
  <c r="AA939" i="1" l="1"/>
  <c r="AC938" i="1"/>
  <c r="AB938" i="1" s="1"/>
  <c r="AD938" i="1"/>
  <c r="AA940" i="1" l="1"/>
  <c r="AC939" i="1"/>
  <c r="AB939" i="1" s="1"/>
  <c r="AD939" i="1"/>
  <c r="AA941" i="1" l="1"/>
  <c r="AC940" i="1"/>
  <c r="AB940" i="1" s="1"/>
  <c r="AD940" i="1"/>
  <c r="AA942" i="1" l="1"/>
  <c r="AC941" i="1"/>
  <c r="AB941" i="1" s="1"/>
  <c r="AD941" i="1"/>
  <c r="AA943" i="1" l="1"/>
  <c r="AC942" i="1"/>
  <c r="AB942" i="1" s="1"/>
  <c r="AD942" i="1"/>
  <c r="AA944" i="1" l="1"/>
  <c r="AC943" i="1"/>
  <c r="AB943" i="1" s="1"/>
  <c r="AD943" i="1"/>
  <c r="AA945" i="1" l="1"/>
  <c r="AC944" i="1"/>
  <c r="AB944" i="1" s="1"/>
  <c r="AD944" i="1"/>
  <c r="AA946" i="1" l="1"/>
  <c r="AC945" i="1"/>
  <c r="AB945" i="1" s="1"/>
  <c r="AD945" i="1"/>
  <c r="AA947" i="1" l="1"/>
  <c r="AC946" i="1"/>
  <c r="AB946" i="1" s="1"/>
  <c r="AD946" i="1"/>
  <c r="AA948" i="1" l="1"/>
  <c r="AC947" i="1"/>
  <c r="AB947" i="1" s="1"/>
  <c r="AD947" i="1"/>
  <c r="AA949" i="1" l="1"/>
  <c r="AC948" i="1"/>
  <c r="AB948" i="1" s="1"/>
  <c r="AD948" i="1"/>
  <c r="AA950" i="1" l="1"/>
  <c r="AC949" i="1"/>
  <c r="AB949" i="1" s="1"/>
  <c r="AD949" i="1"/>
  <c r="AA951" i="1" l="1"/>
  <c r="AC950" i="1"/>
  <c r="AB950" i="1" s="1"/>
  <c r="AD950" i="1"/>
  <c r="AA952" i="1" l="1"/>
  <c r="AC951" i="1"/>
  <c r="AB951" i="1" s="1"/>
  <c r="AD951" i="1"/>
  <c r="AA953" i="1" l="1"/>
  <c r="AC952" i="1"/>
  <c r="AB952" i="1" s="1"/>
  <c r="AD952" i="1"/>
  <c r="AA954" i="1" l="1"/>
  <c r="AC953" i="1"/>
  <c r="AB953" i="1" s="1"/>
  <c r="AD953" i="1"/>
  <c r="AA955" i="1" l="1"/>
  <c r="AC954" i="1"/>
  <c r="AB954" i="1" s="1"/>
  <c r="AD954" i="1"/>
  <c r="AA956" i="1" l="1"/>
  <c r="AC955" i="1"/>
  <c r="AB955" i="1" s="1"/>
  <c r="AD955" i="1"/>
  <c r="AA957" i="1" l="1"/>
  <c r="AC956" i="1"/>
  <c r="AB956" i="1" s="1"/>
  <c r="AD956" i="1"/>
  <c r="AA958" i="1" l="1"/>
  <c r="AC957" i="1"/>
  <c r="AB957" i="1" s="1"/>
  <c r="AD957" i="1"/>
  <c r="AA959" i="1" l="1"/>
  <c r="AC958" i="1"/>
  <c r="AB958" i="1" s="1"/>
  <c r="AD958" i="1"/>
  <c r="AA960" i="1" l="1"/>
  <c r="AC959" i="1"/>
  <c r="AB959" i="1" s="1"/>
  <c r="AD959" i="1"/>
  <c r="AA961" i="1" l="1"/>
  <c r="AC960" i="1"/>
  <c r="AB960" i="1" s="1"/>
  <c r="AD960" i="1"/>
  <c r="AA962" i="1" l="1"/>
  <c r="AC961" i="1"/>
  <c r="AB961" i="1" s="1"/>
  <c r="AD961" i="1"/>
  <c r="AA963" i="1" l="1"/>
  <c r="AC962" i="1"/>
  <c r="AB962" i="1" s="1"/>
  <c r="AD962" i="1"/>
  <c r="AA964" i="1" l="1"/>
  <c r="AC963" i="1"/>
  <c r="AB963" i="1" s="1"/>
  <c r="AD963" i="1"/>
  <c r="AA965" i="1" l="1"/>
  <c r="AC964" i="1"/>
  <c r="AB964" i="1" s="1"/>
  <c r="AD964" i="1"/>
  <c r="AA966" i="1" l="1"/>
  <c r="AC965" i="1"/>
  <c r="AB965" i="1" s="1"/>
  <c r="AD965" i="1"/>
  <c r="AA967" i="1" l="1"/>
  <c r="AC966" i="1"/>
  <c r="AB966" i="1" s="1"/>
  <c r="AD966" i="1"/>
  <c r="AA968" i="1" l="1"/>
  <c r="AC967" i="1"/>
  <c r="AB967" i="1" s="1"/>
  <c r="AD967" i="1"/>
  <c r="AA969" i="1" l="1"/>
  <c r="AC968" i="1"/>
  <c r="AB968" i="1" s="1"/>
  <c r="AD968" i="1"/>
  <c r="AA970" i="1" l="1"/>
  <c r="AC969" i="1"/>
  <c r="AB969" i="1" s="1"/>
  <c r="AD969" i="1"/>
  <c r="AA971" i="1" l="1"/>
  <c r="AC970" i="1"/>
  <c r="AB970" i="1" s="1"/>
  <c r="AD970" i="1"/>
  <c r="AA972" i="1" l="1"/>
  <c r="AC971" i="1"/>
  <c r="AB971" i="1" s="1"/>
  <c r="AD971" i="1"/>
  <c r="AA973" i="1" l="1"/>
  <c r="AC972" i="1"/>
  <c r="AB972" i="1" s="1"/>
  <c r="AD972" i="1"/>
  <c r="AA974" i="1" l="1"/>
  <c r="AC973" i="1"/>
  <c r="AB973" i="1" s="1"/>
  <c r="AD973" i="1"/>
  <c r="AA975" i="1" l="1"/>
  <c r="AC974" i="1"/>
  <c r="AB974" i="1" s="1"/>
  <c r="AD974" i="1"/>
  <c r="AA976" i="1" l="1"/>
  <c r="AC975" i="1"/>
  <c r="AB975" i="1" s="1"/>
  <c r="AD975" i="1"/>
  <c r="AA977" i="1" l="1"/>
  <c r="AC976" i="1"/>
  <c r="AB976" i="1" s="1"/>
  <c r="AD976" i="1"/>
  <c r="AA978" i="1" l="1"/>
  <c r="AC977" i="1"/>
  <c r="AB977" i="1" s="1"/>
  <c r="AD977" i="1"/>
  <c r="AA979" i="1" l="1"/>
  <c r="AC978" i="1"/>
  <c r="AB978" i="1" s="1"/>
  <c r="AD978" i="1"/>
  <c r="AA980" i="1" l="1"/>
  <c r="AC979" i="1"/>
  <c r="AB979" i="1" s="1"/>
  <c r="AD979" i="1"/>
  <c r="AA981" i="1" l="1"/>
  <c r="AC980" i="1"/>
  <c r="AB980" i="1" s="1"/>
  <c r="AD980" i="1"/>
  <c r="AA982" i="1" l="1"/>
  <c r="AC981" i="1"/>
  <c r="AB981" i="1" s="1"/>
  <c r="AD981" i="1"/>
  <c r="AA983" i="1" l="1"/>
  <c r="AC982" i="1"/>
  <c r="AB982" i="1" s="1"/>
  <c r="AD982" i="1"/>
  <c r="AA984" i="1" l="1"/>
  <c r="AC983" i="1"/>
  <c r="AB983" i="1" s="1"/>
  <c r="AD983" i="1"/>
  <c r="AA985" i="1" l="1"/>
  <c r="AC984" i="1"/>
  <c r="AB984" i="1" s="1"/>
  <c r="AD984" i="1"/>
  <c r="AA986" i="1" l="1"/>
  <c r="AC985" i="1"/>
  <c r="AB985" i="1" s="1"/>
  <c r="AD985" i="1"/>
  <c r="AA987" i="1" l="1"/>
  <c r="AC986" i="1"/>
  <c r="AB986" i="1" s="1"/>
  <c r="AD986" i="1"/>
  <c r="AA988" i="1" l="1"/>
  <c r="AC987" i="1"/>
  <c r="AB987" i="1" s="1"/>
  <c r="AD987" i="1"/>
  <c r="AA989" i="1" l="1"/>
  <c r="AC988" i="1"/>
  <c r="AB988" i="1" s="1"/>
  <c r="AD988" i="1"/>
  <c r="AA990" i="1" l="1"/>
  <c r="AC989" i="1"/>
  <c r="AB989" i="1" s="1"/>
  <c r="AD989" i="1"/>
  <c r="AA991" i="1" l="1"/>
  <c r="AC990" i="1"/>
  <c r="AB990" i="1" s="1"/>
  <c r="AD990" i="1"/>
  <c r="AA992" i="1" l="1"/>
  <c r="AC991" i="1"/>
  <c r="AB991" i="1" s="1"/>
  <c r="AD991" i="1"/>
  <c r="AA993" i="1" l="1"/>
  <c r="AC992" i="1"/>
  <c r="AB992" i="1" s="1"/>
  <c r="AD992" i="1"/>
  <c r="AA994" i="1" l="1"/>
  <c r="AC993" i="1"/>
  <c r="AB993" i="1" s="1"/>
  <c r="AD993" i="1"/>
  <c r="AA995" i="1" l="1"/>
  <c r="AC994" i="1"/>
  <c r="AB994" i="1" s="1"/>
  <c r="AD994" i="1"/>
  <c r="AA996" i="1" l="1"/>
  <c r="AC995" i="1"/>
  <c r="AB995" i="1" s="1"/>
  <c r="AD995" i="1"/>
  <c r="AA997" i="1" l="1"/>
  <c r="AC996" i="1"/>
  <c r="AB996" i="1" s="1"/>
  <c r="AD996" i="1"/>
  <c r="AA998" i="1" l="1"/>
  <c r="AC997" i="1"/>
  <c r="AB997" i="1" s="1"/>
  <c r="AD997" i="1"/>
  <c r="AA999" i="1" l="1"/>
  <c r="AC998" i="1"/>
  <c r="AB998" i="1" s="1"/>
  <c r="AD998" i="1"/>
  <c r="AA1000" i="1" l="1"/>
  <c r="AC999" i="1"/>
  <c r="AB999" i="1" s="1"/>
  <c r="AD999" i="1"/>
  <c r="AA1001" i="1" l="1"/>
  <c r="AC1000" i="1"/>
  <c r="AB1000" i="1" s="1"/>
  <c r="AD1000" i="1"/>
  <c r="AA1002" i="1" l="1"/>
  <c r="AC1001" i="1"/>
  <c r="AB1001" i="1" s="1"/>
  <c r="AD1001" i="1"/>
  <c r="AA1003" i="1" l="1"/>
  <c r="AC1002" i="1"/>
  <c r="AB1002" i="1" s="1"/>
  <c r="AD1002" i="1"/>
  <c r="AA1004" i="1" l="1"/>
  <c r="AC1003" i="1"/>
  <c r="AB1003" i="1" s="1"/>
  <c r="AD1003" i="1"/>
  <c r="AA1005" i="1" l="1"/>
  <c r="AC1004" i="1"/>
  <c r="AB1004" i="1" s="1"/>
  <c r="AD1004" i="1"/>
  <c r="AA1006" i="1" l="1"/>
  <c r="AC1005" i="1"/>
  <c r="AB1005" i="1" s="1"/>
  <c r="AD1005" i="1"/>
  <c r="AA1007" i="1" l="1"/>
  <c r="AC1006" i="1"/>
  <c r="AB1006" i="1" s="1"/>
  <c r="AD1006" i="1"/>
  <c r="AA1008" i="1" l="1"/>
  <c r="AC1007" i="1"/>
  <c r="AB1007" i="1" s="1"/>
  <c r="AD1007" i="1"/>
  <c r="AA1009" i="1" l="1"/>
  <c r="AC1008" i="1"/>
  <c r="AB1008" i="1" s="1"/>
  <c r="AD1008" i="1"/>
  <c r="AA1010" i="1" l="1"/>
  <c r="AC1009" i="1"/>
  <c r="AB1009" i="1" s="1"/>
  <c r="AD1009" i="1"/>
  <c r="AA1011" i="1" l="1"/>
  <c r="AC1010" i="1"/>
  <c r="AB1010" i="1" s="1"/>
  <c r="AD1010" i="1"/>
  <c r="AA1012" i="1" l="1"/>
  <c r="AC1011" i="1"/>
  <c r="AB1011" i="1" s="1"/>
  <c r="AD1011" i="1"/>
  <c r="AA1013" i="1" l="1"/>
  <c r="AC1012" i="1"/>
  <c r="AB1012" i="1" s="1"/>
  <c r="AD1012" i="1"/>
  <c r="AA1014" i="1" l="1"/>
  <c r="AC1013" i="1"/>
  <c r="AB1013" i="1" s="1"/>
  <c r="AD1013" i="1"/>
  <c r="AA1015" i="1" l="1"/>
  <c r="AC1014" i="1"/>
  <c r="AB1014" i="1" s="1"/>
  <c r="AD1014" i="1"/>
  <c r="AA1016" i="1" l="1"/>
  <c r="AC1015" i="1"/>
  <c r="AB1015" i="1" s="1"/>
  <c r="AD1015" i="1"/>
  <c r="AA1017" i="1" l="1"/>
  <c r="AC1016" i="1"/>
  <c r="AB1016" i="1" s="1"/>
  <c r="AD1016" i="1"/>
  <c r="AA1018" i="1" l="1"/>
  <c r="AC1017" i="1"/>
  <c r="AB1017" i="1" s="1"/>
  <c r="AD1017" i="1"/>
  <c r="AA1019" i="1" l="1"/>
  <c r="AC1018" i="1"/>
  <c r="AB1018" i="1" s="1"/>
  <c r="AD1018" i="1"/>
  <c r="AA1020" i="1" l="1"/>
  <c r="AC1019" i="1"/>
  <c r="AB1019" i="1" s="1"/>
  <c r="AD1019" i="1"/>
  <c r="AA1021" i="1" l="1"/>
  <c r="AC1020" i="1"/>
  <c r="AB1020" i="1" s="1"/>
  <c r="AD1020" i="1"/>
  <c r="AA1022" i="1" l="1"/>
  <c r="AC1021" i="1"/>
  <c r="AB1021" i="1" s="1"/>
  <c r="AD1021" i="1"/>
  <c r="AA1023" i="1" l="1"/>
  <c r="AC1022" i="1"/>
  <c r="AB1022" i="1" s="1"/>
  <c r="AD1022" i="1"/>
  <c r="AA1024" i="1" l="1"/>
  <c r="AC1023" i="1"/>
  <c r="AB1023" i="1" s="1"/>
  <c r="AD1023" i="1"/>
  <c r="AA1025" i="1" l="1"/>
  <c r="AC1024" i="1"/>
  <c r="AB1024" i="1" s="1"/>
  <c r="AD1024" i="1"/>
  <c r="AA1026" i="1" l="1"/>
  <c r="AC1025" i="1"/>
  <c r="AB1025" i="1" s="1"/>
  <c r="AD1025" i="1"/>
  <c r="AA1027" i="1" l="1"/>
  <c r="AC1026" i="1"/>
  <c r="AB1026" i="1" s="1"/>
  <c r="AD1026" i="1"/>
  <c r="AA1028" i="1" l="1"/>
  <c r="AC1027" i="1"/>
  <c r="AB1027" i="1" s="1"/>
  <c r="AD1027" i="1"/>
  <c r="AA1029" i="1" l="1"/>
  <c r="AC1028" i="1"/>
  <c r="AB1028" i="1" s="1"/>
  <c r="AD1028" i="1"/>
  <c r="AA1030" i="1" l="1"/>
  <c r="AC1029" i="1"/>
  <c r="AB1029" i="1" s="1"/>
  <c r="AD1029" i="1"/>
  <c r="AA1031" i="1" l="1"/>
  <c r="AC1030" i="1"/>
  <c r="AB1030" i="1" s="1"/>
  <c r="AD1030" i="1"/>
  <c r="AA1032" i="1" l="1"/>
  <c r="AC1031" i="1"/>
  <c r="AB1031" i="1" s="1"/>
  <c r="AD1031" i="1"/>
  <c r="AA1033" i="1" l="1"/>
  <c r="AC1032" i="1"/>
  <c r="AB1032" i="1" s="1"/>
  <c r="AD1032" i="1"/>
  <c r="AA1034" i="1" l="1"/>
  <c r="AC1033" i="1"/>
  <c r="AB1033" i="1" s="1"/>
  <c r="AD1033" i="1"/>
  <c r="AA1035" i="1" l="1"/>
  <c r="AC1034" i="1"/>
  <c r="AB1034" i="1" s="1"/>
  <c r="AD1034" i="1"/>
  <c r="AA1036" i="1" l="1"/>
  <c r="AC1035" i="1"/>
  <c r="AB1035" i="1" s="1"/>
  <c r="AD1035" i="1"/>
  <c r="AA1037" i="1" l="1"/>
  <c r="AC1036" i="1"/>
  <c r="AB1036" i="1" s="1"/>
  <c r="AD1036" i="1"/>
  <c r="AA1038" i="1" l="1"/>
  <c r="AC1037" i="1"/>
  <c r="AB1037" i="1" s="1"/>
  <c r="AD1037" i="1"/>
  <c r="AA1039" i="1" l="1"/>
  <c r="AC1038" i="1"/>
  <c r="AB1038" i="1" s="1"/>
  <c r="AD1038" i="1"/>
  <c r="AA1040" i="1" l="1"/>
  <c r="AC1039" i="1"/>
  <c r="AB1039" i="1" s="1"/>
  <c r="AD1039" i="1"/>
  <c r="AA1041" i="1" l="1"/>
  <c r="AC1040" i="1"/>
  <c r="AB1040" i="1" s="1"/>
  <c r="AD1040" i="1"/>
  <c r="AA1042" i="1" l="1"/>
  <c r="AC1041" i="1"/>
  <c r="AB1041" i="1" s="1"/>
  <c r="AD1041" i="1"/>
  <c r="AA1043" i="1" l="1"/>
  <c r="AC1042" i="1"/>
  <c r="AB1042" i="1" s="1"/>
  <c r="AD1042" i="1"/>
  <c r="AA1044" i="1" l="1"/>
  <c r="AC1043" i="1"/>
  <c r="AB1043" i="1" s="1"/>
  <c r="AD1043" i="1"/>
  <c r="AA1045" i="1" l="1"/>
  <c r="AC1044" i="1"/>
  <c r="AB1044" i="1" s="1"/>
  <c r="AD1044" i="1"/>
  <c r="AA1046" i="1" l="1"/>
  <c r="AC1045" i="1"/>
  <c r="AB1045" i="1" s="1"/>
  <c r="AD1045" i="1"/>
  <c r="AA1047" i="1" l="1"/>
  <c r="AC1046" i="1"/>
  <c r="AB1046" i="1" s="1"/>
  <c r="AD1046" i="1"/>
  <c r="AA1048" i="1" l="1"/>
  <c r="AC1047" i="1"/>
  <c r="AB1047" i="1" s="1"/>
  <c r="AD1047" i="1"/>
  <c r="AA1049" i="1" l="1"/>
  <c r="AC1048" i="1"/>
  <c r="AB1048" i="1" s="1"/>
  <c r="AD1048" i="1"/>
  <c r="AA1050" i="1" l="1"/>
  <c r="AC1049" i="1"/>
  <c r="AB1049" i="1" s="1"/>
  <c r="AD1049" i="1"/>
  <c r="AA1051" i="1" l="1"/>
  <c r="AC1050" i="1"/>
  <c r="AB1050" i="1" s="1"/>
  <c r="AD1050" i="1"/>
  <c r="AA1052" i="1" l="1"/>
  <c r="AC1051" i="1"/>
  <c r="AB1051" i="1" s="1"/>
  <c r="AD1051" i="1"/>
  <c r="AA1053" i="1" l="1"/>
  <c r="AC1052" i="1"/>
  <c r="AB1052" i="1" s="1"/>
  <c r="AD1052" i="1"/>
  <c r="AA1054" i="1" l="1"/>
  <c r="AC1053" i="1"/>
  <c r="AB1053" i="1" s="1"/>
  <c r="AD1053" i="1"/>
  <c r="AA1055" i="1" l="1"/>
  <c r="AC1054" i="1"/>
  <c r="AB1054" i="1" s="1"/>
  <c r="AD1054" i="1"/>
  <c r="AA1056" i="1" l="1"/>
  <c r="AC1055" i="1"/>
  <c r="AB1055" i="1" s="1"/>
  <c r="AD1055" i="1"/>
  <c r="AD1056" i="1" l="1"/>
  <c r="AC1056" i="1"/>
  <c r="AB1056" i="1" s="1"/>
  <c r="AA1057" i="1"/>
  <c r="AD1057" i="1" l="1"/>
  <c r="AC1057" i="1"/>
  <c r="AB1057" i="1" s="1"/>
  <c r="AA1058" i="1"/>
  <c r="AD1058" i="1" l="1"/>
  <c r="AC1058" i="1"/>
  <c r="AB1058" i="1" s="1"/>
  <c r="AA1059" i="1"/>
  <c r="AD1059" i="1" l="1"/>
  <c r="AC1059" i="1"/>
  <c r="AB1059" i="1" s="1"/>
  <c r="AA1060" i="1"/>
  <c r="AD1060" i="1" l="1"/>
  <c r="AC1060" i="1"/>
  <c r="AB1060" i="1" s="1"/>
  <c r="AA1061" i="1"/>
  <c r="AD1061" i="1" l="1"/>
  <c r="AC1061" i="1"/>
  <c r="AB1061" i="1" s="1"/>
  <c r="AA1062" i="1"/>
  <c r="AD1062" i="1" l="1"/>
  <c r="AC1062" i="1"/>
  <c r="AB1062" i="1" s="1"/>
  <c r="AA1063" i="1"/>
  <c r="AD1063" i="1" l="1"/>
  <c r="AC1063" i="1"/>
  <c r="AB1063" i="1" s="1"/>
  <c r="AA1064" i="1"/>
  <c r="AD1064" i="1" l="1"/>
  <c r="AC1064" i="1"/>
  <c r="AB1064" i="1" s="1"/>
  <c r="AA1065" i="1"/>
  <c r="AD1065" i="1" l="1"/>
  <c r="AC1065" i="1"/>
  <c r="AB1065" i="1" s="1"/>
  <c r="AA1066" i="1"/>
  <c r="AD1066" i="1" l="1"/>
  <c r="AC1066" i="1"/>
  <c r="AB1066" i="1" s="1"/>
  <c r="AA1067" i="1"/>
  <c r="AD1067" i="1" l="1"/>
  <c r="AC1067" i="1"/>
  <c r="AB1067" i="1" s="1"/>
  <c r="AA1068" i="1"/>
  <c r="AD1068" i="1" l="1"/>
  <c r="AC1068" i="1"/>
  <c r="AB1068" i="1" s="1"/>
  <c r="AA1069" i="1"/>
  <c r="AD1069" i="1" l="1"/>
  <c r="AC1069" i="1"/>
  <c r="AB1069" i="1" s="1"/>
  <c r="AA1070" i="1"/>
  <c r="AD1070" i="1" l="1"/>
  <c r="AC1070" i="1"/>
  <c r="AB1070" i="1" s="1"/>
  <c r="AA1071" i="1"/>
  <c r="AD1071" i="1" l="1"/>
  <c r="AC1071" i="1"/>
  <c r="AB1071" i="1" s="1"/>
  <c r="AA1072" i="1"/>
  <c r="AD1072" i="1" l="1"/>
  <c r="AC1072" i="1"/>
  <c r="AB1072" i="1" s="1"/>
  <c r="AA1073" i="1"/>
  <c r="AD1073" i="1" l="1"/>
  <c r="AC1073" i="1"/>
  <c r="AB1073" i="1" s="1"/>
  <c r="AA1074" i="1"/>
  <c r="AD1074" i="1" l="1"/>
  <c r="AC1074" i="1"/>
  <c r="AB1074" i="1" s="1"/>
  <c r="AA1075" i="1"/>
  <c r="AD1075" i="1" l="1"/>
  <c r="AC1075" i="1"/>
  <c r="AB1075" i="1" s="1"/>
  <c r="AA1076" i="1"/>
  <c r="AD1076" i="1" l="1"/>
  <c r="AC1076" i="1"/>
  <c r="AB1076" i="1" s="1"/>
  <c r="AA1077" i="1"/>
  <c r="AD1077" i="1" l="1"/>
  <c r="AC1077" i="1"/>
  <c r="AB1077" i="1" s="1"/>
  <c r="AA1078" i="1"/>
  <c r="AD1078" i="1" l="1"/>
  <c r="AC1078" i="1"/>
  <c r="AB1078" i="1" s="1"/>
  <c r="AA1079" i="1"/>
  <c r="AD1079" i="1" l="1"/>
  <c r="AC1079" i="1"/>
  <c r="AB1079" i="1" s="1"/>
  <c r="AA1080" i="1"/>
  <c r="AD1080" i="1" l="1"/>
  <c r="AC1080" i="1"/>
  <c r="AB1080" i="1" s="1"/>
  <c r="AA1081" i="1"/>
  <c r="AD1081" i="1" l="1"/>
  <c r="AC1081" i="1"/>
  <c r="AB1081" i="1" s="1"/>
  <c r="AA1082" i="1"/>
  <c r="AD1082" i="1" l="1"/>
  <c r="AC1082" i="1"/>
  <c r="AB1082" i="1" s="1"/>
  <c r="AA1083" i="1"/>
  <c r="AD1083" i="1" l="1"/>
  <c r="AC1083" i="1"/>
  <c r="AB1083" i="1" s="1"/>
  <c r="AA1084" i="1"/>
  <c r="AD1084" i="1" l="1"/>
  <c r="AC1084" i="1"/>
  <c r="AB1084" i="1" s="1"/>
  <c r="AA1085" i="1"/>
  <c r="AD1085" i="1" l="1"/>
  <c r="AC1085" i="1"/>
  <c r="AB1085" i="1" s="1"/>
  <c r="AA1086" i="1"/>
  <c r="AD1086" i="1" l="1"/>
  <c r="AC1086" i="1"/>
  <c r="AB1086" i="1" s="1"/>
  <c r="AA1087" i="1"/>
  <c r="AD1087" i="1" l="1"/>
  <c r="AC1087" i="1"/>
  <c r="AB1087" i="1" s="1"/>
  <c r="AA1088" i="1"/>
  <c r="AD1088" i="1" l="1"/>
  <c r="AC1088" i="1"/>
  <c r="AB1088" i="1" s="1"/>
  <c r="AA1089" i="1"/>
  <c r="AD1089" i="1" l="1"/>
  <c r="AC1089" i="1"/>
  <c r="AB1089" i="1" s="1"/>
  <c r="AA1090" i="1"/>
  <c r="AD1090" i="1" l="1"/>
  <c r="AC1090" i="1"/>
  <c r="AB1090" i="1" s="1"/>
  <c r="AA1091" i="1"/>
  <c r="AD1091" i="1" l="1"/>
  <c r="AC1091" i="1"/>
  <c r="AB1091" i="1" s="1"/>
  <c r="AA1092" i="1"/>
  <c r="AD1092" i="1" l="1"/>
  <c r="AC1092" i="1"/>
  <c r="AB1092" i="1" s="1"/>
  <c r="AA1093" i="1"/>
  <c r="AD1093" i="1" l="1"/>
  <c r="AC1093" i="1"/>
  <c r="AB1093" i="1" s="1"/>
  <c r="AA1094" i="1"/>
  <c r="AD1094" i="1" l="1"/>
  <c r="AC1094" i="1"/>
  <c r="AB1094" i="1" s="1"/>
  <c r="AA1095" i="1"/>
  <c r="AD1095" i="1" l="1"/>
  <c r="AC1095" i="1"/>
  <c r="AB1095" i="1" s="1"/>
  <c r="AA1096" i="1"/>
  <c r="AD1096" i="1" l="1"/>
  <c r="AC1096" i="1"/>
  <c r="AB1096" i="1" s="1"/>
  <c r="AA1097" i="1"/>
  <c r="AD1097" i="1" l="1"/>
  <c r="AC1097" i="1"/>
  <c r="AB1097" i="1" s="1"/>
  <c r="AA1098" i="1"/>
  <c r="AD1098" i="1" l="1"/>
  <c r="AC1098" i="1"/>
  <c r="AB1098" i="1" s="1"/>
</calcChain>
</file>

<file path=xl/sharedStrings.xml><?xml version="1.0" encoding="utf-8"?>
<sst xmlns="http://schemas.openxmlformats.org/spreadsheetml/2006/main" count="7210" uniqueCount="4675">
  <si>
    <t>Digite sua Matrícula</t>
  </si>
  <si>
    <t>Ex.: bc777777</t>
  </si>
  <si>
    <t>BO BLINDAGEM</t>
  </si>
  <si>
    <t>Rede</t>
  </si>
  <si>
    <t>LocalRede</t>
  </si>
  <si>
    <t>SaveName</t>
  </si>
  <si>
    <t>DeskTop</t>
  </si>
  <si>
    <t>Mailings</t>
  </si>
  <si>
    <t>Downgrade</t>
  </si>
  <si>
    <t>Blindagem Oi Total</t>
  </si>
  <si>
    <t>Blindagem Móvel</t>
  </si>
  <si>
    <t>ECADOP OIT</t>
  </si>
  <si>
    <t>ECADOP OCT</t>
  </si>
  <si>
    <t>Dias</t>
  </si>
  <si>
    <t>Dia da Semana Númerico</t>
  </si>
  <si>
    <t>Dia da Semana</t>
  </si>
  <si>
    <t>Dias úteis</t>
  </si>
  <si>
    <t>Feriados</t>
  </si>
  <si>
    <t>Meses Ano</t>
  </si>
  <si>
    <t>Data Atual</t>
  </si>
  <si>
    <t>Mês</t>
  </si>
  <si>
    <t>TRATAR</t>
  </si>
  <si>
    <t>NÃO TRATAR</t>
  </si>
  <si>
    <t>JANEIRO</t>
  </si>
  <si>
    <t>BC607820</t>
  </si>
  <si>
    <t>CC030891</t>
  </si>
  <si>
    <t>FEVEREIRO</t>
  </si>
  <si>
    <t>Temporario</t>
  </si>
  <si>
    <t>BC609089</t>
  </si>
  <si>
    <t>CC031475</t>
  </si>
  <si>
    <t>MARÇO</t>
  </si>
  <si>
    <t>BC609223</t>
  </si>
  <si>
    <t>CC031528</t>
  </si>
  <si>
    <t>ABRIL</t>
  </si>
  <si>
    <t>BC609450</t>
  </si>
  <si>
    <t>CC032677</t>
  </si>
  <si>
    <t>MAIO</t>
  </si>
  <si>
    <t>BC609689</t>
  </si>
  <si>
    <t>CC033141</t>
  </si>
  <si>
    <t>JUNHO</t>
  </si>
  <si>
    <t>BC610077</t>
  </si>
  <si>
    <t>CC036591</t>
  </si>
  <si>
    <t>JULHO</t>
  </si>
  <si>
    <t>BC611062</t>
  </si>
  <si>
    <t>CC039254</t>
  </si>
  <si>
    <t>AGOSTO</t>
  </si>
  <si>
    <t>BO CONTROLE</t>
  </si>
  <si>
    <t>BC611672</t>
  </si>
  <si>
    <t>CC041730</t>
  </si>
  <si>
    <t>SETEMBRO</t>
  </si>
  <si>
    <t>BC612907</t>
  </si>
  <si>
    <t>CC045860</t>
  </si>
  <si>
    <t>OUTUBRO</t>
  </si>
  <si>
    <t>BC617007</t>
  </si>
  <si>
    <t>CC048000</t>
  </si>
  <si>
    <t>NOVEMBRO</t>
  </si>
  <si>
    <t>BC618776</t>
  </si>
  <si>
    <t>CC050573</t>
  </si>
  <si>
    <t>DEZEMBRO</t>
  </si>
  <si>
    <t>BC618829</t>
  </si>
  <si>
    <t>CC051511</t>
  </si>
  <si>
    <t>Cancelamento</t>
  </si>
  <si>
    <t>BC623308</t>
  </si>
  <si>
    <t>CC057303</t>
  </si>
  <si>
    <t>AtivoReversao</t>
  </si>
  <si>
    <t>BC623962</t>
  </si>
  <si>
    <t>CC066532</t>
  </si>
  <si>
    <t>BO_Oferta</t>
  </si>
  <si>
    <t>BC624269</t>
  </si>
  <si>
    <t>CC070223</t>
  </si>
  <si>
    <t>BO_Acomp</t>
  </si>
  <si>
    <t>BC624687</t>
  </si>
  <si>
    <t>CC070459</t>
  </si>
  <si>
    <t>BC626047</t>
  </si>
  <si>
    <t>CC071323</t>
  </si>
  <si>
    <t>BO OI TOTAL UNIFICADO</t>
  </si>
  <si>
    <t>BC626671</t>
  </si>
  <si>
    <t>CC075102</t>
  </si>
  <si>
    <t>BC626884</t>
  </si>
  <si>
    <t>CC077352</t>
  </si>
  <si>
    <t>BC630067</t>
  </si>
  <si>
    <t>CC077834</t>
  </si>
  <si>
    <t>BC632276</t>
  </si>
  <si>
    <t>CC080994</t>
  </si>
  <si>
    <t>BC632649</t>
  </si>
  <si>
    <t>CC090076</t>
  </si>
  <si>
    <t>BC632968</t>
  </si>
  <si>
    <t>CC096268</t>
  </si>
  <si>
    <t>BC633552</t>
  </si>
  <si>
    <t>CC097205</t>
  </si>
  <si>
    <t>BC633625</t>
  </si>
  <si>
    <t>CC101269</t>
  </si>
  <si>
    <t>NBA</t>
  </si>
  <si>
    <t>BC633751</t>
  </si>
  <si>
    <t>CC108067</t>
  </si>
  <si>
    <t>BC635385</t>
  </si>
  <si>
    <t>CC108118</t>
  </si>
  <si>
    <t>BO POS_OCT</t>
  </si>
  <si>
    <t>BC636695</t>
  </si>
  <si>
    <t>CC109659</t>
  </si>
  <si>
    <t>BC637141</t>
  </si>
  <si>
    <t>CC110054</t>
  </si>
  <si>
    <t>BC641128</t>
  </si>
  <si>
    <t>CC120756</t>
  </si>
  <si>
    <t>BC641696</t>
  </si>
  <si>
    <t>CC121012</t>
  </si>
  <si>
    <t>BC642785</t>
  </si>
  <si>
    <t>CC123319</t>
  </si>
  <si>
    <t>BC644275</t>
  </si>
  <si>
    <t>CC132628</t>
  </si>
  <si>
    <t>BC644677</t>
  </si>
  <si>
    <t>CC133274</t>
  </si>
  <si>
    <t>BC644754</t>
  </si>
  <si>
    <t>CC141379</t>
  </si>
  <si>
    <t>BC644784</t>
  </si>
  <si>
    <t>CC141404</t>
  </si>
  <si>
    <t>BC644804</t>
  </si>
  <si>
    <t>CC144283</t>
  </si>
  <si>
    <t>BC644814</t>
  </si>
  <si>
    <t>CC145112</t>
  </si>
  <si>
    <t>BC644862</t>
  </si>
  <si>
    <t>CC145141</t>
  </si>
  <si>
    <t>BC644877</t>
  </si>
  <si>
    <t>CC147074</t>
  </si>
  <si>
    <t>BC644896</t>
  </si>
  <si>
    <t>CC150766</t>
  </si>
  <si>
    <t>BC645468</t>
  </si>
  <si>
    <t>CC151656</t>
  </si>
  <si>
    <t>BC645480</t>
  </si>
  <si>
    <t>CC151669</t>
  </si>
  <si>
    <t>BC648199</t>
  </si>
  <si>
    <t>CC151711</t>
  </si>
  <si>
    <t>BC651434</t>
  </si>
  <si>
    <t>CC151748</t>
  </si>
  <si>
    <t>BC651470</t>
  </si>
  <si>
    <t>CC151777</t>
  </si>
  <si>
    <t>BC652224</t>
  </si>
  <si>
    <t>CC157321</t>
  </si>
  <si>
    <t>BC653340</t>
  </si>
  <si>
    <t>CC159283</t>
  </si>
  <si>
    <t>BC653525</t>
  </si>
  <si>
    <t>CC159927</t>
  </si>
  <si>
    <t>BC654081</t>
  </si>
  <si>
    <t>CC160488</t>
  </si>
  <si>
    <t>BC659075</t>
  </si>
  <si>
    <t>CC160537</t>
  </si>
  <si>
    <t>BC659549</t>
  </si>
  <si>
    <t>CC164887</t>
  </si>
  <si>
    <t>BC661384</t>
  </si>
  <si>
    <t>CC164985</t>
  </si>
  <si>
    <t>BC661688</t>
  </si>
  <si>
    <t>CC165126</t>
  </si>
  <si>
    <t>BC662748</t>
  </si>
  <si>
    <t>CC165847</t>
  </si>
  <si>
    <t>BC663389</t>
  </si>
  <si>
    <t>CC166062</t>
  </si>
  <si>
    <t>BC664798</t>
  </si>
  <si>
    <t>CC175478</t>
  </si>
  <si>
    <t>BC666787</t>
  </si>
  <si>
    <t>CC176069</t>
  </si>
  <si>
    <t>BC667460</t>
  </si>
  <si>
    <t>CC176296</t>
  </si>
  <si>
    <t>BC668296</t>
  </si>
  <si>
    <t>CC178496</t>
  </si>
  <si>
    <t>BC671965</t>
  </si>
  <si>
    <t>CC191111</t>
  </si>
  <si>
    <t>BC674204</t>
  </si>
  <si>
    <t>CC195962</t>
  </si>
  <si>
    <t>BC675112</t>
  </si>
  <si>
    <t>CC199952</t>
  </si>
  <si>
    <t>BC676692</t>
  </si>
  <si>
    <t>CC209032</t>
  </si>
  <si>
    <t>BC676807</t>
  </si>
  <si>
    <t>CC211074</t>
  </si>
  <si>
    <t>BC676988</t>
  </si>
  <si>
    <t>CC211165</t>
  </si>
  <si>
    <t>BC676992</t>
  </si>
  <si>
    <t>CC211179</t>
  </si>
  <si>
    <t>BC677034</t>
  </si>
  <si>
    <t>CC211472</t>
  </si>
  <si>
    <t>BC680758</t>
  </si>
  <si>
    <t>CC212322</t>
  </si>
  <si>
    <t>BC681492</t>
  </si>
  <si>
    <t>CC215709</t>
  </si>
  <si>
    <t>BC682366</t>
  </si>
  <si>
    <t>CC217409</t>
  </si>
  <si>
    <t>BC682756</t>
  </si>
  <si>
    <t>CC217574</t>
  </si>
  <si>
    <t>BC682768</t>
  </si>
  <si>
    <t>CC218697</t>
  </si>
  <si>
    <t>BC683060</t>
  </si>
  <si>
    <t>CC218713</t>
  </si>
  <si>
    <t>BC683445</t>
  </si>
  <si>
    <t>CC218751</t>
  </si>
  <si>
    <t>BC683469</t>
  </si>
  <si>
    <t>CC218869</t>
  </si>
  <si>
    <t>BC683994</t>
  </si>
  <si>
    <t>CC221673</t>
  </si>
  <si>
    <t>BC684110</t>
  </si>
  <si>
    <t>CC224687</t>
  </si>
  <si>
    <t>BC685089</t>
  </si>
  <si>
    <t>CC224804</t>
  </si>
  <si>
    <t>BC685117</t>
  </si>
  <si>
    <t>CC225559</t>
  </si>
  <si>
    <t>BC685153</t>
  </si>
  <si>
    <t>CC226337</t>
  </si>
  <si>
    <t>BC685713</t>
  </si>
  <si>
    <t>CC227026</t>
  </si>
  <si>
    <t>BC685849</t>
  </si>
  <si>
    <t>CC227253</t>
  </si>
  <si>
    <t>BC686239</t>
  </si>
  <si>
    <t>CC227309</t>
  </si>
  <si>
    <t>BC686554</t>
  </si>
  <si>
    <t>CC227332</t>
  </si>
  <si>
    <t>BC686964</t>
  </si>
  <si>
    <t>CC227352</t>
  </si>
  <si>
    <t>BC686965</t>
  </si>
  <si>
    <t>CC227361</t>
  </si>
  <si>
    <t>BC686986</t>
  </si>
  <si>
    <t>CC229055</t>
  </si>
  <si>
    <t>BC687385</t>
  </si>
  <si>
    <t>CC229207</t>
  </si>
  <si>
    <t>BC688683</t>
  </si>
  <si>
    <t>CC231362</t>
  </si>
  <si>
    <t>BC688708</t>
  </si>
  <si>
    <t>CC231396</t>
  </si>
  <si>
    <t>BC689003</t>
  </si>
  <si>
    <t>CC232348</t>
  </si>
  <si>
    <t>BC689087</t>
  </si>
  <si>
    <t>CC233138</t>
  </si>
  <si>
    <t>BC689910</t>
  </si>
  <si>
    <t>CC233551</t>
  </si>
  <si>
    <t>BC689983</t>
  </si>
  <si>
    <t>CC233910</t>
  </si>
  <si>
    <t>BC690002</t>
  </si>
  <si>
    <t>CC233972</t>
  </si>
  <si>
    <t>BC690647</t>
  </si>
  <si>
    <t>CC235895</t>
  </si>
  <si>
    <t>BC690865</t>
  </si>
  <si>
    <t>CC235945</t>
  </si>
  <si>
    <t>BC690971</t>
  </si>
  <si>
    <t>CC236114</t>
  </si>
  <si>
    <t>BC691061</t>
  </si>
  <si>
    <t>CC236287</t>
  </si>
  <si>
    <t>BC691206</t>
  </si>
  <si>
    <t>CC236699</t>
  </si>
  <si>
    <t>BC691635</t>
  </si>
  <si>
    <t>CC236778</t>
  </si>
  <si>
    <t>BC692066</t>
  </si>
  <si>
    <t>CC236825</t>
  </si>
  <si>
    <t>BC693384</t>
  </si>
  <si>
    <t>CC236927</t>
  </si>
  <si>
    <t>BC693601</t>
  </si>
  <si>
    <t>CC236949</t>
  </si>
  <si>
    <t>BC694694</t>
  </si>
  <si>
    <t>CC236970</t>
  </si>
  <si>
    <t>BC695045</t>
  </si>
  <si>
    <t>CC237876</t>
  </si>
  <si>
    <t>BC695065</t>
  </si>
  <si>
    <t>CC239036</t>
  </si>
  <si>
    <t>BC695295</t>
  </si>
  <si>
    <t>CC239041</t>
  </si>
  <si>
    <t>BC695363</t>
  </si>
  <si>
    <t>CC239046</t>
  </si>
  <si>
    <t>BC695373</t>
  </si>
  <si>
    <t>CC239448</t>
  </si>
  <si>
    <t>BC695377</t>
  </si>
  <si>
    <t>CC243737</t>
  </si>
  <si>
    <t>BC695397</t>
  </si>
  <si>
    <t>CC249665</t>
  </si>
  <si>
    <t>BC695433</t>
  </si>
  <si>
    <t>CC250207</t>
  </si>
  <si>
    <t>BC695464</t>
  </si>
  <si>
    <t>CC250240</t>
  </si>
  <si>
    <t>BC695484</t>
  </si>
  <si>
    <t>CC251402</t>
  </si>
  <si>
    <t>BC695491</t>
  </si>
  <si>
    <t>CC251429</t>
  </si>
  <si>
    <t>BC695495</t>
  </si>
  <si>
    <t>CC251592</t>
  </si>
  <si>
    <t>BC695530</t>
  </si>
  <si>
    <t>CC251596</t>
  </si>
  <si>
    <t>BC696049</t>
  </si>
  <si>
    <t>CC251798</t>
  </si>
  <si>
    <t>BC696296</t>
  </si>
  <si>
    <t>CC251866</t>
  </si>
  <si>
    <t>BC696305</t>
  </si>
  <si>
    <t>CC251886</t>
  </si>
  <si>
    <t>BC696325</t>
  </si>
  <si>
    <t>CC252303</t>
  </si>
  <si>
    <t>BC696487</t>
  </si>
  <si>
    <t>CC253881</t>
  </si>
  <si>
    <t>BC696629</t>
  </si>
  <si>
    <t>CC258784</t>
  </si>
  <si>
    <t>BC696630</t>
  </si>
  <si>
    <t>CC259318</t>
  </si>
  <si>
    <t>BC696645</t>
  </si>
  <si>
    <t>CC260135</t>
  </si>
  <si>
    <t>BC696659</t>
  </si>
  <si>
    <t>CC261132</t>
  </si>
  <si>
    <t>BC696660</t>
  </si>
  <si>
    <t>CC262072</t>
  </si>
  <si>
    <t>BC696704</t>
  </si>
  <si>
    <t>CC262102</t>
  </si>
  <si>
    <t>BC697483</t>
  </si>
  <si>
    <t>CC262107</t>
  </si>
  <si>
    <t>BC697510</t>
  </si>
  <si>
    <t>CC262231</t>
  </si>
  <si>
    <t>BC697618</t>
  </si>
  <si>
    <t>CC262808</t>
  </si>
  <si>
    <t>BC697624</t>
  </si>
  <si>
    <t>CC263413</t>
  </si>
  <si>
    <t>BC697657</t>
  </si>
  <si>
    <t>CC263578</t>
  </si>
  <si>
    <t>BC697659</t>
  </si>
  <si>
    <t>CC264135</t>
  </si>
  <si>
    <t>BC697663</t>
  </si>
  <si>
    <t>CC264155</t>
  </si>
  <si>
    <t>BC697667</t>
  </si>
  <si>
    <t>CC264367</t>
  </si>
  <si>
    <t>BC697673</t>
  </si>
  <si>
    <t>CC264390</t>
  </si>
  <si>
    <t>BC697705</t>
  </si>
  <si>
    <t>CC264661</t>
  </si>
  <si>
    <t>BC697712</t>
  </si>
  <si>
    <t>CC264900</t>
  </si>
  <si>
    <t>BC697715</t>
  </si>
  <si>
    <t>CC264912</t>
  </si>
  <si>
    <t>BC697877</t>
  </si>
  <si>
    <t>CC265333</t>
  </si>
  <si>
    <t>BC697899</t>
  </si>
  <si>
    <t>CC265959</t>
  </si>
  <si>
    <t>BC697922</t>
  </si>
  <si>
    <t>CC266198</t>
  </si>
  <si>
    <t>BC698139</t>
  </si>
  <si>
    <t>CC266238</t>
  </si>
  <si>
    <t>BC698160</t>
  </si>
  <si>
    <t>CC266330</t>
  </si>
  <si>
    <t>BC698196</t>
  </si>
  <si>
    <t>CC266488</t>
  </si>
  <si>
    <t>BC698242</t>
  </si>
  <si>
    <t>CC266978</t>
  </si>
  <si>
    <t>BC698276</t>
  </si>
  <si>
    <t>CC267033</t>
  </si>
  <si>
    <t>BC698589</t>
  </si>
  <si>
    <t>CC267064</t>
  </si>
  <si>
    <t>BC698619</t>
  </si>
  <si>
    <t>CC267072</t>
  </si>
  <si>
    <t>BC698627</t>
  </si>
  <si>
    <t>CC267081</t>
  </si>
  <si>
    <t>BC698635</t>
  </si>
  <si>
    <t>CC267088</t>
  </si>
  <si>
    <t>BC698668</t>
  </si>
  <si>
    <t>CC267110</t>
  </si>
  <si>
    <t>BC698755</t>
  </si>
  <si>
    <t>CC267531</t>
  </si>
  <si>
    <t>BC698763</t>
  </si>
  <si>
    <t>CC268712</t>
  </si>
  <si>
    <t>BC698803</t>
  </si>
  <si>
    <t>CC268802</t>
  </si>
  <si>
    <t>BC698810</t>
  </si>
  <si>
    <t>CC269234</t>
  </si>
  <si>
    <t>BC698885</t>
  </si>
  <si>
    <t>CC269263</t>
  </si>
  <si>
    <t>BC698920</t>
  </si>
  <si>
    <t>CC270193</t>
  </si>
  <si>
    <t>BC699324</t>
  </si>
  <si>
    <t>CC270567</t>
  </si>
  <si>
    <t>BC699326</t>
  </si>
  <si>
    <t>CC270568</t>
  </si>
  <si>
    <t>BC699415</t>
  </si>
  <si>
    <t>CC270650</t>
  </si>
  <si>
    <t>BC699708</t>
  </si>
  <si>
    <t>CC270837</t>
  </si>
  <si>
    <t>BC699787</t>
  </si>
  <si>
    <t>CC270850</t>
  </si>
  <si>
    <t>BC699795</t>
  </si>
  <si>
    <t>CC271133</t>
  </si>
  <si>
    <t>BC699816</t>
  </si>
  <si>
    <t>CC271467</t>
  </si>
  <si>
    <t>BC699834</t>
  </si>
  <si>
    <t>CC271988</t>
  </si>
  <si>
    <t>BC699908</t>
  </si>
  <si>
    <t>CC272106</t>
  </si>
  <si>
    <t>BC699958</t>
  </si>
  <si>
    <t>CC272333</t>
  </si>
  <si>
    <t>BC699960</t>
  </si>
  <si>
    <t>CC272371</t>
  </si>
  <si>
    <t>BC699973</t>
  </si>
  <si>
    <t>CC272409</t>
  </si>
  <si>
    <t>BC699974</t>
  </si>
  <si>
    <t>CC272434</t>
  </si>
  <si>
    <t>BC700543</t>
  </si>
  <si>
    <t>CC272680</t>
  </si>
  <si>
    <t>BC700724</t>
  </si>
  <si>
    <t>CC272709</t>
  </si>
  <si>
    <t>BC701401</t>
  </si>
  <si>
    <t>CC272830</t>
  </si>
  <si>
    <t>BC701521</t>
  </si>
  <si>
    <t>CC272835</t>
  </si>
  <si>
    <t>BC701748</t>
  </si>
  <si>
    <t>CC272857</t>
  </si>
  <si>
    <t>BC702392</t>
  </si>
  <si>
    <t>CC273115</t>
  </si>
  <si>
    <t>BC702681</t>
  </si>
  <si>
    <t>CC273379</t>
  </si>
  <si>
    <t>BC702764</t>
  </si>
  <si>
    <t>CC273380</t>
  </si>
  <si>
    <t>BC702765</t>
  </si>
  <si>
    <t>CC273412</t>
  </si>
  <si>
    <t>BC702777</t>
  </si>
  <si>
    <t>CC273414</t>
  </si>
  <si>
    <t>BC702799</t>
  </si>
  <si>
    <t>CC273435</t>
  </si>
  <si>
    <t>BC702968</t>
  </si>
  <si>
    <t>CC273451</t>
  </si>
  <si>
    <t>BC703132</t>
  </si>
  <si>
    <t>CC273452</t>
  </si>
  <si>
    <t>BC703139</t>
  </si>
  <si>
    <t>CC273479</t>
  </si>
  <si>
    <t>BC703142</t>
  </si>
  <si>
    <t>CC273487</t>
  </si>
  <si>
    <t>BC703156</t>
  </si>
  <si>
    <t>CC273620</t>
  </si>
  <si>
    <t>BC703224</t>
  </si>
  <si>
    <t>CC273868</t>
  </si>
  <si>
    <t>BC703324</t>
  </si>
  <si>
    <t>CC273893</t>
  </si>
  <si>
    <t>BC703393</t>
  </si>
  <si>
    <t>CC273973</t>
  </si>
  <si>
    <t>BC703614</t>
  </si>
  <si>
    <t>CC274288</t>
  </si>
  <si>
    <t>BC703650</t>
  </si>
  <si>
    <t>CC274540</t>
  </si>
  <si>
    <t>BC703763</t>
  </si>
  <si>
    <t>CC274544</t>
  </si>
  <si>
    <t>BC703775</t>
  </si>
  <si>
    <t>CC274576</t>
  </si>
  <si>
    <t>BC703793</t>
  </si>
  <si>
    <t>CC274597</t>
  </si>
  <si>
    <t>BC703800</t>
  </si>
  <si>
    <t>CC274601</t>
  </si>
  <si>
    <t>BC703803</t>
  </si>
  <si>
    <t>CC274887</t>
  </si>
  <si>
    <t>BC703842</t>
  </si>
  <si>
    <t>CC274996</t>
  </si>
  <si>
    <t>BC704015</t>
  </si>
  <si>
    <t>CC275003</t>
  </si>
  <si>
    <t>BC704057</t>
  </si>
  <si>
    <t>CC275051</t>
  </si>
  <si>
    <t>BC704188</t>
  </si>
  <si>
    <t>CC275171</t>
  </si>
  <si>
    <t>BC704189</t>
  </si>
  <si>
    <t>CC275174</t>
  </si>
  <si>
    <t>BC704202</t>
  </si>
  <si>
    <t>CC275191</t>
  </si>
  <si>
    <t>BC704245</t>
  </si>
  <si>
    <t>CC275192</t>
  </si>
  <si>
    <t>BC704247</t>
  </si>
  <si>
    <t>CC275215</t>
  </si>
  <si>
    <t>BC704250</t>
  </si>
  <si>
    <t>CC275221</t>
  </si>
  <si>
    <t>BC704253</t>
  </si>
  <si>
    <t>CC275232</t>
  </si>
  <si>
    <t>BC704306</t>
  </si>
  <si>
    <t>CC275287</t>
  </si>
  <si>
    <t>BC704460</t>
  </si>
  <si>
    <t>CC275750</t>
  </si>
  <si>
    <t>BC704461</t>
  </si>
  <si>
    <t>CC275764</t>
  </si>
  <si>
    <t>BC704472</t>
  </si>
  <si>
    <t>CC276265</t>
  </si>
  <si>
    <t>BC704508</t>
  </si>
  <si>
    <t>CC276655</t>
  </si>
  <si>
    <t>BC704519</t>
  </si>
  <si>
    <t>CC276881</t>
  </si>
  <si>
    <t>BC704535</t>
  </si>
  <si>
    <t>CC276894</t>
  </si>
  <si>
    <t>BC704547</t>
  </si>
  <si>
    <t>CC276899</t>
  </si>
  <si>
    <t>BC704651</t>
  </si>
  <si>
    <t>CC277015</t>
  </si>
  <si>
    <t>BC704700</t>
  </si>
  <si>
    <t>CC277020</t>
  </si>
  <si>
    <t>BC704707</t>
  </si>
  <si>
    <t>CC277035</t>
  </si>
  <si>
    <t>BC704777</t>
  </si>
  <si>
    <t>CC277040</t>
  </si>
  <si>
    <t>BC704802</t>
  </si>
  <si>
    <t>CC277069</t>
  </si>
  <si>
    <t>BC704818</t>
  </si>
  <si>
    <t>CC277223</t>
  </si>
  <si>
    <t>BC704820</t>
  </si>
  <si>
    <t>CC277236</t>
  </si>
  <si>
    <t>BC704851</t>
  </si>
  <si>
    <t>CC277248</t>
  </si>
  <si>
    <t>BC705135</t>
  </si>
  <si>
    <t>CC277332</t>
  </si>
  <si>
    <t>BC705494</t>
  </si>
  <si>
    <t>CC277338</t>
  </si>
  <si>
    <t>BC705505</t>
  </si>
  <si>
    <t>CC277347</t>
  </si>
  <si>
    <t>BC705516</t>
  </si>
  <si>
    <t>CC277348</t>
  </si>
  <si>
    <t>BC705520</t>
  </si>
  <si>
    <t>CC277664</t>
  </si>
  <si>
    <t>BC705531</t>
  </si>
  <si>
    <t>CC277666</t>
  </si>
  <si>
    <t>BC705636</t>
  </si>
  <si>
    <t>CC277679</t>
  </si>
  <si>
    <t>BC705650</t>
  </si>
  <si>
    <t>CC277852</t>
  </si>
  <si>
    <t>BC705659</t>
  </si>
  <si>
    <t>CC278398</t>
  </si>
  <si>
    <t>BC705679</t>
  </si>
  <si>
    <t>CC280848</t>
  </si>
  <si>
    <t>BC705782</t>
  </si>
  <si>
    <t>CC280852</t>
  </si>
  <si>
    <t>BC705785</t>
  </si>
  <si>
    <t>CC280907</t>
  </si>
  <si>
    <t>BC705789</t>
  </si>
  <si>
    <t>CC280982</t>
  </si>
  <si>
    <t>BC705790</t>
  </si>
  <si>
    <t>CC281010</t>
  </si>
  <si>
    <t>BC705794</t>
  </si>
  <si>
    <t>CC281021</t>
  </si>
  <si>
    <t>BC705795</t>
  </si>
  <si>
    <t>CC281027</t>
  </si>
  <si>
    <t>BC705806</t>
  </si>
  <si>
    <t>CC281180</t>
  </si>
  <si>
    <t>BC706139</t>
  </si>
  <si>
    <t>CC281186</t>
  </si>
  <si>
    <t>BC706148</t>
  </si>
  <si>
    <t>CC281291</t>
  </si>
  <si>
    <t>BC706175</t>
  </si>
  <si>
    <t>CC281316</t>
  </si>
  <si>
    <t>BC706394</t>
  </si>
  <si>
    <t>CC281330</t>
  </si>
  <si>
    <t>BC706445</t>
  </si>
  <si>
    <t>CC281421</t>
  </si>
  <si>
    <t>BC706462</t>
  </si>
  <si>
    <t>CC281892</t>
  </si>
  <si>
    <t>BC706466</t>
  </si>
  <si>
    <t>CC282500</t>
  </si>
  <si>
    <t>BC707224</t>
  </si>
  <si>
    <t>CC282566</t>
  </si>
  <si>
    <t>BC707542</t>
  </si>
  <si>
    <t>CC282647</t>
  </si>
  <si>
    <t>BC707543</t>
  </si>
  <si>
    <t>CC282651</t>
  </si>
  <si>
    <t>BC707544</t>
  </si>
  <si>
    <t>CC282662</t>
  </si>
  <si>
    <t>BC707545</t>
  </si>
  <si>
    <t>CC282667</t>
  </si>
  <si>
    <t>BC707547</t>
  </si>
  <si>
    <t>CC282675</t>
  </si>
  <si>
    <t>BC707548</t>
  </si>
  <si>
    <t>CC282687</t>
  </si>
  <si>
    <t>BC707549</t>
  </si>
  <si>
    <t>CC282696</t>
  </si>
  <si>
    <t>BC707550</t>
  </si>
  <si>
    <t>CC282705</t>
  </si>
  <si>
    <t>BC707553</t>
  </si>
  <si>
    <t>CC282737</t>
  </si>
  <si>
    <t>BC707554</t>
  </si>
  <si>
    <t>CC282779</t>
  </si>
  <si>
    <t>BC707558</t>
  </si>
  <si>
    <t>CC282797</t>
  </si>
  <si>
    <t>BC707560</t>
  </si>
  <si>
    <t>CC282803</t>
  </si>
  <si>
    <t>BC707562</t>
  </si>
  <si>
    <t>CC282811</t>
  </si>
  <si>
    <t>BC707563</t>
  </si>
  <si>
    <t>CC282816</t>
  </si>
  <si>
    <t>BC707566</t>
  </si>
  <si>
    <t>CC282817</t>
  </si>
  <si>
    <t>BC707567</t>
  </si>
  <si>
    <t>CC282945</t>
  </si>
  <si>
    <t>BC707568</t>
  </si>
  <si>
    <t>CC282964</t>
  </si>
  <si>
    <t>BC707575</t>
  </si>
  <si>
    <t>CC282966</t>
  </si>
  <si>
    <t>BC707589</t>
  </si>
  <si>
    <t>CC282996</t>
  </si>
  <si>
    <t>BC707591</t>
  </si>
  <si>
    <t>CC283005</t>
  </si>
  <si>
    <t>BC707596</t>
  </si>
  <si>
    <t>CC283011</t>
  </si>
  <si>
    <t>BC707864</t>
  </si>
  <si>
    <t>CC283745</t>
  </si>
  <si>
    <t>BC707879</t>
  </si>
  <si>
    <t>CC283747</t>
  </si>
  <si>
    <t>BC707919</t>
  </si>
  <si>
    <t>CC283752</t>
  </si>
  <si>
    <t>BC707979</t>
  </si>
  <si>
    <t>CC283760</t>
  </si>
  <si>
    <t>BC707984</t>
  </si>
  <si>
    <t>CC283774</t>
  </si>
  <si>
    <t>BC708609</t>
  </si>
  <si>
    <t>CC283779</t>
  </si>
  <si>
    <t>BC708610</t>
  </si>
  <si>
    <t>CC283782</t>
  </si>
  <si>
    <t>BC708611</t>
  </si>
  <si>
    <t>CC283785</t>
  </si>
  <si>
    <t>BC708614</t>
  </si>
  <si>
    <t>CC283810</t>
  </si>
  <si>
    <t>BC708619</t>
  </si>
  <si>
    <t>CC283819</t>
  </si>
  <si>
    <t>BC708621</t>
  </si>
  <si>
    <t>CC283834</t>
  </si>
  <si>
    <t>BC708622</t>
  </si>
  <si>
    <t>CC283836</t>
  </si>
  <si>
    <t>BC708623</t>
  </si>
  <si>
    <t>CC283837</t>
  </si>
  <si>
    <t>BC708627</t>
  </si>
  <si>
    <t>CC283844</t>
  </si>
  <si>
    <t>BC708628</t>
  </si>
  <si>
    <t>CC283847</t>
  </si>
  <si>
    <t>BC708635</t>
  </si>
  <si>
    <t>CC283850</t>
  </si>
  <si>
    <t>BC708637</t>
  </si>
  <si>
    <t>CC284020</t>
  </si>
  <si>
    <t>BC708639</t>
  </si>
  <si>
    <t>CC284021</t>
  </si>
  <si>
    <t>BC708640</t>
  </si>
  <si>
    <t>CC284036</t>
  </si>
  <si>
    <t>BC708643</t>
  </si>
  <si>
    <t>CC284048</t>
  </si>
  <si>
    <t>BC708645</t>
  </si>
  <si>
    <t>CC284171</t>
  </si>
  <si>
    <t>BC708648</t>
  </si>
  <si>
    <t>CC284254</t>
  </si>
  <si>
    <t>BC708649</t>
  </si>
  <si>
    <t>CC284255</t>
  </si>
  <si>
    <t>BC708651</t>
  </si>
  <si>
    <t>CC284282</t>
  </si>
  <si>
    <t>BC708657</t>
  </si>
  <si>
    <t>CC284284</t>
  </si>
  <si>
    <t>BC708660</t>
  </si>
  <si>
    <t>CC284295</t>
  </si>
  <si>
    <t>BC708691</t>
  </si>
  <si>
    <t>CC284302</t>
  </si>
  <si>
    <t>BC708694</t>
  </si>
  <si>
    <t>CC284304</t>
  </si>
  <si>
    <t>BC708695</t>
  </si>
  <si>
    <t>CC284306</t>
  </si>
  <si>
    <t>BC708726</t>
  </si>
  <si>
    <t>CC284309</t>
  </si>
  <si>
    <t>BC708761</t>
  </si>
  <si>
    <t>CC284312</t>
  </si>
  <si>
    <t>BC708763</t>
  </si>
  <si>
    <t>CC284393</t>
  </si>
  <si>
    <t>BC708765</t>
  </si>
  <si>
    <t>CC284396</t>
  </si>
  <si>
    <t>BC708766</t>
  </si>
  <si>
    <t>CC284592</t>
  </si>
  <si>
    <t>BC708768</t>
  </si>
  <si>
    <t>CC284624</t>
  </si>
  <si>
    <t>BC708769</t>
  </si>
  <si>
    <t>CC284631</t>
  </si>
  <si>
    <t>BC708770</t>
  </si>
  <si>
    <t>CC284637</t>
  </si>
  <si>
    <t>BC708771</t>
  </si>
  <si>
    <t>CC284642</t>
  </si>
  <si>
    <t>BC708772</t>
  </si>
  <si>
    <t>CC284654</t>
  </si>
  <si>
    <t>BC708773</t>
  </si>
  <si>
    <t>CC284658</t>
  </si>
  <si>
    <t>BC708774</t>
  </si>
  <si>
    <t>CC284662</t>
  </si>
  <si>
    <t>BC708776</t>
  </si>
  <si>
    <t>CC284667</t>
  </si>
  <si>
    <t>BC708830</t>
  </si>
  <si>
    <t>CC284669</t>
  </si>
  <si>
    <t>BC708831</t>
  </si>
  <si>
    <t>CC284684</t>
  </si>
  <si>
    <t>BC708832</t>
  </si>
  <si>
    <t>CC284685</t>
  </si>
  <si>
    <t>BC708833</t>
  </si>
  <si>
    <t>CC284711</t>
  </si>
  <si>
    <t>BC708838</t>
  </si>
  <si>
    <t>CC284728</t>
  </si>
  <si>
    <t>BC708840</t>
  </si>
  <si>
    <t>CC284748</t>
  </si>
  <si>
    <t>BC708841</t>
  </si>
  <si>
    <t>CC284848</t>
  </si>
  <si>
    <t>BC708842</t>
  </si>
  <si>
    <t>CC286563</t>
  </si>
  <si>
    <t>BC708843</t>
  </si>
  <si>
    <t>CC286578</t>
  </si>
  <si>
    <t>BC708844</t>
  </si>
  <si>
    <t>CC286586</t>
  </si>
  <si>
    <t>BC708845</t>
  </si>
  <si>
    <t>CC286597</t>
  </si>
  <si>
    <t>BC708846</t>
  </si>
  <si>
    <t>CC286639</t>
  </si>
  <si>
    <t>BC708847</t>
  </si>
  <si>
    <t>CC286644</t>
  </si>
  <si>
    <t>BC708848</t>
  </si>
  <si>
    <t>CC286662</t>
  </si>
  <si>
    <t>BC708851</t>
  </si>
  <si>
    <t>CC286671</t>
  </si>
  <si>
    <t>BC708855</t>
  </si>
  <si>
    <t>CC286743</t>
  </si>
  <si>
    <t>BC708861</t>
  </si>
  <si>
    <t>CC287007</t>
  </si>
  <si>
    <t>BC708862</t>
  </si>
  <si>
    <t>CC287008</t>
  </si>
  <si>
    <t>BC708864</t>
  </si>
  <si>
    <t>CC287074</t>
  </si>
  <si>
    <t>BC708866</t>
  </si>
  <si>
    <t>CC287090</t>
  </si>
  <si>
    <t>BC708869</t>
  </si>
  <si>
    <t>CC287210</t>
  </si>
  <si>
    <t>BC708872</t>
  </si>
  <si>
    <t>CC287260</t>
  </si>
  <si>
    <t>BC708874</t>
  </si>
  <si>
    <t>CC287262</t>
  </si>
  <si>
    <t>BC708875</t>
  </si>
  <si>
    <t>CC287272</t>
  </si>
  <si>
    <t>BC708877</t>
  </si>
  <si>
    <t>CC287314</t>
  </si>
  <si>
    <t>BC708880</t>
  </si>
  <si>
    <t>CC287347</t>
  </si>
  <si>
    <t>BC708882</t>
  </si>
  <si>
    <t>CC287355</t>
  </si>
  <si>
    <t>BC708885</t>
  </si>
  <si>
    <t>CC287357</t>
  </si>
  <si>
    <t>BC708891</t>
  </si>
  <si>
    <t>CC287373</t>
  </si>
  <si>
    <t>BC708892</t>
  </si>
  <si>
    <t>CC287380</t>
  </si>
  <si>
    <t>BC708893</t>
  </si>
  <si>
    <t>CC287382</t>
  </si>
  <si>
    <t>BC708894</t>
  </si>
  <si>
    <t>CC287627</t>
  </si>
  <si>
    <t>BC708895</t>
  </si>
  <si>
    <t>CC287815</t>
  </si>
  <si>
    <t>BC708896</t>
  </si>
  <si>
    <t>CC287816</t>
  </si>
  <si>
    <t>BC708897</t>
  </si>
  <si>
    <t>CC287818</t>
  </si>
  <si>
    <t>BC708898</t>
  </si>
  <si>
    <t>CC287821</t>
  </si>
  <si>
    <t>BC708899</t>
  </si>
  <si>
    <t>CC287846</t>
  </si>
  <si>
    <t>BC708900</t>
  </si>
  <si>
    <t>CC287866</t>
  </si>
  <si>
    <t>BC709134</t>
  </si>
  <si>
    <t>CC287900</t>
  </si>
  <si>
    <t>BC709204</t>
  </si>
  <si>
    <t>CC288532</t>
  </si>
  <si>
    <t>BC709273</t>
  </si>
  <si>
    <t>CC288533</t>
  </si>
  <si>
    <t>BC709399</t>
  </si>
  <si>
    <t>CC288562</t>
  </si>
  <si>
    <t>BC709406</t>
  </si>
  <si>
    <t>CC288605</t>
  </si>
  <si>
    <t>BC709419</t>
  </si>
  <si>
    <t>CC288681</t>
  </si>
  <si>
    <t>BC709453</t>
  </si>
  <si>
    <t>CC288808</t>
  </si>
  <si>
    <t>BC709507</t>
  </si>
  <si>
    <t>CC288860</t>
  </si>
  <si>
    <t>BC709546</t>
  </si>
  <si>
    <t>CC291289</t>
  </si>
  <si>
    <t>BC709548</t>
  </si>
  <si>
    <t>CC291290</t>
  </si>
  <si>
    <t>BC709551</t>
  </si>
  <si>
    <t>CC291291</t>
  </si>
  <si>
    <t>BC709554</t>
  </si>
  <si>
    <t>CC291293</t>
  </si>
  <si>
    <t>BC709555</t>
  </si>
  <si>
    <t>CC291294</t>
  </si>
  <si>
    <t>BC709556</t>
  </si>
  <si>
    <t>CC291295</t>
  </si>
  <si>
    <t>BC709557</t>
  </si>
  <si>
    <t>CC291296</t>
  </si>
  <si>
    <t>BC709561</t>
  </si>
  <si>
    <t>CC291297</t>
  </si>
  <si>
    <t>BC709566</t>
  </si>
  <si>
    <t>CC291299</t>
  </si>
  <si>
    <t>BC709569</t>
  </si>
  <si>
    <t>CC291302</t>
  </si>
  <si>
    <t>BC709570</t>
  </si>
  <si>
    <t>CC291305</t>
  </si>
  <si>
    <t>BC709574</t>
  </si>
  <si>
    <t>CC291500</t>
  </si>
  <si>
    <t>BC709575</t>
  </si>
  <si>
    <t>CC291514</t>
  </si>
  <si>
    <t>BC709576</t>
  </si>
  <si>
    <t>CC291522</t>
  </si>
  <si>
    <t>BC709581</t>
  </si>
  <si>
    <t>CC292297</t>
  </si>
  <si>
    <t>BC709584</t>
  </si>
  <si>
    <t>CC292300</t>
  </si>
  <si>
    <t>BC709585</t>
  </si>
  <si>
    <t>CC292450</t>
  </si>
  <si>
    <t>BC709591</t>
  </si>
  <si>
    <t>CC292455</t>
  </si>
  <si>
    <t>BC709601</t>
  </si>
  <si>
    <t>CC292494</t>
  </si>
  <si>
    <t>BC709602</t>
  </si>
  <si>
    <t>CC292502</t>
  </si>
  <si>
    <t>BC709604</t>
  </si>
  <si>
    <t>CC292799</t>
  </si>
  <si>
    <t>BC709809</t>
  </si>
  <si>
    <t>CC292822</t>
  </si>
  <si>
    <t>BC709810</t>
  </si>
  <si>
    <t>CC292839</t>
  </si>
  <si>
    <t>BC709811</t>
  </si>
  <si>
    <t>CC292858</t>
  </si>
  <si>
    <t>BC709812</t>
  </si>
  <si>
    <t>CC292860</t>
  </si>
  <si>
    <t>BC709813</t>
  </si>
  <si>
    <t>CC293378</t>
  </si>
  <si>
    <t>BC709814</t>
  </si>
  <si>
    <t>CC293382</t>
  </si>
  <si>
    <t>BC709815</t>
  </si>
  <si>
    <t>CC293415</t>
  </si>
  <si>
    <t>BC709816</t>
  </si>
  <si>
    <t>CC293431</t>
  </si>
  <si>
    <t>BC709817</t>
  </si>
  <si>
    <t>BC709818</t>
  </si>
  <si>
    <t>BC709820</t>
  </si>
  <si>
    <t>BC709821</t>
  </si>
  <si>
    <t>BC709822</t>
  </si>
  <si>
    <t>BC709823</t>
  </si>
  <si>
    <t>BC709824</t>
  </si>
  <si>
    <t>BC709826</t>
  </si>
  <si>
    <t>BC709827</t>
  </si>
  <si>
    <t>BC709828</t>
  </si>
  <si>
    <t>BC709829</t>
  </si>
  <si>
    <t>BC709830</t>
  </si>
  <si>
    <t>BC709831</t>
  </si>
  <si>
    <t>BC709865</t>
  </si>
  <si>
    <t>BC709867</t>
  </si>
  <si>
    <t>BC709869</t>
  </si>
  <si>
    <t>BC709870</t>
  </si>
  <si>
    <t>BC709913</t>
  </si>
  <si>
    <t>BC709968</t>
  </si>
  <si>
    <t>BC709969</t>
  </si>
  <si>
    <t>BC709970</t>
  </si>
  <si>
    <t>BC709971</t>
  </si>
  <si>
    <t>BC709972</t>
  </si>
  <si>
    <t>BC709974</t>
  </si>
  <si>
    <t>BC709975</t>
  </si>
  <si>
    <t>BC709976</t>
  </si>
  <si>
    <t>BC709977</t>
  </si>
  <si>
    <t>BC709978</t>
  </si>
  <si>
    <t>BC709980</t>
  </si>
  <si>
    <t>BC709981</t>
  </si>
  <si>
    <t>BC710584</t>
  </si>
  <si>
    <t>BC710585</t>
  </si>
  <si>
    <t>BC710586</t>
  </si>
  <si>
    <t>BC710593</t>
  </si>
  <si>
    <t>BC710729</t>
  </si>
  <si>
    <t>BC710957</t>
  </si>
  <si>
    <t>BC710972</t>
  </si>
  <si>
    <t>BC710973</t>
  </si>
  <si>
    <t>BC710974</t>
  </si>
  <si>
    <t>BC710975</t>
  </si>
  <si>
    <t>BC710977</t>
  </si>
  <si>
    <t>BC710978</t>
  </si>
  <si>
    <t>BC710979</t>
  </si>
  <si>
    <t>BC710981</t>
  </si>
  <si>
    <t>BC710982</t>
  </si>
  <si>
    <t>BC710983</t>
  </si>
  <si>
    <t>BC710984</t>
  </si>
  <si>
    <t>BC710986</t>
  </si>
  <si>
    <t>BC710987</t>
  </si>
  <si>
    <t>BC710989</t>
  </si>
  <si>
    <t>BC710990</t>
  </si>
  <si>
    <t>BC710991</t>
  </si>
  <si>
    <t>BC710992</t>
  </si>
  <si>
    <t>BC711041</t>
  </si>
  <si>
    <t>BC711045</t>
  </si>
  <si>
    <t>BC711048</t>
  </si>
  <si>
    <t>BC711110</t>
  </si>
  <si>
    <t>BC711346</t>
  </si>
  <si>
    <t>BC711667</t>
  </si>
  <si>
    <t>BC711668</t>
  </si>
  <si>
    <t>BC711671</t>
  </si>
  <si>
    <t>BC711675</t>
  </si>
  <si>
    <t>BC711678</t>
  </si>
  <si>
    <t>BC711682</t>
  </si>
  <si>
    <t>BC711684</t>
  </si>
  <si>
    <t>BC711686</t>
  </si>
  <si>
    <t>BC711689</t>
  </si>
  <si>
    <t>BC711692</t>
  </si>
  <si>
    <t>BC711697</t>
  </si>
  <si>
    <t>BC711703</t>
  </si>
  <si>
    <t>BC711704</t>
  </si>
  <si>
    <t>BC711712</t>
  </si>
  <si>
    <t>BC711714</t>
  </si>
  <si>
    <t>BC711715</t>
  </si>
  <si>
    <t>BC711717</t>
  </si>
  <si>
    <t>BC711718</t>
  </si>
  <si>
    <t>BC711719</t>
  </si>
  <si>
    <t>BC711721</t>
  </si>
  <si>
    <t>BC711722</t>
  </si>
  <si>
    <t>BC711724</t>
  </si>
  <si>
    <t>BC711725</t>
  </si>
  <si>
    <t>BC711727</t>
  </si>
  <si>
    <t>BC711731</t>
  </si>
  <si>
    <t>BC711732</t>
  </si>
  <si>
    <t>BC711733</t>
  </si>
  <si>
    <t>BC711735</t>
  </si>
  <si>
    <t>BC711763</t>
  </si>
  <si>
    <t>BC711764</t>
  </si>
  <si>
    <t>BC711766</t>
  </si>
  <si>
    <t>BC711769</t>
  </si>
  <si>
    <t>BC711770</t>
  </si>
  <si>
    <t>BC711916</t>
  </si>
  <si>
    <t>BC711917</t>
  </si>
  <si>
    <t>BC711918</t>
  </si>
  <si>
    <t>BC711919</t>
  </si>
  <si>
    <t>BC711920</t>
  </si>
  <si>
    <t>BC711922</t>
  </si>
  <si>
    <t>BC711925</t>
  </si>
  <si>
    <t>BC711927</t>
  </si>
  <si>
    <t>BC711928</t>
  </si>
  <si>
    <t>BC711930</t>
  </si>
  <si>
    <t>BC711931</t>
  </si>
  <si>
    <t>BC711935</t>
  </si>
  <si>
    <t>BC711936</t>
  </si>
  <si>
    <t>BC711939</t>
  </si>
  <si>
    <t>BC711940</t>
  </si>
  <si>
    <t>BC711941</t>
  </si>
  <si>
    <t>BC711942</t>
  </si>
  <si>
    <t>BC711943</t>
  </si>
  <si>
    <t>BC711944</t>
  </si>
  <si>
    <t>BC711945</t>
  </si>
  <si>
    <t>BC711949</t>
  </si>
  <si>
    <t>BC711952</t>
  </si>
  <si>
    <t>BC711953</t>
  </si>
  <si>
    <t>BC711963</t>
  </si>
  <si>
    <t>BC711972</t>
  </si>
  <si>
    <t>BC711974</t>
  </si>
  <si>
    <t>BC711976</t>
  </si>
  <si>
    <t>BC712573</t>
  </si>
  <si>
    <t>BC712574</t>
  </si>
  <si>
    <t>BC712580</t>
  </si>
  <si>
    <t>BC712585</t>
  </si>
  <si>
    <t>BC712586</t>
  </si>
  <si>
    <t>BC712587</t>
  </si>
  <si>
    <t>BC712590</t>
  </si>
  <si>
    <t>BC712592</t>
  </si>
  <si>
    <t>BC712595</t>
  </si>
  <si>
    <t>BC712599</t>
  </si>
  <si>
    <t>BC712600</t>
  </si>
  <si>
    <t>BC712606</t>
  </si>
  <si>
    <t>BC712607</t>
  </si>
  <si>
    <t>BC712608</t>
  </si>
  <si>
    <t>BC712609</t>
  </si>
  <si>
    <t>BC712610</t>
  </si>
  <si>
    <t>BC712611</t>
  </si>
  <si>
    <t>BC712612</t>
  </si>
  <si>
    <t>BC712791</t>
  </si>
  <si>
    <t>BC712883</t>
  </si>
  <si>
    <t>BC712972</t>
  </si>
  <si>
    <t>BC712973</t>
  </si>
  <si>
    <t>BC712974</t>
  </si>
  <si>
    <t>BC712975</t>
  </si>
  <si>
    <t>BC712976</t>
  </si>
  <si>
    <t>BC712977</t>
  </si>
  <si>
    <t>BC712979</t>
  </si>
  <si>
    <t>BC712981</t>
  </si>
  <si>
    <t>BC712983</t>
  </si>
  <si>
    <t>BC712984</t>
  </si>
  <si>
    <t>BC712985</t>
  </si>
  <si>
    <t>BC712986</t>
  </si>
  <si>
    <t>BC712989</t>
  </si>
  <si>
    <t>BC712991</t>
  </si>
  <si>
    <t>BC712995</t>
  </si>
  <si>
    <t>BC713001</t>
  </si>
  <si>
    <t>BC713005</t>
  </si>
  <si>
    <t>BC713007</t>
  </si>
  <si>
    <t>BC713010</t>
  </si>
  <si>
    <t>BC713012</t>
  </si>
  <si>
    <t>BC713018</t>
  </si>
  <si>
    <t>BC713021</t>
  </si>
  <si>
    <t>BC713025</t>
  </si>
  <si>
    <t>BC713029</t>
  </si>
  <si>
    <t>BC713032</t>
  </si>
  <si>
    <t>BC713038</t>
  </si>
  <si>
    <t>BC713042</t>
  </si>
  <si>
    <t>BC713044</t>
  </si>
  <si>
    <t>BC713046</t>
  </si>
  <si>
    <t>BC713048</t>
  </si>
  <si>
    <t>BC713061</t>
  </si>
  <si>
    <t>BC713072</t>
  </si>
  <si>
    <t>BC713089</t>
  </si>
  <si>
    <t>BC713481</t>
  </si>
  <si>
    <t>BC713668</t>
  </si>
  <si>
    <t>BC713670</t>
  </si>
  <si>
    <t>BC713671</t>
  </si>
  <si>
    <t>BC713673</t>
  </si>
  <si>
    <t>BC713675</t>
  </si>
  <si>
    <t>BC713677</t>
  </si>
  <si>
    <t>BC713678</t>
  </si>
  <si>
    <t>BC713679</t>
  </si>
  <si>
    <t>BC713680</t>
  </si>
  <si>
    <t>BC713681</t>
  </si>
  <si>
    <t>BC713682</t>
  </si>
  <si>
    <t>BC713683</t>
  </si>
  <si>
    <t>BC713685</t>
  </si>
  <si>
    <t>BC713686</t>
  </si>
  <si>
    <t>BC713687</t>
  </si>
  <si>
    <t>BC713689</t>
  </si>
  <si>
    <t>BC713691</t>
  </si>
  <si>
    <t>BC713692</t>
  </si>
  <si>
    <t>BC713693</t>
  </si>
  <si>
    <t>BC713694</t>
  </si>
  <si>
    <t>BC713695</t>
  </si>
  <si>
    <t>BC713696</t>
  </si>
  <si>
    <t>BC713697</t>
  </si>
  <si>
    <t>BC713698</t>
  </si>
  <si>
    <t>BC713699</t>
  </si>
  <si>
    <t>BC713700</t>
  </si>
  <si>
    <t>BC713702</t>
  </si>
  <si>
    <t>BC713703</t>
  </si>
  <si>
    <t>BC713706</t>
  </si>
  <si>
    <t>BC713707</t>
  </si>
  <si>
    <t>BC713708</t>
  </si>
  <si>
    <t>BC713710</t>
  </si>
  <si>
    <t>BC713712</t>
  </si>
  <si>
    <t>BC713713</t>
  </si>
  <si>
    <t>BC713715</t>
  </si>
  <si>
    <t>BC713717</t>
  </si>
  <si>
    <t>BC713718</t>
  </si>
  <si>
    <t>BC713721</t>
  </si>
  <si>
    <t>BC713722</t>
  </si>
  <si>
    <t>BC713724</t>
  </si>
  <si>
    <t>BC713726</t>
  </si>
  <si>
    <t>BC713727</t>
  </si>
  <si>
    <t>BC713728</t>
  </si>
  <si>
    <t>BC713730</t>
  </si>
  <si>
    <t>BC713731</t>
  </si>
  <si>
    <t>BC713733</t>
  </si>
  <si>
    <t>BC713735</t>
  </si>
  <si>
    <t>BC713736</t>
  </si>
  <si>
    <t>BC713737</t>
  </si>
  <si>
    <t>BC713739</t>
  </si>
  <si>
    <t>BC713744</t>
  </si>
  <si>
    <t>BC713748</t>
  </si>
  <si>
    <t>BC713750</t>
  </si>
  <si>
    <t>BC713753</t>
  </si>
  <si>
    <t>BC713827</t>
  </si>
  <si>
    <t>BC713829</t>
  </si>
  <si>
    <t>BC713830</t>
  </si>
  <si>
    <t>BC713832</t>
  </si>
  <si>
    <t>BC713833</t>
  </si>
  <si>
    <t>BC713834</t>
  </si>
  <si>
    <t>BC713835</t>
  </si>
  <si>
    <t>BC713837</t>
  </si>
  <si>
    <t>BC713838</t>
  </si>
  <si>
    <t>BC713839</t>
  </si>
  <si>
    <t>BC713840</t>
  </si>
  <si>
    <t>BC713841</t>
  </si>
  <si>
    <t>BC713842</t>
  </si>
  <si>
    <t>BC713843</t>
  </si>
  <si>
    <t>BC713846</t>
  </si>
  <si>
    <t>BC713848</t>
  </si>
  <si>
    <t>BC713852</t>
  </si>
  <si>
    <t>BC713853</t>
  </si>
  <si>
    <t>BC713858</t>
  </si>
  <si>
    <t>BC713862</t>
  </si>
  <si>
    <t>BC713866</t>
  </si>
  <si>
    <t>BC713872</t>
  </si>
  <si>
    <t>BC713929</t>
  </si>
  <si>
    <t>BC713939</t>
  </si>
  <si>
    <t>BC713941</t>
  </si>
  <si>
    <t>BC713943</t>
  </si>
  <si>
    <t>BC713949</t>
  </si>
  <si>
    <t>BC713950</t>
  </si>
  <si>
    <t>BC713951</t>
  </si>
  <si>
    <t>BC713953</t>
  </si>
  <si>
    <t>BC713954</t>
  </si>
  <si>
    <t>BC713955</t>
  </si>
  <si>
    <t>BC713956</t>
  </si>
  <si>
    <t>BC713957</t>
  </si>
  <si>
    <t>BC713959</t>
  </si>
  <si>
    <t>BC713960</t>
  </si>
  <si>
    <t>BC713961</t>
  </si>
  <si>
    <t>BC713962</t>
  </si>
  <si>
    <t>BC713963</t>
  </si>
  <si>
    <t>BC713964</t>
  </si>
  <si>
    <t>BC713966</t>
  </si>
  <si>
    <t>BC713967</t>
  </si>
  <si>
    <t>BC713968</t>
  </si>
  <si>
    <t>BC714138</t>
  </si>
  <si>
    <t>BC714192</t>
  </si>
  <si>
    <t>BC714217</t>
  </si>
  <si>
    <t>BC714680</t>
  </si>
  <si>
    <t>BC714681</t>
  </si>
  <si>
    <t>BC714682</t>
  </si>
  <si>
    <t>BC714683</t>
  </si>
  <si>
    <t>BC714684</t>
  </si>
  <si>
    <t>BC714685</t>
  </si>
  <si>
    <t>BC714686</t>
  </si>
  <si>
    <t>BC714687</t>
  </si>
  <si>
    <t>BC714688</t>
  </si>
  <si>
    <t>BC714689</t>
  </si>
  <si>
    <t>BC714690</t>
  </si>
  <si>
    <t>BC714691</t>
  </si>
  <si>
    <t>BC714692</t>
  </si>
  <si>
    <t>BC714693</t>
  </si>
  <si>
    <t>BC714694</t>
  </si>
  <si>
    <t>BC714695</t>
  </si>
  <si>
    <t>BC714696</t>
  </si>
  <si>
    <t>BC714697</t>
  </si>
  <si>
    <t>BC714699</t>
  </si>
  <si>
    <t>BC714700</t>
  </si>
  <si>
    <t>BC714701</t>
  </si>
  <si>
    <t>BC714702</t>
  </si>
  <si>
    <t>BC714703</t>
  </si>
  <si>
    <t>BC714704</t>
  </si>
  <si>
    <t>BC714705</t>
  </si>
  <si>
    <t>BC714706</t>
  </si>
  <si>
    <t>BC714707</t>
  </si>
  <si>
    <t>BC714708</t>
  </si>
  <si>
    <t>BC714709</t>
  </si>
  <si>
    <t>BC714710</t>
  </si>
  <si>
    <t>BC714711</t>
  </si>
  <si>
    <t>BC714712</t>
  </si>
  <si>
    <t>BC714713</t>
  </si>
  <si>
    <t>BC714714</t>
  </si>
  <si>
    <t>BC714715</t>
  </si>
  <si>
    <t>BC714716</t>
  </si>
  <si>
    <t>BC714717</t>
  </si>
  <si>
    <t>BC714718</t>
  </si>
  <si>
    <t>BC714719</t>
  </si>
  <si>
    <t>BC714932</t>
  </si>
  <si>
    <t>BC714986</t>
  </si>
  <si>
    <t>BC715128</t>
  </si>
  <si>
    <t>BC715221</t>
  </si>
  <si>
    <t>BC715226</t>
  </si>
  <si>
    <t>BC715231</t>
  </si>
  <si>
    <t>BC715248</t>
  </si>
  <si>
    <t>BC715292</t>
  </si>
  <si>
    <t>BC715294</t>
  </si>
  <si>
    <t>BC715296</t>
  </si>
  <si>
    <t>BC715297</t>
  </si>
  <si>
    <t>BC715299</t>
  </si>
  <si>
    <t>BC715303</t>
  </si>
  <si>
    <t>BC715304</t>
  </si>
  <si>
    <t>BC715305</t>
  </si>
  <si>
    <t>BC715307</t>
  </si>
  <si>
    <t>BC715308</t>
  </si>
  <si>
    <t>BC715309</t>
  </si>
  <si>
    <t>BC715311</t>
  </si>
  <si>
    <t>BC715312</t>
  </si>
  <si>
    <t>BC715313</t>
  </si>
  <si>
    <t>BC715314</t>
  </si>
  <si>
    <t>BC715316</t>
  </si>
  <si>
    <t>BC715319</t>
  </si>
  <si>
    <t>BC715320</t>
  </si>
  <si>
    <t>BC715323</t>
  </si>
  <si>
    <t>BC715324</t>
  </si>
  <si>
    <t>BC715326</t>
  </si>
  <si>
    <t>BC715329</t>
  </si>
  <si>
    <t>BC715330</t>
  </si>
  <si>
    <t>BC715431</t>
  </si>
  <si>
    <t>BC715433</t>
  </si>
  <si>
    <t>BC715434</t>
  </si>
  <si>
    <t>BC715435</t>
  </si>
  <si>
    <t>BC715437</t>
  </si>
  <si>
    <t>BC715444</t>
  </si>
  <si>
    <t>BC715842</t>
  </si>
  <si>
    <t>BC715843</t>
  </si>
  <si>
    <t>BC715844</t>
  </si>
  <si>
    <t>BC715845</t>
  </si>
  <si>
    <t>BC715846</t>
  </si>
  <si>
    <t>BC715847</t>
  </si>
  <si>
    <t>BC715848</t>
  </si>
  <si>
    <t>BC715849</t>
  </si>
  <si>
    <t>BC715850</t>
  </si>
  <si>
    <t>BC715851</t>
  </si>
  <si>
    <t>BC715858</t>
  </si>
  <si>
    <t>BC715859</t>
  </si>
  <si>
    <t>BC715860</t>
  </si>
  <si>
    <t>BC715861</t>
  </si>
  <si>
    <t>BC715862</t>
  </si>
  <si>
    <t>BC715863</t>
  </si>
  <si>
    <t>BC715864</t>
  </si>
  <si>
    <t>BC716399</t>
  </si>
  <si>
    <t>BC716402</t>
  </si>
  <si>
    <t>BC716403</t>
  </si>
  <si>
    <t>BC716408</t>
  </si>
  <si>
    <t>BC716410</t>
  </si>
  <si>
    <t>BC716415</t>
  </si>
  <si>
    <t>BC716431</t>
  </si>
  <si>
    <t>BC716438</t>
  </si>
  <si>
    <t>BC716439</t>
  </si>
  <si>
    <t>BC716443</t>
  </si>
  <si>
    <t>BC716446</t>
  </si>
  <si>
    <t>BC716452</t>
  </si>
  <si>
    <t>BC716453</t>
  </si>
  <si>
    <t>BC716460</t>
  </si>
  <si>
    <t>BC716462</t>
  </si>
  <si>
    <t>BC716491</t>
  </si>
  <si>
    <t>BC716499</t>
  </si>
  <si>
    <t>BC716500</t>
  </si>
  <si>
    <t>BC716504</t>
  </si>
  <si>
    <t>BC716915</t>
  </si>
  <si>
    <t>BC716923</t>
  </si>
  <si>
    <t>BC717041</t>
  </si>
  <si>
    <t>BC717042</t>
  </si>
  <si>
    <t>BC717043</t>
  </si>
  <si>
    <t>BC717045</t>
  </si>
  <si>
    <t>BC717049</t>
  </si>
  <si>
    <t>BC717050</t>
  </si>
  <si>
    <t>BC717051</t>
  </si>
  <si>
    <t>BC717053</t>
  </si>
  <si>
    <t>BC717054</t>
  </si>
  <si>
    <t>BC717056</t>
  </si>
  <si>
    <t>BC717060</t>
  </si>
  <si>
    <t>BC717061</t>
  </si>
  <si>
    <t>BC717062</t>
  </si>
  <si>
    <t>BC717064</t>
  </si>
  <si>
    <t>BC717068</t>
  </si>
  <si>
    <t>BC717069</t>
  </si>
  <si>
    <t>BC717074</t>
  </si>
  <si>
    <t>BC717080</t>
  </si>
  <si>
    <t>BC717083</t>
  </si>
  <si>
    <t>BC717099</t>
  </si>
  <si>
    <t>BC717101</t>
  </si>
  <si>
    <t>BC717106</t>
  </si>
  <si>
    <t>BC717107</t>
  </si>
  <si>
    <t>BC717109</t>
  </si>
  <si>
    <t>BC717111</t>
  </si>
  <si>
    <t>BC717114</t>
  </si>
  <si>
    <t>BC717115</t>
  </si>
  <si>
    <t>BC717225</t>
  </si>
  <si>
    <t>BC717227</t>
  </si>
  <si>
    <t>BC717229</t>
  </si>
  <si>
    <t>BC717231</t>
  </si>
  <si>
    <t>BC717257</t>
  </si>
  <si>
    <t>BC717258</t>
  </si>
  <si>
    <t>BC717261</t>
  </si>
  <si>
    <t>BC717265</t>
  </si>
  <si>
    <t>BC717281</t>
  </si>
  <si>
    <t>BC717284</t>
  </si>
  <si>
    <t>BC717286</t>
  </si>
  <si>
    <t>BC717289</t>
  </si>
  <si>
    <t>BC717290</t>
  </si>
  <si>
    <t>BC717304</t>
  </si>
  <si>
    <t>BC717306</t>
  </si>
  <si>
    <t>BC717312</t>
  </si>
  <si>
    <t>BC717314</t>
  </si>
  <si>
    <t>BC717319</t>
  </si>
  <si>
    <t>BC717321</t>
  </si>
  <si>
    <t>BC717326</t>
  </si>
  <si>
    <t>BC717340</t>
  </si>
  <si>
    <t>BC717474</t>
  </si>
  <si>
    <t>BC717475</t>
  </si>
  <si>
    <t>BC717476</t>
  </si>
  <si>
    <t>BC717477</t>
  </si>
  <si>
    <t>BC717478</t>
  </si>
  <si>
    <t>BC717479</t>
  </si>
  <si>
    <t>BC717480</t>
  </si>
  <si>
    <t>BC717481</t>
  </si>
  <si>
    <t>BC717482</t>
  </si>
  <si>
    <t>BC717483</t>
  </si>
  <si>
    <t>BC717484</t>
  </si>
  <si>
    <t>BC717485</t>
  </si>
  <si>
    <t>BC717486</t>
  </si>
  <si>
    <t>BC719131</t>
  </si>
  <si>
    <t>BC719280</t>
  </si>
  <si>
    <t>BC719281</t>
  </si>
  <si>
    <t>BC719282</t>
  </si>
  <si>
    <t>BC719283</t>
  </si>
  <si>
    <t>BC719284</t>
  </si>
  <si>
    <t>BC719285</t>
  </si>
  <si>
    <t>BC719289</t>
  </si>
  <si>
    <t>BC719292</t>
  </si>
  <si>
    <t>BC719294</t>
  </si>
  <si>
    <t>BC719295</t>
  </si>
  <si>
    <t>BC719297</t>
  </si>
  <si>
    <t>BC719298</t>
  </si>
  <si>
    <t>BC719299</t>
  </si>
  <si>
    <t>BC719301</t>
  </si>
  <si>
    <t>BC719304</t>
  </si>
  <si>
    <t>BC719305</t>
  </si>
  <si>
    <t>BC719306</t>
  </si>
  <si>
    <t>BC719307</t>
  </si>
  <si>
    <t>BC719308</t>
  </si>
  <si>
    <t>BC719309</t>
  </si>
  <si>
    <t>BC719311</t>
  </si>
  <si>
    <t>BC719312</t>
  </si>
  <si>
    <t>BC719321</t>
  </si>
  <si>
    <t>BC719326</t>
  </si>
  <si>
    <t>BC719329</t>
  </si>
  <si>
    <t>BC719332</t>
  </si>
  <si>
    <t>BC719349</t>
  </si>
  <si>
    <t>BC719351</t>
  </si>
  <si>
    <t>BC719356</t>
  </si>
  <si>
    <t>BC719358</t>
  </si>
  <si>
    <t>BC719363</t>
  </si>
  <si>
    <t>BC719364</t>
  </si>
  <si>
    <t>BC719366</t>
  </si>
  <si>
    <t>BC719368</t>
  </si>
  <si>
    <t>BC719370</t>
  </si>
  <si>
    <t>BC719373</t>
  </si>
  <si>
    <t>BC719374</t>
  </si>
  <si>
    <t>BC719376</t>
  </si>
  <si>
    <t>BC719378</t>
  </si>
  <si>
    <t>BC719380</t>
  </si>
  <si>
    <t>BC719381</t>
  </si>
  <si>
    <t>BC719383</t>
  </si>
  <si>
    <t>BC719385</t>
  </si>
  <si>
    <t>BC719387</t>
  </si>
  <si>
    <t>BC719388</t>
  </si>
  <si>
    <t>BC719391</t>
  </si>
  <si>
    <t>BC720056</t>
  </si>
  <si>
    <t>BC720057</t>
  </si>
  <si>
    <t>BC720058</t>
  </si>
  <si>
    <t>BC720060</t>
  </si>
  <si>
    <t>BC720061</t>
  </si>
  <si>
    <t>BC720062</t>
  </si>
  <si>
    <t>BC720065</t>
  </si>
  <si>
    <t>BC720066</t>
  </si>
  <si>
    <t>BC720067</t>
  </si>
  <si>
    <t>BC720068</t>
  </si>
  <si>
    <t>BC720072</t>
  </si>
  <si>
    <t>BC720077</t>
  </si>
  <si>
    <t>BC720078</t>
  </si>
  <si>
    <t>BC720081</t>
  </si>
  <si>
    <t>BC720082</t>
  </si>
  <si>
    <t>BC720083</t>
  </si>
  <si>
    <t>BC720087</t>
  </si>
  <si>
    <t>BC720089</t>
  </si>
  <si>
    <t>BC720090</t>
  </si>
  <si>
    <t>BC720091</t>
  </si>
  <si>
    <t>BC720094</t>
  </si>
  <si>
    <t>BC720095</t>
  </si>
  <si>
    <t>BC720097</t>
  </si>
  <si>
    <t>BC720099</t>
  </si>
  <si>
    <t>BC720107</t>
  </si>
  <si>
    <t>BC720999</t>
  </si>
  <si>
    <t>BC721000</t>
  </si>
  <si>
    <t>BC721001</t>
  </si>
  <si>
    <t>BC721002</t>
  </si>
  <si>
    <t>BC721003</t>
  </si>
  <si>
    <t>BC721004</t>
  </si>
  <si>
    <t>BC721005</t>
  </si>
  <si>
    <t>BC721006</t>
  </si>
  <si>
    <t>BC721007</t>
  </si>
  <si>
    <t>BC721008</t>
  </si>
  <si>
    <t>BC721009</t>
  </si>
  <si>
    <t>BC721010</t>
  </si>
  <si>
    <t>BC721011</t>
  </si>
  <si>
    <t>BC721012</t>
  </si>
  <si>
    <t>BC721014</t>
  </si>
  <si>
    <t>BC721015</t>
  </si>
  <si>
    <t>BC721016</t>
  </si>
  <si>
    <t>BC721017</t>
  </si>
  <si>
    <t>BC721018</t>
  </si>
  <si>
    <t>BC721019</t>
  </si>
  <si>
    <t>BC721020</t>
  </si>
  <si>
    <t>BC721021</t>
  </si>
  <si>
    <t>BC721022</t>
  </si>
  <si>
    <t>BC721023</t>
  </si>
  <si>
    <t>BC721024</t>
  </si>
  <si>
    <t>BC721025</t>
  </si>
  <si>
    <t>BC721026</t>
  </si>
  <si>
    <t>BC721027</t>
  </si>
  <si>
    <t>BC721028</t>
  </si>
  <si>
    <t>BC721029</t>
  </si>
  <si>
    <t>BC721031</t>
  </si>
  <si>
    <t>BC721032</t>
  </si>
  <si>
    <t>BC721033</t>
  </si>
  <si>
    <t>BC721034</t>
  </si>
  <si>
    <t>BC721035</t>
  </si>
  <si>
    <t>BC721036</t>
  </si>
  <si>
    <t>BC721037</t>
  </si>
  <si>
    <t>BC721038</t>
  </si>
  <si>
    <t>BC721047</t>
  </si>
  <si>
    <t>BC721048</t>
  </si>
  <si>
    <t>BC721049</t>
  </si>
  <si>
    <t>BC721050</t>
  </si>
  <si>
    <t>BC721052</t>
  </si>
  <si>
    <t>BC721053</t>
  </si>
  <si>
    <t>BC721054</t>
  </si>
  <si>
    <t>BC721055</t>
  </si>
  <si>
    <t>BC721056</t>
  </si>
  <si>
    <t>BC721057</t>
  </si>
  <si>
    <t>BC721058</t>
  </si>
  <si>
    <t>BC721059</t>
  </si>
  <si>
    <t>BC721060</t>
  </si>
  <si>
    <t>BC721061</t>
  </si>
  <si>
    <t>BC721062</t>
  </si>
  <si>
    <t>BC721063</t>
  </si>
  <si>
    <t>BC721064</t>
  </si>
  <si>
    <t>BC721065</t>
  </si>
  <si>
    <t>BC721066</t>
  </si>
  <si>
    <t>BC721067</t>
  </si>
  <si>
    <t>BC721068</t>
  </si>
  <si>
    <t>BC721069</t>
  </si>
  <si>
    <t>BC721070</t>
  </si>
  <si>
    <t>BC721071</t>
  </si>
  <si>
    <t>BC721072</t>
  </si>
  <si>
    <t>BC721073</t>
  </si>
  <si>
    <t>BC721074</t>
  </si>
  <si>
    <t>BC721075</t>
  </si>
  <si>
    <t>BC721076</t>
  </si>
  <si>
    <t>BC721077</t>
  </si>
  <si>
    <t>BC721080</t>
  </si>
  <si>
    <t>BC721081</t>
  </si>
  <si>
    <t>BC721082</t>
  </si>
  <si>
    <t>BC721083</t>
  </si>
  <si>
    <t>BC721084</t>
  </si>
  <si>
    <t>BC721085</t>
  </si>
  <si>
    <t>BC721086</t>
  </si>
  <si>
    <t>BC721087</t>
  </si>
  <si>
    <t>BC721088</t>
  </si>
  <si>
    <t>BC721089</t>
  </si>
  <si>
    <t>BC721090</t>
  </si>
  <si>
    <t>BC721091</t>
  </si>
  <si>
    <t>BC721093</t>
  </si>
  <si>
    <t>BC721095</t>
  </si>
  <si>
    <t>BC721338</t>
  </si>
  <si>
    <t>BC721379</t>
  </si>
  <si>
    <t>BC721445</t>
  </si>
  <si>
    <t>BC721502</t>
  </si>
  <si>
    <t>BC721504</t>
  </si>
  <si>
    <t>BC721520</t>
  </si>
  <si>
    <t>BC721521</t>
  </si>
  <si>
    <t>BC721526</t>
  </si>
  <si>
    <t>BC721628</t>
  </si>
  <si>
    <t>BC721756</t>
  </si>
  <si>
    <t>BC721758</t>
  </si>
  <si>
    <t>BC721759</t>
  </si>
  <si>
    <t>BC721762</t>
  </si>
  <si>
    <t>BC721763</t>
  </si>
  <si>
    <t>BC721765</t>
  </si>
  <si>
    <t>BC721766</t>
  </si>
  <si>
    <t>BC721768</t>
  </si>
  <si>
    <t>BC721769</t>
  </si>
  <si>
    <t>BC721771</t>
  </si>
  <si>
    <t>BC721772</t>
  </si>
  <si>
    <t>BC721773</t>
  </si>
  <si>
    <t>BC721774</t>
  </si>
  <si>
    <t>BC721775</t>
  </si>
  <si>
    <t>BC721777</t>
  </si>
  <si>
    <t>BC721779</t>
  </si>
  <si>
    <t>BC721780</t>
  </si>
  <si>
    <t>BC721782</t>
  </si>
  <si>
    <t>BC721783</t>
  </si>
  <si>
    <t>BC721784</t>
  </si>
  <si>
    <t>BC721785</t>
  </si>
  <si>
    <t>BC721786</t>
  </si>
  <si>
    <t>BC721787</t>
  </si>
  <si>
    <t>BC721788</t>
  </si>
  <si>
    <t>BC721789</t>
  </si>
  <si>
    <t>BC721790</t>
  </si>
  <si>
    <t>BC721791</t>
  </si>
  <si>
    <t>BC721793</t>
  </si>
  <si>
    <t>BC721794</t>
  </si>
  <si>
    <t>BC721796</t>
  </si>
  <si>
    <t>BC721798</t>
  </si>
  <si>
    <t>BC721799</t>
  </si>
  <si>
    <t>BC721881</t>
  </si>
  <si>
    <t>BC721882</t>
  </si>
  <si>
    <t>BC721885</t>
  </si>
  <si>
    <t>BC721888</t>
  </si>
  <si>
    <t>BC721890</t>
  </si>
  <si>
    <t>BC721892</t>
  </si>
  <si>
    <t>BC721894</t>
  </si>
  <si>
    <t>BC721897</t>
  </si>
  <si>
    <t>BC721903</t>
  </si>
  <si>
    <t>BC721905</t>
  </si>
  <si>
    <t>BC721907</t>
  </si>
  <si>
    <t>BC721908</t>
  </si>
  <si>
    <t>BC721909</t>
  </si>
  <si>
    <t>BC721912</t>
  </si>
  <si>
    <t>BC721913</t>
  </si>
  <si>
    <t>BC721920</t>
  </si>
  <si>
    <t>BC721922</t>
  </si>
  <si>
    <t>BC721923</t>
  </si>
  <si>
    <t>BC721924</t>
  </si>
  <si>
    <t>BC721925</t>
  </si>
  <si>
    <t>BC721926</t>
  </si>
  <si>
    <t>BC721927</t>
  </si>
  <si>
    <t>BC721928</t>
  </si>
  <si>
    <t>BC721931</t>
  </si>
  <si>
    <t>BC721932</t>
  </si>
  <si>
    <t>BC721933</t>
  </si>
  <si>
    <t>BC721934</t>
  </si>
  <si>
    <t>BC722327</t>
  </si>
  <si>
    <t>BC722328</t>
  </si>
  <si>
    <t>BC722329</t>
  </si>
  <si>
    <t>BC722330</t>
  </si>
  <si>
    <t>BC722331</t>
  </si>
  <si>
    <t>BC722332</t>
  </si>
  <si>
    <t>BC722333</t>
  </si>
  <si>
    <t>BC722334</t>
  </si>
  <si>
    <t>BC722335</t>
  </si>
  <si>
    <t>BC722336</t>
  </si>
  <si>
    <t>BC722337</t>
  </si>
  <si>
    <t>BC722338</t>
  </si>
  <si>
    <t>BC722339</t>
  </si>
  <si>
    <t>BC722343</t>
  </si>
  <si>
    <t>BC722344</t>
  </si>
  <si>
    <t>BC722345</t>
  </si>
  <si>
    <t>BC722347</t>
  </si>
  <si>
    <t>BC722349</t>
  </si>
  <si>
    <t>BC722350</t>
  </si>
  <si>
    <t>BC722351</t>
  </si>
  <si>
    <t>BC722352</t>
  </si>
  <si>
    <t>BC722353</t>
  </si>
  <si>
    <t>BC722355</t>
  </si>
  <si>
    <t>BC722356</t>
  </si>
  <si>
    <t>BC722358</t>
  </si>
  <si>
    <t>BC722361</t>
  </si>
  <si>
    <t>BC722362</t>
  </si>
  <si>
    <t>BC722364</t>
  </si>
  <si>
    <t>BC722365</t>
  </si>
  <si>
    <t>BC722369</t>
  </si>
  <si>
    <t>BC722370</t>
  </si>
  <si>
    <t>BC722373</t>
  </si>
  <si>
    <t>BC722375</t>
  </si>
  <si>
    <t>BC722378</t>
  </si>
  <si>
    <t>BC722381</t>
  </si>
  <si>
    <t>BC722383</t>
  </si>
  <si>
    <t>BC722384</t>
  </si>
  <si>
    <t>BC722386</t>
  </si>
  <si>
    <t>BC722392</t>
  </si>
  <si>
    <t>BC722393</t>
  </si>
  <si>
    <t>BC722394</t>
  </si>
  <si>
    <t>BC722395</t>
  </si>
  <si>
    <t>BC722396</t>
  </si>
  <si>
    <t>BC722397</t>
  </si>
  <si>
    <t>BC722399</t>
  </si>
  <si>
    <t>BC722401</t>
  </si>
  <si>
    <t>BC722402</t>
  </si>
  <si>
    <t>BC722403</t>
  </si>
  <si>
    <t>BC722404</t>
  </si>
  <si>
    <t>BC722405</t>
  </si>
  <si>
    <t>BC722412</t>
  </si>
  <si>
    <t>BC722413</t>
  </si>
  <si>
    <t>BC722422</t>
  </si>
  <si>
    <t>BC722423</t>
  </si>
  <si>
    <t>BC722424</t>
  </si>
  <si>
    <t>BC722426</t>
  </si>
  <si>
    <t>BC722431</t>
  </si>
  <si>
    <t>BC722433</t>
  </si>
  <si>
    <t>BC722435</t>
  </si>
  <si>
    <t>BC722439</t>
  </si>
  <si>
    <t>BC722443</t>
  </si>
  <si>
    <t>BC722444</t>
  </si>
  <si>
    <t>BC722445</t>
  </si>
  <si>
    <t>BC722447</t>
  </si>
  <si>
    <t>BC722448</t>
  </si>
  <si>
    <t>BC722449</t>
  </si>
  <si>
    <t>BC722450</t>
  </si>
  <si>
    <t>BC722460</t>
  </si>
  <si>
    <t>BC722461</t>
  </si>
  <si>
    <t>BC722503</t>
  </si>
  <si>
    <t>BC722506</t>
  </si>
  <si>
    <t>BC722512</t>
  </si>
  <si>
    <t>BC722523</t>
  </si>
  <si>
    <t>BC722565</t>
  </si>
  <si>
    <t>BC722566</t>
  </si>
  <si>
    <t>BC722567</t>
  </si>
  <si>
    <t>BC722568</t>
  </si>
  <si>
    <t>BC722594</t>
  </si>
  <si>
    <t>BC722595</t>
  </si>
  <si>
    <t>BC722596</t>
  </si>
  <si>
    <t>BC722597</t>
  </si>
  <si>
    <t>BC722599</t>
  </si>
  <si>
    <t>BC722600</t>
  </si>
  <si>
    <t>BC722601</t>
  </si>
  <si>
    <t>BC722602</t>
  </si>
  <si>
    <t>BC722604</t>
  </si>
  <si>
    <t>BC722605</t>
  </si>
  <si>
    <t>BC722606</t>
  </si>
  <si>
    <t>BC722607</t>
  </si>
  <si>
    <t>BC722608</t>
  </si>
  <si>
    <t>BC722609</t>
  </si>
  <si>
    <t>BC722610</t>
  </si>
  <si>
    <t>BC722611</t>
  </si>
  <si>
    <t>BC722612</t>
  </si>
  <si>
    <t>BC722614</t>
  </si>
  <si>
    <t>BC722616</t>
  </si>
  <si>
    <t>BC722617</t>
  </si>
  <si>
    <t>BC722618</t>
  </si>
  <si>
    <t>BC722619</t>
  </si>
  <si>
    <t>BC722620</t>
  </si>
  <si>
    <t>BC722621</t>
  </si>
  <si>
    <t>BC722622</t>
  </si>
  <si>
    <t>BC722623</t>
  </si>
  <si>
    <t>BC722624</t>
  </si>
  <si>
    <t>BC722625</t>
  </si>
  <si>
    <t>BC722627</t>
  </si>
  <si>
    <t>BC722628</t>
  </si>
  <si>
    <t>BC722629</t>
  </si>
  <si>
    <t>BC722630</t>
  </si>
  <si>
    <t>BC722631</t>
  </si>
  <si>
    <t>BC722632</t>
  </si>
  <si>
    <t>BC722634</t>
  </si>
  <si>
    <t>BC722635</t>
  </si>
  <si>
    <t>BC722669</t>
  </si>
  <si>
    <t>BC722672</t>
  </si>
  <si>
    <t>BC722675</t>
  </si>
  <si>
    <t>BC722679</t>
  </si>
  <si>
    <t>BC722682</t>
  </si>
  <si>
    <t>BC722683</t>
  </si>
  <si>
    <t>BC722686</t>
  </si>
  <si>
    <t>BC722687</t>
  </si>
  <si>
    <t>BC722691</t>
  </si>
  <si>
    <t>BC722695</t>
  </si>
  <si>
    <t>BC722715</t>
  </si>
  <si>
    <t>BC722716</t>
  </si>
  <si>
    <t>BC722717</t>
  </si>
  <si>
    <t>BC722718</t>
  </si>
  <si>
    <t>BC722719</t>
  </si>
  <si>
    <t>BC722720</t>
  </si>
  <si>
    <t>BC722721</t>
  </si>
  <si>
    <t>BC722722</t>
  </si>
  <si>
    <t>BC722723</t>
  </si>
  <si>
    <t>BC722724</t>
  </si>
  <si>
    <t>BC722725</t>
  </si>
  <si>
    <t>BC722726</t>
  </si>
  <si>
    <t>BC722727</t>
  </si>
  <si>
    <t>BC722728</t>
  </si>
  <si>
    <t>BC722729</t>
  </si>
  <si>
    <t>BC722730</t>
  </si>
  <si>
    <t>BC722731</t>
  </si>
  <si>
    <t>BC722732</t>
  </si>
  <si>
    <t>BC722733</t>
  </si>
  <si>
    <t>BC722734</t>
  </si>
  <si>
    <t>BC722735</t>
  </si>
  <si>
    <t>BC722736</t>
  </si>
  <si>
    <t>BC722737</t>
  </si>
  <si>
    <t>BC722738</t>
  </si>
  <si>
    <t>BC722739</t>
  </si>
  <si>
    <t>BC722740</t>
  </si>
  <si>
    <t>BC722741</t>
  </si>
  <si>
    <t>BC722742</t>
  </si>
  <si>
    <t>BC722743</t>
  </si>
  <si>
    <t>BC722745</t>
  </si>
  <si>
    <t>BC722746</t>
  </si>
  <si>
    <t>BC722747</t>
  </si>
  <si>
    <t>BC722749</t>
  </si>
  <si>
    <t>BC722752</t>
  </si>
  <si>
    <t>BC722753</t>
  </si>
  <si>
    <t>BC722754</t>
  </si>
  <si>
    <t>BC722755</t>
  </si>
  <si>
    <t>BC722756</t>
  </si>
  <si>
    <t>BC722757</t>
  </si>
  <si>
    <t>BC722758</t>
  </si>
  <si>
    <t>BC722759</t>
  </si>
  <si>
    <t>BC722760</t>
  </si>
  <si>
    <t>BC722761</t>
  </si>
  <si>
    <t>BC722763</t>
  </si>
  <si>
    <t>BC722764</t>
  </si>
  <si>
    <t>BC722765</t>
  </si>
  <si>
    <t>BC722767</t>
  </si>
  <si>
    <t>BC722768</t>
  </si>
  <si>
    <t>BC722769</t>
  </si>
  <si>
    <t>BC722770</t>
  </si>
  <si>
    <t>BC722771</t>
  </si>
  <si>
    <t>BC722772</t>
  </si>
  <si>
    <t>BC722773</t>
  </si>
  <si>
    <t>BC722775</t>
  </si>
  <si>
    <t>BC722776</t>
  </si>
  <si>
    <t>BC722777</t>
  </si>
  <si>
    <t>BC722778</t>
  </si>
  <si>
    <t>BC722779</t>
  </si>
  <si>
    <t>BC722780</t>
  </si>
  <si>
    <t>BC722781</t>
  </si>
  <si>
    <t>BC722782</t>
  </si>
  <si>
    <t>BC722783</t>
  </si>
  <si>
    <t>BC722784</t>
  </si>
  <si>
    <t>BC722785</t>
  </si>
  <si>
    <t>BC722786</t>
  </si>
  <si>
    <t>BC722787</t>
  </si>
  <si>
    <t>BC722788</t>
  </si>
  <si>
    <t>BC722789</t>
  </si>
  <si>
    <t>BC722790</t>
  </si>
  <si>
    <t>BC722791</t>
  </si>
  <si>
    <t>BC722792</t>
  </si>
  <si>
    <t>BC722793</t>
  </si>
  <si>
    <t>BC722794</t>
  </si>
  <si>
    <t>BC722795</t>
  </si>
  <si>
    <t>BC722797</t>
  </si>
  <si>
    <t>BC722798</t>
  </si>
  <si>
    <t>BC722799</t>
  </si>
  <si>
    <t>BC722800</t>
  </si>
  <si>
    <t>BC722801</t>
  </si>
  <si>
    <t>BC722802</t>
  </si>
  <si>
    <t>BC722803</t>
  </si>
  <si>
    <t>BC722804</t>
  </si>
  <si>
    <t>BC722805</t>
  </si>
  <si>
    <t>BC722806</t>
  </si>
  <si>
    <t>BC722807</t>
  </si>
  <si>
    <t>BC722808</t>
  </si>
  <si>
    <t>BC722809</t>
  </si>
  <si>
    <t>BC722810</t>
  </si>
  <si>
    <t>BC722812</t>
  </si>
  <si>
    <t>BC722813</t>
  </si>
  <si>
    <t>BC722814</t>
  </si>
  <si>
    <t>BC722815</t>
  </si>
  <si>
    <t>BC722816</t>
  </si>
  <si>
    <t>BC722817</t>
  </si>
  <si>
    <t>BC722818</t>
  </si>
  <si>
    <t>BC722819</t>
  </si>
  <si>
    <t>BC722820</t>
  </si>
  <si>
    <t>BC722821</t>
  </si>
  <si>
    <t>BC722822</t>
  </si>
  <si>
    <t>BC722823</t>
  </si>
  <si>
    <t>BC722826</t>
  </si>
  <si>
    <t>BC722828</t>
  </si>
  <si>
    <t>BC722829</t>
  </si>
  <si>
    <t>BC722831</t>
  </si>
  <si>
    <t>BC722832</t>
  </si>
  <si>
    <t>BC722836</t>
  </si>
  <si>
    <t>BC722840</t>
  </si>
  <si>
    <t>BC723405</t>
  </si>
  <si>
    <t>BC723448</t>
  </si>
  <si>
    <t>BC723452</t>
  </si>
  <si>
    <t>BC723490</t>
  </si>
  <si>
    <t>BC723556</t>
  </si>
  <si>
    <t>BC723889</t>
  </si>
  <si>
    <t>BC723960</t>
  </si>
  <si>
    <t>BC724137</t>
  </si>
  <si>
    <t>BC724138</t>
  </si>
  <si>
    <t>BC724139</t>
  </si>
  <si>
    <t>BC724140</t>
  </si>
  <si>
    <t>BC724141</t>
  </si>
  <si>
    <t>BC724142</t>
  </si>
  <si>
    <t>BC724143</t>
  </si>
  <si>
    <t>BC724144</t>
  </si>
  <si>
    <t>BC724145</t>
  </si>
  <si>
    <t>BC724146</t>
  </si>
  <si>
    <t>BC724147</t>
  </si>
  <si>
    <t>BC724148</t>
  </si>
  <si>
    <t>BC724149</t>
  </si>
  <si>
    <t>BC724150</t>
  </si>
  <si>
    <t>BC724151</t>
  </si>
  <si>
    <t>BC724152</t>
  </si>
  <si>
    <t>BC724153</t>
  </si>
  <si>
    <t>BC724154</t>
  </si>
  <si>
    <t>BC724155</t>
  </si>
  <si>
    <t>BC724156</t>
  </si>
  <si>
    <t>BC724157</t>
  </si>
  <si>
    <t>BC724158</t>
  </si>
  <si>
    <t>BC724159</t>
  </si>
  <si>
    <t>BC724160</t>
  </si>
  <si>
    <t>BC724161</t>
  </si>
  <si>
    <t>BC724162</t>
  </si>
  <si>
    <t>BC724163</t>
  </si>
  <si>
    <t>BC724164</t>
  </si>
  <si>
    <t>BC724165</t>
  </si>
  <si>
    <t>BC724166</t>
  </si>
  <si>
    <t>BC724167</t>
  </si>
  <si>
    <t>BC724168</t>
  </si>
  <si>
    <t>BC724169</t>
  </si>
  <si>
    <t>BC724170</t>
  </si>
  <si>
    <t>BC724171</t>
  </si>
  <si>
    <t>BC724172</t>
  </si>
  <si>
    <t>BC724173</t>
  </si>
  <si>
    <t>BC724174</t>
  </si>
  <si>
    <t>BC724176</t>
  </si>
  <si>
    <t>BC724177</t>
  </si>
  <si>
    <t>BC724178</t>
  </si>
  <si>
    <t>BC724180</t>
  </si>
  <si>
    <t>BC724181</t>
  </si>
  <si>
    <t>BC724182</t>
  </si>
  <si>
    <t>BC724183</t>
  </si>
  <si>
    <t>BC724184</t>
  </si>
  <si>
    <t>BC724185</t>
  </si>
  <si>
    <t>BC724186</t>
  </si>
  <si>
    <t>BC724187</t>
  </si>
  <si>
    <t>BC724188</t>
  </si>
  <si>
    <t>BC724190</t>
  </si>
  <si>
    <t>BC724191</t>
  </si>
  <si>
    <t>BC724192</t>
  </si>
  <si>
    <t>BC724193</t>
  </si>
  <si>
    <t>BC724194</t>
  </si>
  <si>
    <t>BC724195</t>
  </si>
  <si>
    <t>BC724196</t>
  </si>
  <si>
    <t>BC724197</t>
  </si>
  <si>
    <t>BC724252</t>
  </si>
  <si>
    <t>BC724253</t>
  </si>
  <si>
    <t>BC724255</t>
  </si>
  <si>
    <t>BC724256</t>
  </si>
  <si>
    <t>BC724260</t>
  </si>
  <si>
    <t>BC724271</t>
  </si>
  <si>
    <t>BC724272</t>
  </si>
  <si>
    <t>BC724273</t>
  </si>
  <si>
    <t>BC724293</t>
  </si>
  <si>
    <t>BC724410</t>
  </si>
  <si>
    <t>BC724447</t>
  </si>
  <si>
    <t>BC724449</t>
  </si>
  <si>
    <t>BC724451</t>
  </si>
  <si>
    <t>BC724454</t>
  </si>
  <si>
    <t>BC724457</t>
  </si>
  <si>
    <t>BC724458</t>
  </si>
  <si>
    <t>BC724459</t>
  </si>
  <si>
    <t>BC724460</t>
  </si>
  <si>
    <t>BC724461</t>
  </si>
  <si>
    <t>BC724462</t>
  </si>
  <si>
    <t>BC724463</t>
  </si>
  <si>
    <t>BC724464</t>
  </si>
  <si>
    <t>BC724465</t>
  </si>
  <si>
    <t>BC724466</t>
  </si>
  <si>
    <t>BC724467</t>
  </si>
  <si>
    <t>BC724468</t>
  </si>
  <si>
    <t>BC724469</t>
  </si>
  <si>
    <t>BC724470</t>
  </si>
  <si>
    <t>BC724471</t>
  </si>
  <si>
    <t>BC724472</t>
  </si>
  <si>
    <t>BC724473</t>
  </si>
  <si>
    <t>BC724474</t>
  </si>
  <si>
    <t>BC724475</t>
  </si>
  <si>
    <t>BC724520</t>
  </si>
  <si>
    <t>BC724521</t>
  </si>
  <si>
    <t>BC724526</t>
  </si>
  <si>
    <t>BC724531</t>
  </si>
  <si>
    <t>BC724533</t>
  </si>
  <si>
    <t>BC724541</t>
  </si>
  <si>
    <t>BC724544</t>
  </si>
  <si>
    <t>BC724548</t>
  </si>
  <si>
    <t>BC724552</t>
  </si>
  <si>
    <t>BC724555</t>
  </si>
  <si>
    <t>BC724559</t>
  </si>
  <si>
    <t>BC724561</t>
  </si>
  <si>
    <t>BC724568</t>
  </si>
  <si>
    <t>BC724572</t>
  </si>
  <si>
    <t>BC724574</t>
  </si>
  <si>
    <t>BC724577</t>
  </si>
  <si>
    <t>BC724582</t>
  </si>
  <si>
    <t>BC724583</t>
  </si>
  <si>
    <t>BC724584</t>
  </si>
  <si>
    <t>BC724585</t>
  </si>
  <si>
    <t>BC724586</t>
  </si>
  <si>
    <t>BC724587</t>
  </si>
  <si>
    <t>BC724588</t>
  </si>
  <si>
    <t>BC724590</t>
  </si>
  <si>
    <t>BC724858</t>
  </si>
  <si>
    <t>BC724861</t>
  </si>
  <si>
    <t>BC724866</t>
  </si>
  <si>
    <t>BC724867</t>
  </si>
  <si>
    <t>BC724868</t>
  </si>
  <si>
    <t>BC724869</t>
  </si>
  <si>
    <t>BC724870</t>
  </si>
  <si>
    <t>BC724871</t>
  </si>
  <si>
    <t>BC724873</t>
  </si>
  <si>
    <t>BC724874</t>
  </si>
  <si>
    <t>BC724877</t>
  </si>
  <si>
    <t>BC724992</t>
  </si>
  <si>
    <t>BC724997</t>
  </si>
  <si>
    <t>BC725089</t>
  </si>
  <si>
    <t>BC725090</t>
  </si>
  <si>
    <t>BC725091</t>
  </si>
  <si>
    <t>BC725092</t>
  </si>
  <si>
    <t>BC725093</t>
  </si>
  <si>
    <t>BC725094</t>
  </si>
  <si>
    <t>BC725095</t>
  </si>
  <si>
    <t>BC725096</t>
  </si>
  <si>
    <t>BC725097</t>
  </si>
  <si>
    <t>BC725098</t>
  </si>
  <si>
    <t>BC725099</t>
  </si>
  <si>
    <t>BC725100</t>
  </si>
  <si>
    <t>BC725101</t>
  </si>
  <si>
    <t>BC725103</t>
  </si>
  <si>
    <t>BC725105</t>
  </si>
  <si>
    <t>BC725108</t>
  </si>
  <si>
    <t>BC725110</t>
  </si>
  <si>
    <t>BC725119</t>
  </si>
  <si>
    <t>BC725120</t>
  </si>
  <si>
    <t>BC725121</t>
  </si>
  <si>
    <t>BC725123</t>
  </si>
  <si>
    <t>BC725124</t>
  </si>
  <si>
    <t>BC725125</t>
  </si>
  <si>
    <t>BC725157</t>
  </si>
  <si>
    <t>BC725158</t>
  </si>
  <si>
    <t>BC725159</t>
  </si>
  <si>
    <t>BC725160</t>
  </si>
  <si>
    <t>BC725161</t>
  </si>
  <si>
    <t>BC725162</t>
  </si>
  <si>
    <t>BC725163</t>
  </si>
  <si>
    <t>BC725164</t>
  </si>
  <si>
    <t>BC725165</t>
  </si>
  <si>
    <t>BC725166</t>
  </si>
  <si>
    <t>BC725167</t>
  </si>
  <si>
    <t>BC725168</t>
  </si>
  <si>
    <t>BC725169</t>
  </si>
  <si>
    <t>BC725170</t>
  </si>
  <si>
    <t>BC725172</t>
  </si>
  <si>
    <t>BC725173</t>
  </si>
  <si>
    <t>BC725174</t>
  </si>
  <si>
    <t>BC725175</t>
  </si>
  <si>
    <t>BC725176</t>
  </si>
  <si>
    <t>BC725177</t>
  </si>
  <si>
    <t>BC725178</t>
  </si>
  <si>
    <t>BC725181</t>
  </si>
  <si>
    <t>BC725182</t>
  </si>
  <si>
    <t>BC725184</t>
  </si>
  <si>
    <t>BC725186</t>
  </si>
  <si>
    <t>BC725189</t>
  </si>
  <si>
    <t>BC725190</t>
  </si>
  <si>
    <t>BC725193</t>
  </si>
  <si>
    <t>BC725196</t>
  </si>
  <si>
    <t>BC725198</t>
  </si>
  <si>
    <t>BC725199</t>
  </si>
  <si>
    <t>BC725200</t>
  </si>
  <si>
    <t>BC725201</t>
  </si>
  <si>
    <t>BC725202</t>
  </si>
  <si>
    <t>BC725203</t>
  </si>
  <si>
    <t>BC725204</t>
  </si>
  <si>
    <t>BC725205</t>
  </si>
  <si>
    <t>BC725206</t>
  </si>
  <si>
    <t>BC725207</t>
  </si>
  <si>
    <t>BC725209</t>
  </si>
  <si>
    <t>BC725210</t>
  </si>
  <si>
    <t>BC725284</t>
  </si>
  <si>
    <t>BC725286</t>
  </si>
  <si>
    <t>BC725301</t>
  </si>
  <si>
    <t>BC725305</t>
  </si>
  <si>
    <t>BC725307</t>
  </si>
  <si>
    <t>BC725377</t>
  </si>
  <si>
    <t>BC725496</t>
  </si>
  <si>
    <t>BC725498</t>
  </si>
  <si>
    <t>BC725499</t>
  </si>
  <si>
    <t>BC725501</t>
  </si>
  <si>
    <t>BC725503</t>
  </si>
  <si>
    <t>BC725504</t>
  </si>
  <si>
    <t>BC725507</t>
  </si>
  <si>
    <t>BC725509</t>
  </si>
  <si>
    <t>BC725510</t>
  </si>
  <si>
    <t>BC725580</t>
  </si>
  <si>
    <t>BC725581</t>
  </si>
  <si>
    <t>BC725582</t>
  </si>
  <si>
    <t>BC725583</t>
  </si>
  <si>
    <t>BC725584</t>
  </si>
  <si>
    <t>BC725585</t>
  </si>
  <si>
    <t>BC725586</t>
  </si>
  <si>
    <t>BC725587</t>
  </si>
  <si>
    <t>BC725588</t>
  </si>
  <si>
    <t>BC725589</t>
  </si>
  <si>
    <t>BC725590</t>
  </si>
  <si>
    <t>BC725591</t>
  </si>
  <si>
    <t>BC725592</t>
  </si>
  <si>
    <t>BC725593</t>
  </si>
  <si>
    <t>BC725594</t>
  </si>
  <si>
    <t>BC725595</t>
  </si>
  <si>
    <t>BC725596</t>
  </si>
  <si>
    <t>BC725597</t>
  </si>
  <si>
    <t>BC725598</t>
  </si>
  <si>
    <t>BC725599</t>
  </si>
  <si>
    <t>BC725600</t>
  </si>
  <si>
    <t>BC725601</t>
  </si>
  <si>
    <t>BC725602</t>
  </si>
  <si>
    <t>BC725603</t>
  </si>
  <si>
    <t>BC725604</t>
  </si>
  <si>
    <t>BC725605</t>
  </si>
  <si>
    <t>BC725606</t>
  </si>
  <si>
    <t>BC725607</t>
  </si>
  <si>
    <t>BC725608</t>
  </si>
  <si>
    <t>BC725610</t>
  </si>
  <si>
    <t>BC725611</t>
  </si>
  <si>
    <t>BC725612</t>
  </si>
  <si>
    <t>BC725613</t>
  </si>
  <si>
    <t>BC725614</t>
  </si>
  <si>
    <t>BC725615</t>
  </si>
  <si>
    <t>BC725616</t>
  </si>
  <si>
    <t>BC725617</t>
  </si>
  <si>
    <t>BC725618</t>
  </si>
  <si>
    <t>BC725619</t>
  </si>
  <si>
    <t>BC725620</t>
  </si>
  <si>
    <t>BC725622</t>
  </si>
  <si>
    <t>BC725623</t>
  </si>
  <si>
    <t>BC725624</t>
  </si>
  <si>
    <t>BC725625</t>
  </si>
  <si>
    <t>BC725626</t>
  </si>
  <si>
    <t>BC725627</t>
  </si>
  <si>
    <t>BC725630</t>
  </si>
  <si>
    <t>BC725632</t>
  </si>
  <si>
    <t>BC725633</t>
  </si>
  <si>
    <t>BC725634</t>
  </si>
  <si>
    <t>BC725635</t>
  </si>
  <si>
    <t>BC725656</t>
  </si>
  <si>
    <t>BC725682</t>
  </si>
  <si>
    <t>BC725683</t>
  </si>
  <si>
    <t>BC725685</t>
  </si>
  <si>
    <t>BC725688</t>
  </si>
  <si>
    <t>BC725689</t>
  </si>
  <si>
    <t>BC725693</t>
  </si>
  <si>
    <t>BC725720</t>
  </si>
  <si>
    <t>BC725756</t>
  </si>
  <si>
    <t>BC725758</t>
  </si>
  <si>
    <t>BC725761</t>
  </si>
  <si>
    <t>BC725762</t>
  </si>
  <si>
    <t>BC725764</t>
  </si>
  <si>
    <t>BC725765</t>
  </si>
  <si>
    <t>BC725766</t>
  </si>
  <si>
    <t>BC725767</t>
  </si>
  <si>
    <t>BC725768</t>
  </si>
  <si>
    <t>BC725769</t>
  </si>
  <si>
    <t>BC725770</t>
  </si>
  <si>
    <t>BC725771</t>
  </si>
  <si>
    <t>BC725773</t>
  </si>
  <si>
    <t>BC725774</t>
  </si>
  <si>
    <t>BC725775</t>
  </si>
  <si>
    <t>BC725776</t>
  </si>
  <si>
    <t>BC725777</t>
  </si>
  <si>
    <t>BC725778</t>
  </si>
  <si>
    <t>BC725780</t>
  </si>
  <si>
    <t>BC725781</t>
  </si>
  <si>
    <t>BC725782</t>
  </si>
  <si>
    <t>BC725784</t>
  </si>
  <si>
    <t>BC725785</t>
  </si>
  <si>
    <t>BC725786</t>
  </si>
  <si>
    <t>BC725787</t>
  </si>
  <si>
    <t>BC725788</t>
  </si>
  <si>
    <t>BC725789</t>
  </si>
  <si>
    <t>BC725791</t>
  </si>
  <si>
    <t>BC725792</t>
  </si>
  <si>
    <t>BC725793</t>
  </si>
  <si>
    <t>BC725794</t>
  </si>
  <si>
    <t>BC725795</t>
  </si>
  <si>
    <t>BC725796</t>
  </si>
  <si>
    <t>BC725798</t>
  </si>
  <si>
    <t>BC725799</t>
  </si>
  <si>
    <t>BC725802</t>
  </si>
  <si>
    <t>BC725804</t>
  </si>
  <si>
    <t>BC725806</t>
  </si>
  <si>
    <t>BC725807</t>
  </si>
  <si>
    <t>BC725808</t>
  </si>
  <si>
    <t>BC725809</t>
  </si>
  <si>
    <t>BC725810</t>
  </si>
  <si>
    <t>BC725811</t>
  </si>
  <si>
    <t>BC725812</t>
  </si>
  <si>
    <t>BC725813</t>
  </si>
  <si>
    <t>BC725814</t>
  </si>
  <si>
    <t>BC725815</t>
  </si>
  <si>
    <t>BC725816</t>
  </si>
  <si>
    <t>BC725817</t>
  </si>
  <si>
    <t>BC725818</t>
  </si>
  <si>
    <t>BC725819</t>
  </si>
  <si>
    <t>BC725820</t>
  </si>
  <si>
    <t>BC725821</t>
  </si>
  <si>
    <t>BC725822</t>
  </si>
  <si>
    <t>BC725824</t>
  </si>
  <si>
    <t>BC725825</t>
  </si>
  <si>
    <t>BC725826</t>
  </si>
  <si>
    <t>BC725827</t>
  </si>
  <si>
    <t>BC725828</t>
  </si>
  <si>
    <t>BC725829</t>
  </si>
  <si>
    <t>BC725830</t>
  </si>
  <si>
    <t>BC725831</t>
  </si>
  <si>
    <t>BC725833</t>
  </si>
  <si>
    <t>BC725834</t>
  </si>
  <si>
    <t>BC725835</t>
  </si>
  <si>
    <t>BC725836</t>
  </si>
  <si>
    <t>BC725837</t>
  </si>
  <si>
    <t>BC725839</t>
  </si>
  <si>
    <t>BC725840</t>
  </si>
  <si>
    <t>BC725841</t>
  </si>
  <si>
    <t>BC725842</t>
  </si>
  <si>
    <t>BC725843</t>
  </si>
  <si>
    <t>BC725844</t>
  </si>
  <si>
    <t>BC725845</t>
  </si>
  <si>
    <t>BC725846</t>
  </si>
  <si>
    <t>BC725847</t>
  </si>
  <si>
    <t>BC725853</t>
  </si>
  <si>
    <t>BC725855</t>
  </si>
  <si>
    <t>BC725857</t>
  </si>
  <si>
    <t>BC725861</t>
  </si>
  <si>
    <t>BC725864</t>
  </si>
  <si>
    <t>BC725866</t>
  </si>
  <si>
    <t>BC725867</t>
  </si>
  <si>
    <t>BC725868</t>
  </si>
  <si>
    <t>BC725870</t>
  </si>
  <si>
    <t>BC725873</t>
  </si>
  <si>
    <t>BC725874</t>
  </si>
  <si>
    <t>BC725878</t>
  </si>
  <si>
    <t>BC725881</t>
  </si>
  <si>
    <t>BC725882</t>
  </si>
  <si>
    <t>BC725883</t>
  </si>
  <si>
    <t>BC725885</t>
  </si>
  <si>
    <t>BC725887</t>
  </si>
  <si>
    <t>BC725888</t>
  </si>
  <si>
    <t>BC725890</t>
  </si>
  <si>
    <t>BC725891</t>
  </si>
  <si>
    <t>BC725892</t>
  </si>
  <si>
    <t>BC725893</t>
  </si>
  <si>
    <t>BC725895</t>
  </si>
  <si>
    <t>BC725897</t>
  </si>
  <si>
    <t>BC725899</t>
  </si>
  <si>
    <t>BC725903</t>
  </si>
  <si>
    <t>BC725904</t>
  </si>
  <si>
    <t>BC725905</t>
  </si>
  <si>
    <t>BC725907</t>
  </si>
  <si>
    <t>BC725910</t>
  </si>
  <si>
    <t>BC725912</t>
  </si>
  <si>
    <t>BC725914</t>
  </si>
  <si>
    <t>BC725918</t>
  </si>
  <si>
    <t>BC725920</t>
  </si>
  <si>
    <t>BC725921</t>
  </si>
  <si>
    <t>BC725922</t>
  </si>
  <si>
    <t>BC725923</t>
  </si>
  <si>
    <t>BC725924</t>
  </si>
  <si>
    <t>BC725925</t>
  </si>
  <si>
    <t>BC725926</t>
  </si>
  <si>
    <t>BC725927</t>
  </si>
  <si>
    <t>BC725929</t>
  </si>
  <si>
    <t>BC725931</t>
  </si>
  <si>
    <t>BC725932</t>
  </si>
  <si>
    <t>BC725933</t>
  </si>
  <si>
    <t>BC725934</t>
  </si>
  <si>
    <t>BC725935</t>
  </si>
  <si>
    <t>BC725937</t>
  </si>
  <si>
    <t>BC725940</t>
  </si>
  <si>
    <t>BC725941</t>
  </si>
  <si>
    <t>BC725942</t>
  </si>
  <si>
    <t>BC725944</t>
  </si>
  <si>
    <t>BC725949</t>
  </si>
  <si>
    <t>BC725950</t>
  </si>
  <si>
    <t>BC725952</t>
  </si>
  <si>
    <t>BC725953</t>
  </si>
  <si>
    <t>BC725954</t>
  </si>
  <si>
    <t>BC725955</t>
  </si>
  <si>
    <t>BC725958</t>
  </si>
  <si>
    <t>BC725959</t>
  </si>
  <si>
    <t>BC725960</t>
  </si>
  <si>
    <t>BC725962</t>
  </si>
  <si>
    <t>BC725963</t>
  </si>
  <si>
    <t>BC725965</t>
  </si>
  <si>
    <t>BC725967</t>
  </si>
  <si>
    <t>BC725968</t>
  </si>
  <si>
    <t>BC725969</t>
  </si>
  <si>
    <t>BC725972</t>
  </si>
  <si>
    <t>BC725974</t>
  </si>
  <si>
    <t>BC725975</t>
  </si>
  <si>
    <t>BC725976</t>
  </si>
  <si>
    <t>BC725977</t>
  </si>
  <si>
    <t>BC725980</t>
  </si>
  <si>
    <t>BC725981</t>
  </si>
  <si>
    <t>BC725983</t>
  </si>
  <si>
    <t>BC725984</t>
  </si>
  <si>
    <t>BC725985</t>
  </si>
  <si>
    <t>BC725986</t>
  </si>
  <si>
    <t>BC725987</t>
  </si>
  <si>
    <t>BC725989</t>
  </si>
  <si>
    <t>BC725990</t>
  </si>
  <si>
    <t>BC725991</t>
  </si>
  <si>
    <t>BC725993</t>
  </si>
  <si>
    <t>BC725994</t>
  </si>
  <si>
    <t>BC725995</t>
  </si>
  <si>
    <t>BC725997</t>
  </si>
  <si>
    <t>BC725998</t>
  </si>
  <si>
    <t>BC725999</t>
  </si>
  <si>
    <t>BC726001</t>
  </si>
  <si>
    <t>BC726002</t>
  </si>
  <si>
    <t>BC726003</t>
  </si>
  <si>
    <t>BC726005</t>
  </si>
  <si>
    <t>BC726079</t>
  </si>
  <si>
    <t>BC726105</t>
  </si>
  <si>
    <t>BC726110</t>
  </si>
  <si>
    <t>BC726117</t>
  </si>
  <si>
    <t>BC726120</t>
  </si>
  <si>
    <t>BC726128</t>
  </si>
  <si>
    <t>BC726137</t>
  </si>
  <si>
    <t>BC726143</t>
  </si>
  <si>
    <t>BC726151</t>
  </si>
  <si>
    <t>BC726152</t>
  </si>
  <si>
    <t>BC726157</t>
  </si>
  <si>
    <t>BC726159</t>
  </si>
  <si>
    <t>BC726162</t>
  </si>
  <si>
    <t>BC726200</t>
  </si>
  <si>
    <t>BC726201</t>
  </si>
  <si>
    <t>BC726202</t>
  </si>
  <si>
    <t>BC726203</t>
  </si>
  <si>
    <t>BC726204</t>
  </si>
  <si>
    <t>BC726205</t>
  </si>
  <si>
    <t>BC726206</t>
  </si>
  <si>
    <t>BC726207</t>
  </si>
  <si>
    <t>BC726208</t>
  </si>
  <si>
    <t>BC726210</t>
  </si>
  <si>
    <t>BC726211</t>
  </si>
  <si>
    <t>BC726212</t>
  </si>
  <si>
    <t>BC726213</t>
  </si>
  <si>
    <t>BC726214</t>
  </si>
  <si>
    <t>BC726216</t>
  </si>
  <si>
    <t>BC726217</t>
  </si>
  <si>
    <t>BC726218</t>
  </si>
  <si>
    <t>BC726219</t>
  </si>
  <si>
    <t>BC726221</t>
  </si>
  <si>
    <t>BC726224</t>
  </si>
  <si>
    <t>BC726226</t>
  </si>
  <si>
    <t>BC726228</t>
  </si>
  <si>
    <t>BC726229</t>
  </si>
  <si>
    <t>BC726232</t>
  </si>
  <si>
    <t>BC726234</t>
  </si>
  <si>
    <t>BC726236</t>
  </si>
  <si>
    <t>BC726237</t>
  </si>
  <si>
    <t>BC726238</t>
  </si>
  <si>
    <t>BC726239</t>
  </si>
  <si>
    <t>BC726240</t>
  </si>
  <si>
    <t>BC726241</t>
  </si>
  <si>
    <t>BC726242</t>
  </si>
  <si>
    <t>BC726244</t>
  </si>
  <si>
    <t>BC726245</t>
  </si>
  <si>
    <t>BC726246</t>
  </si>
  <si>
    <t>BC726249</t>
  </si>
  <si>
    <t>BC726252</t>
  </si>
  <si>
    <t>BC726253</t>
  </si>
  <si>
    <t>BC726256</t>
  </si>
  <si>
    <t>BC726257</t>
  </si>
  <si>
    <t>BC726261</t>
  </si>
  <si>
    <t>BC726262</t>
  </si>
  <si>
    <t>BC726263</t>
  </si>
  <si>
    <t>BC726265</t>
  </si>
  <si>
    <t>BC726268</t>
  </si>
  <si>
    <t>BC726269</t>
  </si>
  <si>
    <t>BC726270</t>
  </si>
  <si>
    <t>BC726273</t>
  </si>
  <si>
    <t>BC726274</t>
  </si>
  <si>
    <t>BC726275</t>
  </si>
  <si>
    <t>BC726276</t>
  </si>
  <si>
    <t>BC726277</t>
  </si>
  <si>
    <t>BC726280</t>
  </si>
  <si>
    <t>BC726281</t>
  </si>
  <si>
    <t>BC726284</t>
  </si>
  <si>
    <t>BC726287</t>
  </si>
  <si>
    <t>BC726289</t>
  </si>
  <si>
    <t>BC726291</t>
  </si>
  <si>
    <t>BC726293</t>
  </si>
  <si>
    <t>BC726296</t>
  </si>
  <si>
    <t>BC726297</t>
  </si>
  <si>
    <t>BC726298</t>
  </si>
  <si>
    <t>BC726300</t>
  </si>
  <si>
    <t>BC726301</t>
  </si>
  <si>
    <t>BC726302</t>
  </si>
  <si>
    <t>BC726304</t>
  </si>
  <si>
    <t>BC726306</t>
  </si>
  <si>
    <t>BC726307</t>
  </si>
  <si>
    <t>BC726308</t>
  </si>
  <si>
    <t>BC726309</t>
  </si>
  <si>
    <t>BC726310</t>
  </si>
  <si>
    <t>BC726311</t>
  </si>
  <si>
    <t>BC726312</t>
  </si>
  <si>
    <t>BC726313</t>
  </si>
  <si>
    <t>BC726314</t>
  </si>
  <si>
    <t>BC726315</t>
  </si>
  <si>
    <t>BC726316</t>
  </si>
  <si>
    <t>BC726317</t>
  </si>
  <si>
    <t>BC726318</t>
  </si>
  <si>
    <t>BC726319</t>
  </si>
  <si>
    <t>BC726320</t>
  </si>
  <si>
    <t>BC726350</t>
  </si>
  <si>
    <t>BC726370</t>
  </si>
  <si>
    <t>BC726371</t>
  </si>
  <si>
    <t>BC726763</t>
  </si>
  <si>
    <t>BC726765</t>
  </si>
  <si>
    <t>BC726767</t>
  </si>
  <si>
    <t>BC726845</t>
  </si>
  <si>
    <t>BC726860</t>
  </si>
  <si>
    <t>BC726867</t>
  </si>
  <si>
    <t>BC726868</t>
  </si>
  <si>
    <t>BC726870</t>
  </si>
  <si>
    <t>BC726872</t>
  </si>
  <si>
    <t>BC726874</t>
  </si>
  <si>
    <t>BC726880</t>
  </si>
  <si>
    <t>BC726882</t>
  </si>
  <si>
    <t>BC726886</t>
  </si>
  <si>
    <t>BC726889</t>
  </si>
  <si>
    <t>BC726890</t>
  </si>
  <si>
    <t>BC726895</t>
  </si>
  <si>
    <t>BC726896</t>
  </si>
  <si>
    <t>BC726898</t>
  </si>
  <si>
    <t>BC726902</t>
  </si>
  <si>
    <t>BC726904</t>
  </si>
  <si>
    <t>BC726906</t>
  </si>
  <si>
    <t>BC726907</t>
  </si>
  <si>
    <t>BC726909</t>
  </si>
  <si>
    <t>BC726910</t>
  </si>
  <si>
    <t>BC726911</t>
  </si>
  <si>
    <t>BC726913</t>
  </si>
  <si>
    <t>BC726914</t>
  </si>
  <si>
    <t>BC726917</t>
  </si>
  <si>
    <t>BC726919</t>
  </si>
  <si>
    <t>BC726925</t>
  </si>
  <si>
    <t>BC726928</t>
  </si>
  <si>
    <t>BC726931</t>
  </si>
  <si>
    <t>BC726932</t>
  </si>
  <si>
    <t>BC726934</t>
  </si>
  <si>
    <t>BC726935</t>
  </si>
  <si>
    <t>BC726938</t>
  </si>
  <si>
    <t>BC726943</t>
  </si>
  <si>
    <t>BC726945</t>
  </si>
  <si>
    <t>BC726947</t>
  </si>
  <si>
    <t>BC726948</t>
  </si>
  <si>
    <t>BC726949</t>
  </si>
  <si>
    <t>BC726951</t>
  </si>
  <si>
    <t>BC726952</t>
  </si>
  <si>
    <t>BC726954</t>
  </si>
  <si>
    <t>BC726955</t>
  </si>
  <si>
    <t>BC726957</t>
  </si>
  <si>
    <t>BC726959</t>
  </si>
  <si>
    <t>BC726961</t>
  </si>
  <si>
    <t>BC726963</t>
  </si>
  <si>
    <t>BC726966</t>
  </si>
  <si>
    <t>BC726967</t>
  </si>
  <si>
    <t>BC726970</t>
  </si>
  <si>
    <t>BC726973</t>
  </si>
  <si>
    <t>BC726976</t>
  </si>
  <si>
    <t>BC726979</t>
  </si>
  <si>
    <t>BC726981</t>
  </si>
  <si>
    <t>BC726983</t>
  </si>
  <si>
    <t>BC726984</t>
  </si>
  <si>
    <t>BC726985</t>
  </si>
  <si>
    <t>BC726986</t>
  </si>
  <si>
    <t>BC726987</t>
  </si>
  <si>
    <t>BC726988</t>
  </si>
  <si>
    <t>BC727017</t>
  </si>
  <si>
    <t>BC727021</t>
  </si>
  <si>
    <t>BC727023</t>
  </si>
  <si>
    <t>BC727027</t>
  </si>
  <si>
    <t>BC727040</t>
  </si>
  <si>
    <t>BC727041</t>
  </si>
  <si>
    <t>BC727046</t>
  </si>
  <si>
    <t>BC727047</t>
  </si>
  <si>
    <t>BC727058</t>
  </si>
  <si>
    <t>BC727064</t>
  </si>
  <si>
    <t>BC728365</t>
  </si>
  <si>
    <t>BC728366</t>
  </si>
  <si>
    <t>BC728370</t>
  </si>
  <si>
    <t>BC728378</t>
  </si>
  <si>
    <t>BC728382</t>
  </si>
  <si>
    <t>BC728385</t>
  </si>
  <si>
    <t>BC728388</t>
  </si>
  <si>
    <t>BC728392</t>
  </si>
  <si>
    <t>BC728395</t>
  </si>
  <si>
    <t>BC728398</t>
  </si>
  <si>
    <t>BC728400</t>
  </si>
  <si>
    <t>BC728401</t>
  </si>
  <si>
    <t>BC728403</t>
  </si>
  <si>
    <t>BC728404</t>
  </si>
  <si>
    <t>BC728406</t>
  </si>
  <si>
    <t>BC728407</t>
  </si>
  <si>
    <t>BC728408</t>
  </si>
  <si>
    <t>BC728410</t>
  </si>
  <si>
    <t>BC728411</t>
  </si>
  <si>
    <t>BC728412</t>
  </si>
  <si>
    <t>BC728413</t>
  </si>
  <si>
    <t>BC728414</t>
  </si>
  <si>
    <t>BC728415</t>
  </si>
  <si>
    <t>BC728416</t>
  </si>
  <si>
    <t>BC728417</t>
  </si>
  <si>
    <t>BC728418</t>
  </si>
  <si>
    <t>BC728431</t>
  </si>
  <si>
    <t>BC728432</t>
  </si>
  <si>
    <t>BC728433</t>
  </si>
  <si>
    <t>BC728434</t>
  </si>
  <si>
    <t>BC728435</t>
  </si>
  <si>
    <t>BC728436</t>
  </si>
  <si>
    <t>BC728437</t>
  </si>
  <si>
    <t>BC728438</t>
  </si>
  <si>
    <t>BC728439</t>
  </si>
  <si>
    <t>BC728440</t>
  </si>
  <si>
    <t>BC728441</t>
  </si>
  <si>
    <t>BC728442</t>
  </si>
  <si>
    <t>BC728443</t>
  </si>
  <si>
    <t>BC728444</t>
  </si>
  <si>
    <t>BC728445</t>
  </si>
  <si>
    <t>BC728501</t>
  </si>
  <si>
    <t>BC728502</t>
  </si>
  <si>
    <t>BC728503</t>
  </si>
  <si>
    <t>BC728504</t>
  </si>
  <si>
    <t>BC728505</t>
  </si>
  <si>
    <t>BC728506</t>
  </si>
  <si>
    <t>BC728507</t>
  </si>
  <si>
    <t>BC728508</t>
  </si>
  <si>
    <t>BC728509</t>
  </si>
  <si>
    <t>BC728510</t>
  </si>
  <si>
    <t>BC728511</t>
  </si>
  <si>
    <t>BC728512</t>
  </si>
  <si>
    <t>BC728513</t>
  </si>
  <si>
    <t>BC728514</t>
  </si>
  <si>
    <t>BC728515</t>
  </si>
  <si>
    <t>BC728516</t>
  </si>
  <si>
    <t>BC728517</t>
  </si>
  <si>
    <t>BC728518</t>
  </si>
  <si>
    <t>BC728519</t>
  </si>
  <si>
    <t>BC728520</t>
  </si>
  <si>
    <t>BC728521</t>
  </si>
  <si>
    <t>BC728522</t>
  </si>
  <si>
    <t>BC728523</t>
  </si>
  <si>
    <t>BC728524</t>
  </si>
  <si>
    <t>BC728525</t>
  </si>
  <si>
    <t>BC728526</t>
  </si>
  <si>
    <t>BC728527</t>
  </si>
  <si>
    <t>BC728528</t>
  </si>
  <si>
    <t>BC728531</t>
  </si>
  <si>
    <t>BC728532</t>
  </si>
  <si>
    <t>BC728533</t>
  </si>
  <si>
    <t>BC728534</t>
  </si>
  <si>
    <t>BC728666</t>
  </si>
  <si>
    <t>BC728755</t>
  </si>
  <si>
    <t>BC728756</t>
  </si>
  <si>
    <t>BC728757</t>
  </si>
  <si>
    <t>BC728758</t>
  </si>
  <si>
    <t>BC728760</t>
  </si>
  <si>
    <t>BC728762</t>
  </si>
  <si>
    <t>BC728764</t>
  </si>
  <si>
    <t>BC728767</t>
  </si>
  <si>
    <t>BC728768</t>
  </si>
  <si>
    <t>BC728774</t>
  </si>
  <si>
    <t>BC728779</t>
  </si>
  <si>
    <t>BC728783</t>
  </si>
  <si>
    <t>BC728785</t>
  </si>
  <si>
    <t>BC728788</t>
  </si>
  <si>
    <t>BC728792</t>
  </si>
  <si>
    <t>BC728797</t>
  </si>
  <si>
    <t>BC728799</t>
  </si>
  <si>
    <t>BC728801</t>
  </si>
  <si>
    <t>BC728804</t>
  </si>
  <si>
    <t>BC728806</t>
  </si>
  <si>
    <t>BC728807</t>
  </si>
  <si>
    <t>BC728808</t>
  </si>
  <si>
    <t>BC728809</t>
  </si>
  <si>
    <t>BC728888</t>
  </si>
  <si>
    <t>BC729006</t>
  </si>
  <si>
    <t>BC729089</t>
  </si>
  <si>
    <t>BC729181</t>
  </si>
  <si>
    <t>BC729188</t>
  </si>
  <si>
    <t>BC729190</t>
  </si>
  <si>
    <t>BC729192</t>
  </si>
  <si>
    <t>BC729197</t>
  </si>
  <si>
    <t>BC729205</t>
  </si>
  <si>
    <t>BC729224</t>
  </si>
  <si>
    <t>BC729228</t>
  </si>
  <si>
    <t>BC729234</t>
  </si>
  <si>
    <t>BC729241</t>
  </si>
  <si>
    <t>BC729244</t>
  </si>
  <si>
    <t>BC729247</t>
  </si>
  <si>
    <t>BC729252</t>
  </si>
  <si>
    <t>BC729254</t>
  </si>
  <si>
    <t>BC729356</t>
  </si>
  <si>
    <t>BC729357</t>
  </si>
  <si>
    <t>BC729359</t>
  </si>
  <si>
    <t>BC729360</t>
  </si>
  <si>
    <t>BC729361</t>
  </si>
  <si>
    <t>BC729362</t>
  </si>
  <si>
    <t>BC729363</t>
  </si>
  <si>
    <t>BC729364</t>
  </si>
  <si>
    <t>BC729365</t>
  </si>
  <si>
    <t>BC729366</t>
  </si>
  <si>
    <t>BC729368</t>
  </si>
  <si>
    <t>BC729370</t>
  </si>
  <si>
    <t>BC729371</t>
  </si>
  <si>
    <t>BC729372</t>
  </si>
  <si>
    <t>BC729373</t>
  </si>
  <si>
    <t>BC729374</t>
  </si>
  <si>
    <t>BC729375</t>
  </si>
  <si>
    <t>BC729376</t>
  </si>
  <si>
    <t>BC729377</t>
  </si>
  <si>
    <t>BC729378</t>
  </si>
  <si>
    <t>BC729380</t>
  </si>
  <si>
    <t>BC729384</t>
  </si>
  <si>
    <t>BC729386</t>
  </si>
  <si>
    <t>BC729389</t>
  </si>
  <si>
    <t>BC729390</t>
  </si>
  <si>
    <t>BC729391</t>
  </si>
  <si>
    <t>BC729392</t>
  </si>
  <si>
    <t>BC729394</t>
  </si>
  <si>
    <t>BC729396</t>
  </si>
  <si>
    <t>BC729397</t>
  </si>
  <si>
    <t>BC729398</t>
  </si>
  <si>
    <t>BC729401</t>
  </si>
  <si>
    <t>BC729403</t>
  </si>
  <si>
    <t>BC729404</t>
  </si>
  <si>
    <t>BC729405</t>
  </si>
  <si>
    <t>BC729406</t>
  </si>
  <si>
    <t>BC729407</t>
  </si>
  <si>
    <t>BC729408</t>
  </si>
  <si>
    <t>BC729409</t>
  </si>
  <si>
    <t>BC729410</t>
  </si>
  <si>
    <t>BC729411</t>
  </si>
  <si>
    <t>BC729412</t>
  </si>
  <si>
    <t>BC729413</t>
  </si>
  <si>
    <t>BC729414</t>
  </si>
  <si>
    <t>BC729417</t>
  </si>
  <si>
    <t>BC729420</t>
  </si>
  <si>
    <t>BC729502</t>
  </si>
  <si>
    <t>BC729503</t>
  </si>
  <si>
    <t>BC729504</t>
  </si>
  <si>
    <t>BC729505</t>
  </si>
  <si>
    <t>BC729506</t>
  </si>
  <si>
    <t>BC729507</t>
  </si>
  <si>
    <t>BC729508</t>
  </si>
  <si>
    <t>BC729510</t>
  </si>
  <si>
    <t>BC729513</t>
  </si>
  <si>
    <t>BC729514</t>
  </si>
  <si>
    <t>BC729515</t>
  </si>
  <si>
    <t>BC729516</t>
  </si>
  <si>
    <t>BC729517</t>
  </si>
  <si>
    <t>BC729518</t>
  </si>
  <si>
    <t>BC729519</t>
  </si>
  <si>
    <t>BC729520</t>
  </si>
  <si>
    <t>BC729521</t>
  </si>
  <si>
    <t>BC729522</t>
  </si>
  <si>
    <t>BC729523</t>
  </si>
  <si>
    <t>BC729525</t>
  </si>
  <si>
    <t>BC729567</t>
  </si>
  <si>
    <t>BC729568</t>
  </si>
  <si>
    <t>BC729569</t>
  </si>
  <si>
    <t>BC729571</t>
  </si>
  <si>
    <t>BC729572</t>
  </si>
  <si>
    <t>BC729573</t>
  </si>
  <si>
    <t>BC729574</t>
  </si>
  <si>
    <t>BC729578</t>
  </si>
  <si>
    <t>BC729594</t>
  </si>
  <si>
    <t>BC730921</t>
  </si>
  <si>
    <t>BC731060</t>
  </si>
  <si>
    <t>BC731063</t>
  </si>
  <si>
    <t>BC731069</t>
  </si>
  <si>
    <t>BC731075</t>
  </si>
  <si>
    <t>BC731139</t>
  </si>
  <si>
    <t>BC731140</t>
  </si>
  <si>
    <t>BC731141</t>
  </si>
  <si>
    <t>BC731142</t>
  </si>
  <si>
    <t>BC731143</t>
  </si>
  <si>
    <t>BC731144</t>
  </si>
  <si>
    <t>BC731145</t>
  </si>
  <si>
    <t>BC731147</t>
  </si>
  <si>
    <t>BC731149</t>
  </si>
  <si>
    <t>BC731151</t>
  </si>
  <si>
    <t>BC731153</t>
  </si>
  <si>
    <t>BC731155</t>
  </si>
  <si>
    <t>BC731157</t>
  </si>
  <si>
    <t>BC731159</t>
  </si>
  <si>
    <t>BC731160</t>
  </si>
  <si>
    <t>BC731161</t>
  </si>
  <si>
    <t>BC731162</t>
  </si>
  <si>
    <t>BC731163</t>
  </si>
  <si>
    <t>CC031135</t>
  </si>
  <si>
    <t>CC032695</t>
  </si>
  <si>
    <t>CC035870</t>
  </si>
  <si>
    <t>CC037308</t>
  </si>
  <si>
    <t>CC037922</t>
  </si>
  <si>
    <t>CC038088</t>
  </si>
  <si>
    <t>CC040253</t>
  </si>
  <si>
    <t>CC040985</t>
  </si>
  <si>
    <t>CC041233</t>
  </si>
  <si>
    <t>CC041466</t>
  </si>
  <si>
    <t>CC043627</t>
  </si>
  <si>
    <t>CC043848</t>
  </si>
  <si>
    <t>CC046199</t>
  </si>
  <si>
    <t>CC046619</t>
  </si>
  <si>
    <t>CC047499</t>
  </si>
  <si>
    <t>CC048622</t>
  </si>
  <si>
    <t>CC048633</t>
  </si>
  <si>
    <t>CC049306</t>
  </si>
  <si>
    <t>CC052957</t>
  </si>
  <si>
    <t>CC055551</t>
  </si>
  <si>
    <t>CC055945</t>
  </si>
  <si>
    <t>CC058544</t>
  </si>
  <si>
    <t>CC062451</t>
  </si>
  <si>
    <t>CC065679</t>
  </si>
  <si>
    <t>CC069459</t>
  </si>
  <si>
    <t>CC070247</t>
  </si>
  <si>
    <t>CC071011</t>
  </si>
  <si>
    <t>CC077879</t>
  </si>
  <si>
    <t>CC082342</t>
  </si>
  <si>
    <t>CC085987</t>
  </si>
  <si>
    <t>CC088056</t>
  </si>
  <si>
    <t>CC088173</t>
  </si>
  <si>
    <t>CC090094</t>
  </si>
  <si>
    <t>CC096103</t>
  </si>
  <si>
    <t>CC096359</t>
  </si>
  <si>
    <t>CC097076</t>
  </si>
  <si>
    <t>CC097355</t>
  </si>
  <si>
    <t>CC102857</t>
  </si>
  <si>
    <t>CC104285</t>
  </si>
  <si>
    <t>CC108080</t>
  </si>
  <si>
    <t>CC108089</t>
  </si>
  <si>
    <t>CC108132</t>
  </si>
  <si>
    <t>CC109862</t>
  </si>
  <si>
    <t>CC111522</t>
  </si>
  <si>
    <t>CC113530</t>
  </si>
  <si>
    <t>CC119821</t>
  </si>
  <si>
    <t>CC123797</t>
  </si>
  <si>
    <t>cc130394</t>
  </si>
  <si>
    <t>CC131007</t>
  </si>
  <si>
    <t>CC131165</t>
  </si>
  <si>
    <t>CC132703</t>
  </si>
  <si>
    <t>CC132773</t>
  </si>
  <si>
    <t>CC140501</t>
  </si>
  <si>
    <t>CC147603</t>
  </si>
  <si>
    <t>CC147705</t>
  </si>
  <si>
    <t>CC149138</t>
  </si>
  <si>
    <t>CC150590</t>
  </si>
  <si>
    <t>CC152023</t>
  </si>
  <si>
    <t>CC154220</t>
  </si>
  <si>
    <t>CC154555</t>
  </si>
  <si>
    <t>CC154698</t>
  </si>
  <si>
    <t>CC154781</t>
  </si>
  <si>
    <t>CC158981</t>
  </si>
  <si>
    <t>CC159075</t>
  </si>
  <si>
    <t>CC159253</t>
  </si>
  <si>
    <t>CC159555</t>
  </si>
  <si>
    <t>CC162591</t>
  </si>
  <si>
    <t>CC162615</t>
  </si>
  <si>
    <t>CC162758</t>
  </si>
  <si>
    <t>CC164784</t>
  </si>
  <si>
    <t>CC164907</t>
  </si>
  <si>
    <t>CC164984</t>
  </si>
  <si>
    <t>CC165014</t>
  </si>
  <si>
    <t>CC165793</t>
  </si>
  <si>
    <t>CC166079</t>
  </si>
  <si>
    <t>CC166139</t>
  </si>
  <si>
    <t>CC167155</t>
  </si>
  <si>
    <t>CC169611</t>
  </si>
  <si>
    <t>CC170374</t>
  </si>
  <si>
    <t>CC171672</t>
  </si>
  <si>
    <t>CC172924</t>
  </si>
  <si>
    <t>CC172973</t>
  </si>
  <si>
    <t>CC173190</t>
  </si>
  <si>
    <t>CC173465</t>
  </si>
  <si>
    <t>CC177909</t>
  </si>
  <si>
    <t>CC178462</t>
  </si>
  <si>
    <t>CC179848</t>
  </si>
  <si>
    <t>CC180284</t>
  </si>
  <si>
    <t>CC180748</t>
  </si>
  <si>
    <t>CC180749</t>
  </si>
  <si>
    <t>CC186407</t>
  </si>
  <si>
    <t>CC188602</t>
  </si>
  <si>
    <t xml:space="preserve">CC188602	</t>
  </si>
  <si>
    <t>CC188896</t>
  </si>
  <si>
    <t>CC190176</t>
  </si>
  <si>
    <t>CC190720</t>
  </si>
  <si>
    <t>CC191070</t>
  </si>
  <si>
    <t>CC191255</t>
  </si>
  <si>
    <t>CC191353</t>
  </si>
  <si>
    <t>CC191958</t>
  </si>
  <si>
    <t>CC193658</t>
  </si>
  <si>
    <t>CC194309</t>
  </si>
  <si>
    <t>CC195967</t>
  </si>
  <si>
    <t>CC196790</t>
  </si>
  <si>
    <t>CC196801</t>
  </si>
  <si>
    <t>CC198552</t>
  </si>
  <si>
    <t>CC198567</t>
  </si>
  <si>
    <t>CC198608</t>
  </si>
  <si>
    <t>CC207076</t>
  </si>
  <si>
    <t>CC207101</t>
  </si>
  <si>
    <t>CC208529</t>
  </si>
  <si>
    <t>CC208979</t>
  </si>
  <si>
    <t>CC211157</t>
  </si>
  <si>
    <t>CC211206</t>
  </si>
  <si>
    <t>CC211377</t>
  </si>
  <si>
    <t>CC211391</t>
  </si>
  <si>
    <t>CC211813</t>
  </si>
  <si>
    <t>CC212503</t>
  </si>
  <si>
    <t>CC218566</t>
  </si>
  <si>
    <t>CC218632</t>
  </si>
  <si>
    <t>CC218667</t>
  </si>
  <si>
    <t>CC218777</t>
  </si>
  <si>
    <t>CC219037</t>
  </si>
  <si>
    <t>CC221678</t>
  </si>
  <si>
    <t>CC221731</t>
  </si>
  <si>
    <t>CC222663</t>
  </si>
  <si>
    <t>CC224742</t>
  </si>
  <si>
    <t>CC224918</t>
  </si>
  <si>
    <t>CC225492</t>
  </si>
  <si>
    <t>CC226699</t>
  </si>
  <si>
    <t>CC226949</t>
  </si>
  <si>
    <t>CC227056</t>
  </si>
  <si>
    <t>CC227091</t>
  </si>
  <si>
    <t>CC227270</t>
  </si>
  <si>
    <t>CC227283</t>
  </si>
  <si>
    <t>CC227530</t>
  </si>
  <si>
    <t>CC227533</t>
  </si>
  <si>
    <t>CC227549</t>
  </si>
  <si>
    <t>CC227658</t>
  </si>
  <si>
    <t>CC228377</t>
  </si>
  <si>
    <t>CC228930</t>
  </si>
  <si>
    <t>CC229065</t>
  </si>
  <si>
    <t>CC229190</t>
  </si>
  <si>
    <t>CC229220</t>
  </si>
  <si>
    <t>CC229482</t>
  </si>
  <si>
    <t>cc230176</t>
  </si>
  <si>
    <t>CC230428</t>
  </si>
  <si>
    <t>CC231043</t>
  </si>
  <si>
    <t>CC231207</t>
  </si>
  <si>
    <t>CC231209</t>
  </si>
  <si>
    <t>CC231224</t>
  </si>
  <si>
    <t>CC231244</t>
  </si>
  <si>
    <t>CC231248</t>
  </si>
  <si>
    <t>CC231250</t>
  </si>
  <si>
    <t>CC231263</t>
  </si>
  <si>
    <t>CC231264</t>
  </si>
  <si>
    <t>CC231268</t>
  </si>
  <si>
    <t>CC231276</t>
  </si>
  <si>
    <t>CC231283</t>
  </si>
  <si>
    <t>CC231288</t>
  </si>
  <si>
    <t>CC231323</t>
  </si>
  <si>
    <t>CC231330</t>
  </si>
  <si>
    <t>CC231332</t>
  </si>
  <si>
    <t>CC231334</t>
  </si>
  <si>
    <t>CC231380</t>
  </si>
  <si>
    <t>CC231410</t>
  </si>
  <si>
    <t>CC231416</t>
  </si>
  <si>
    <t>CC231471</t>
  </si>
  <si>
    <t>CC231551</t>
  </si>
  <si>
    <t>CC231554</t>
  </si>
  <si>
    <t>CC231559</t>
  </si>
  <si>
    <t>CC231582</t>
  </si>
  <si>
    <t>CC231748</t>
  </si>
  <si>
    <t>CC231751</t>
  </si>
  <si>
    <t>CC231875</t>
  </si>
  <si>
    <t>CC231897</t>
  </si>
  <si>
    <t>CC232181</t>
  </si>
  <si>
    <t>CC232216</t>
  </si>
  <si>
    <t>CC232312</t>
  </si>
  <si>
    <t>CC232840</t>
  </si>
  <si>
    <t>CC232953</t>
  </si>
  <si>
    <t>CC233909</t>
  </si>
  <si>
    <t>CC233919</t>
  </si>
  <si>
    <t>CC234338</t>
  </si>
  <si>
    <t>CC235207</t>
  </si>
  <si>
    <t>CC235232</t>
  </si>
  <si>
    <t>CC235291</t>
  </si>
  <si>
    <t>CC235299</t>
  </si>
  <si>
    <t>CC235569</t>
  </si>
  <si>
    <t>CC235608</t>
  </si>
  <si>
    <t>CC235636</t>
  </si>
  <si>
    <t>CC235642</t>
  </si>
  <si>
    <t>CC235744</t>
  </si>
  <si>
    <t>CC235766</t>
  </si>
  <si>
    <t>CC236152</t>
  </si>
  <si>
    <t>CC236235</t>
  </si>
  <si>
    <t>CC236252</t>
  </si>
  <si>
    <t>CC236269</t>
  </si>
  <si>
    <t>CC236290</t>
  </si>
  <si>
    <t>CC236362</t>
  </si>
  <si>
    <t>CC236572</t>
  </si>
  <si>
    <t>CC236573</t>
  </si>
  <si>
    <t>CC236707</t>
  </si>
  <si>
    <t>CC236726</t>
  </si>
  <si>
    <t>CC236744</t>
  </si>
  <si>
    <t>CC236754</t>
  </si>
  <si>
    <t>CC236860</t>
  </si>
  <si>
    <t>CC236935</t>
  </si>
  <si>
    <t>CC237574</t>
  </si>
  <si>
    <t>CC238058</t>
  </si>
  <si>
    <t>CC238132</t>
  </si>
  <si>
    <t>CC238908</t>
  </si>
  <si>
    <t>CC239590</t>
  </si>
  <si>
    <t>CC242460</t>
  </si>
  <si>
    <t>CC243762</t>
  </si>
  <si>
    <t>CC243769</t>
  </si>
  <si>
    <t>CC246404</t>
  </si>
  <si>
    <t>CC246983</t>
  </si>
  <si>
    <t>CC247076</t>
  </si>
  <si>
    <t>CC248128</t>
  </si>
  <si>
    <t>CC249415</t>
  </si>
  <si>
    <t>CC249440</t>
  </si>
  <si>
    <t>CC249449</t>
  </si>
  <si>
    <t>CC249451</t>
  </si>
  <si>
    <t>CC249460</t>
  </si>
  <si>
    <t>CC249561</t>
  </si>
  <si>
    <t>CC249591</t>
  </si>
  <si>
    <t>CC249743</t>
  </si>
  <si>
    <t>CC249754</t>
  </si>
  <si>
    <t>CC249878</t>
  </si>
  <si>
    <t>CC249899</t>
  </si>
  <si>
    <t>CC249951</t>
  </si>
  <si>
    <t>CC249976</t>
  </si>
  <si>
    <t>CC250059</t>
  </si>
  <si>
    <t>CC250125</t>
  </si>
  <si>
    <t>CC250129</t>
  </si>
  <si>
    <t>CC250192</t>
  </si>
  <si>
    <t>CC250199</t>
  </si>
  <si>
    <t>CC250208</t>
  </si>
  <si>
    <t>CC250455</t>
  </si>
  <si>
    <t>CC250457</t>
  </si>
  <si>
    <t>CC250463</t>
  </si>
  <si>
    <t>CC250467</t>
  </si>
  <si>
    <t>CC251118</t>
  </si>
  <si>
    <t>CC251197</t>
  </si>
  <si>
    <t>CC251210</t>
  </si>
  <si>
    <t>CC251337</t>
  </si>
  <si>
    <t>CC251357</t>
  </si>
  <si>
    <t>CC251366</t>
  </si>
  <si>
    <t>CC251489</t>
  </si>
  <si>
    <t>CC251606</t>
  </si>
  <si>
    <t>CC251607</t>
  </si>
  <si>
    <t>cc251620</t>
  </si>
  <si>
    <t>CC251694</t>
  </si>
  <si>
    <t>CC251697</t>
  </si>
  <si>
    <t>CC251737</t>
  </si>
  <si>
    <t>CC251738</t>
  </si>
  <si>
    <t xml:space="preserve">CC251738	</t>
  </si>
  <si>
    <t>CC251757</t>
  </si>
  <si>
    <t>CC251787</t>
  </si>
  <si>
    <t>CC251817</t>
  </si>
  <si>
    <t>CC251868</t>
  </si>
  <si>
    <t>cc251883</t>
  </si>
  <si>
    <t>CC251987</t>
  </si>
  <si>
    <t>CC252025</t>
  </si>
  <si>
    <t>CC253322</t>
  </si>
  <si>
    <t>CC253338</t>
  </si>
  <si>
    <t>CC253344</t>
  </si>
  <si>
    <t>CC253437</t>
  </si>
  <si>
    <t>CC254177</t>
  </si>
  <si>
    <t>CC255394</t>
  </si>
  <si>
    <t>CC255912</t>
  </si>
  <si>
    <t>CC257426</t>
  </si>
  <si>
    <t>CC257789</t>
  </si>
  <si>
    <t>CC258786</t>
  </si>
  <si>
    <t>CC258787</t>
  </si>
  <si>
    <t>CC258872</t>
  </si>
  <si>
    <t>CC259243</t>
  </si>
  <si>
    <t>CC259276</t>
  </si>
  <si>
    <t>CC259315</t>
  </si>
  <si>
    <t>CC259393</t>
  </si>
  <si>
    <t>CC259397</t>
  </si>
  <si>
    <t>CC259430</t>
  </si>
  <si>
    <t>CC259431</t>
  </si>
  <si>
    <t>CC259511</t>
  </si>
  <si>
    <t>CC259819</t>
  </si>
  <si>
    <t>CC261257</t>
  </si>
  <si>
    <t>CC261597</t>
  </si>
  <si>
    <t>CC261670</t>
  </si>
  <si>
    <t>CC262192</t>
  </si>
  <si>
    <t>CC262557</t>
  </si>
  <si>
    <t>CC262579</t>
  </si>
  <si>
    <t>CC262581</t>
  </si>
  <si>
    <t>CC263176</t>
  </si>
  <si>
    <t>CC263192</t>
  </si>
  <si>
    <t>CC263426</t>
  </si>
  <si>
    <t>CC263437</t>
  </si>
  <si>
    <t>CC263468</t>
  </si>
  <si>
    <t>CC263469</t>
  </si>
  <si>
    <t>CC263565</t>
  </si>
  <si>
    <t>CC263566</t>
  </si>
  <si>
    <t>CC263701</t>
  </si>
  <si>
    <t>CC263705</t>
  </si>
  <si>
    <t>CC264057</t>
  </si>
  <si>
    <t>CC264124</t>
  </si>
  <si>
    <t>CC264128</t>
  </si>
  <si>
    <t>CC264370</t>
  </si>
  <si>
    <t>CC264376</t>
  </si>
  <si>
    <t>CC264388</t>
  </si>
  <si>
    <t>CC264634</t>
  </si>
  <si>
    <t>CC264640</t>
  </si>
  <si>
    <t>CC264668</t>
  </si>
  <si>
    <t>CC264894</t>
  </si>
  <si>
    <t>CC265319</t>
  </si>
  <si>
    <t>CC265362</t>
  </si>
  <si>
    <t>CC265374</t>
  </si>
  <si>
    <t>CC265403</t>
  </si>
  <si>
    <t>CC265498</t>
  </si>
  <si>
    <t>CC265709</t>
  </si>
  <si>
    <t>CC265732</t>
  </si>
  <si>
    <t>CC265735</t>
  </si>
  <si>
    <t>CC265835</t>
  </si>
  <si>
    <t>CC265873</t>
  </si>
  <si>
    <t>CC265878</t>
  </si>
  <si>
    <t>CC265893</t>
  </si>
  <si>
    <t>CC265984</t>
  </si>
  <si>
    <t>CC266010</t>
  </si>
  <si>
    <t>CC266021</t>
  </si>
  <si>
    <t>CC266026</t>
  </si>
  <si>
    <t>CC266033</t>
  </si>
  <si>
    <t>CC266104</t>
  </si>
  <si>
    <t>CC266192</t>
  </si>
  <si>
    <t>CC266245</t>
  </si>
  <si>
    <t>CC266256</t>
  </si>
  <si>
    <t>CC266259</t>
  </si>
  <si>
    <t>CC266296</t>
  </si>
  <si>
    <t>CC266369</t>
  </si>
  <si>
    <t>CC266471</t>
  </si>
  <si>
    <t>CC266523</t>
  </si>
  <si>
    <t>CC266556</t>
  </si>
  <si>
    <t>CC266604</t>
  </si>
  <si>
    <t>CC266607</t>
  </si>
  <si>
    <t>CC266701</t>
  </si>
  <si>
    <t>CC266731</t>
  </si>
  <si>
    <t>CC266748</t>
  </si>
  <si>
    <t>CC266760</t>
  </si>
  <si>
    <t>CC266867</t>
  </si>
  <si>
    <t>CC266878</t>
  </si>
  <si>
    <t>CC266907</t>
  </si>
  <si>
    <t>CC266924</t>
  </si>
  <si>
    <t>CC267035</t>
  </si>
  <si>
    <t>CC267090</t>
  </si>
  <si>
    <t>CC267095</t>
  </si>
  <si>
    <t>CC267109</t>
  </si>
  <si>
    <t>CC267188</t>
  </si>
  <si>
    <t>CC267288</t>
  </si>
  <si>
    <t>CC267428</t>
  </si>
  <si>
    <t>CC267717</t>
  </si>
  <si>
    <t>CC268779</t>
  </si>
  <si>
    <t>CC268793</t>
  </si>
  <si>
    <t>CC268803</t>
  </si>
  <si>
    <t>CC268859</t>
  </si>
  <si>
    <t>CC269165</t>
  </si>
  <si>
    <t>CC269168</t>
  </si>
  <si>
    <t>CC269389</t>
  </si>
  <si>
    <t>CC269844</t>
  </si>
  <si>
    <t>CC269871</t>
  </si>
  <si>
    <t>CC269876</t>
  </si>
  <si>
    <t>CC270180</t>
  </si>
  <si>
    <t>CC270208</t>
  </si>
  <si>
    <t>CC270238</t>
  </si>
  <si>
    <t>CC270272</t>
  </si>
  <si>
    <t>CC270311</t>
  </si>
  <si>
    <t>CC270555</t>
  </si>
  <si>
    <t>CC270556</t>
  </si>
  <si>
    <t>CC270615</t>
  </si>
  <si>
    <t>CC270616</t>
  </si>
  <si>
    <t>CC270748</t>
  </si>
  <si>
    <t>CC270753</t>
  </si>
  <si>
    <t>CC270756</t>
  </si>
  <si>
    <t>CC270773</t>
  </si>
  <si>
    <t>CC270784</t>
  </si>
  <si>
    <t>CC270812</t>
  </si>
  <si>
    <t>CC270852</t>
  </si>
  <si>
    <t>CC271483</t>
  </si>
  <si>
    <t>CC272072</t>
  </si>
  <si>
    <t>CC272105</t>
  </si>
  <si>
    <t>CC272328</t>
  </si>
  <si>
    <t>CC272335</t>
  </si>
  <si>
    <t>CC272336</t>
  </si>
  <si>
    <t>CC272344</t>
  </si>
  <si>
    <t>CC272376</t>
  </si>
  <si>
    <t>CC272387</t>
  </si>
  <si>
    <t>CC272428</t>
  </si>
  <si>
    <t>CC272435</t>
  </si>
  <si>
    <t>CC272474</t>
  </si>
  <si>
    <t>CC272494</t>
  </si>
  <si>
    <t>CC272526</t>
  </si>
  <si>
    <t>CC272536</t>
  </si>
  <si>
    <t>CC272541</t>
  </si>
  <si>
    <t>CC272545</t>
  </si>
  <si>
    <t>CC272565</t>
  </si>
  <si>
    <t>CC272607</t>
  </si>
  <si>
    <t>CC272691</t>
  </si>
  <si>
    <t>CC272777</t>
  </si>
  <si>
    <t>CC272794</t>
  </si>
  <si>
    <t>CC272842</t>
  </si>
  <si>
    <t>CC272853</t>
  </si>
  <si>
    <t>CC272906</t>
  </si>
  <si>
    <t>CC272932</t>
  </si>
  <si>
    <t>CC272992</t>
  </si>
  <si>
    <t>CC273062</t>
  </si>
  <si>
    <t>CC273088</t>
  </si>
  <si>
    <t>CC273143</t>
  </si>
  <si>
    <t>CC273167</t>
  </si>
  <si>
    <t>CC273345</t>
  </si>
  <si>
    <t>CC273347</t>
  </si>
  <si>
    <t>CC273426</t>
  </si>
  <si>
    <t>CC273434</t>
  </si>
  <si>
    <t>CC273444</t>
  </si>
  <si>
    <t>CC273492</t>
  </si>
  <si>
    <t>CC273502</t>
  </si>
  <si>
    <t>CC273619</t>
  </si>
  <si>
    <t>CC273627</t>
  </si>
  <si>
    <t>CC273657</t>
  </si>
  <si>
    <t>CC273661</t>
  </si>
  <si>
    <t>CC273662</t>
  </si>
  <si>
    <t>CC273758</t>
  </si>
  <si>
    <t>CC273775</t>
  </si>
  <si>
    <t>CC273838</t>
  </si>
  <si>
    <t>CC273855</t>
  </si>
  <si>
    <t>CC273878</t>
  </si>
  <si>
    <t>CC273896</t>
  </si>
  <si>
    <t>CC273904</t>
  </si>
  <si>
    <t>CC274028</t>
  </si>
  <si>
    <t>CC274164</t>
  </si>
  <si>
    <t>CC274172</t>
  </si>
  <si>
    <t>CC274187</t>
  </si>
  <si>
    <t>CC274244</t>
  </si>
  <si>
    <t>CC274262</t>
  </si>
  <si>
    <t>CC274263</t>
  </si>
  <si>
    <t>CC274275</t>
  </si>
  <si>
    <t>CC274577</t>
  </si>
  <si>
    <t>CC274578</t>
  </si>
  <si>
    <t>CC274584</t>
  </si>
  <si>
    <t>CC274663</t>
  </si>
  <si>
    <t>CC274992</t>
  </si>
  <si>
    <t>CC275001</t>
  </si>
  <si>
    <t>CC275026</t>
  </si>
  <si>
    <t>CC275228</t>
  </si>
  <si>
    <t>CC275280</t>
  </si>
  <si>
    <t>CC275289</t>
  </si>
  <si>
    <t>CC275311</t>
  </si>
  <si>
    <t>CC275744</t>
  </si>
  <si>
    <t>CC275759</t>
  </si>
  <si>
    <t>CC275761</t>
  </si>
  <si>
    <t>CC275769</t>
  </si>
  <si>
    <t>CC275826</t>
  </si>
  <si>
    <t>CC275842</t>
  </si>
  <si>
    <t>CC275845</t>
  </si>
  <si>
    <t>CC275860</t>
  </si>
  <si>
    <t>CC275861</t>
  </si>
  <si>
    <t>CC275867</t>
  </si>
  <si>
    <t>CC275879</t>
  </si>
  <si>
    <t>CC275881</t>
  </si>
  <si>
    <t>CC275882</t>
  </si>
  <si>
    <t>CC275890</t>
  </si>
  <si>
    <t>CC275895</t>
  </si>
  <si>
    <t>CC276183</t>
  </si>
  <si>
    <t>CC276190</t>
  </si>
  <si>
    <t>CC276205</t>
  </si>
  <si>
    <t>CC276206</t>
  </si>
  <si>
    <t>CC276217</t>
  </si>
  <si>
    <t>CC276218</t>
  </si>
  <si>
    <t>CC276261</t>
  </si>
  <si>
    <t>CC276263</t>
  </si>
  <si>
    <t>CC276267</t>
  </si>
  <si>
    <t>CC276273</t>
  </si>
  <si>
    <t>CC276275</t>
  </si>
  <si>
    <t>CC276287</t>
  </si>
  <si>
    <t>CC276288</t>
  </si>
  <si>
    <t>CC276305</t>
  </si>
  <si>
    <t>CC276311</t>
  </si>
  <si>
    <t>CC276735</t>
  </si>
  <si>
    <t>CC276750</t>
  </si>
  <si>
    <t>CC276875</t>
  </si>
  <si>
    <t>CC277008</t>
  </si>
  <si>
    <t>CC277011</t>
  </si>
  <si>
    <t>CC277017</t>
  </si>
  <si>
    <t>CC277023</t>
  </si>
  <si>
    <t>CC277042</t>
  </si>
  <si>
    <t>CC277074</t>
  </si>
  <si>
    <t>CC277077</t>
  </si>
  <si>
    <t>CC277078</t>
  </si>
  <si>
    <t>CC277089</t>
  </si>
  <si>
    <t>CC277095</t>
  </si>
  <si>
    <t>CC277107</t>
  </si>
  <si>
    <t>CC277241</t>
  </si>
  <si>
    <t>CC277257</t>
  </si>
  <si>
    <t>CC277264</t>
  </si>
  <si>
    <t>CC277299</t>
  </si>
  <si>
    <t>CC277353</t>
  </si>
  <si>
    <t>CC277369</t>
  </si>
  <si>
    <t>CC277410</t>
  </si>
  <si>
    <t>CC277543</t>
  </si>
  <si>
    <t>CC277564</t>
  </si>
  <si>
    <t>CC277648</t>
  </si>
  <si>
    <t>CC277652</t>
  </si>
  <si>
    <t>CC277655</t>
  </si>
  <si>
    <t>CC277658</t>
  </si>
  <si>
    <t>CC277660</t>
  </si>
  <si>
    <t>CC277661</t>
  </si>
  <si>
    <t>CC277675</t>
  </si>
  <si>
    <t>CC277680</t>
  </si>
  <si>
    <t>CC278338</t>
  </si>
  <si>
    <t>CC278400</t>
  </si>
  <si>
    <t>CC280838</t>
  </si>
  <si>
    <t>CC280850</t>
  </si>
  <si>
    <t>CC280855</t>
  </si>
  <si>
    <t>CC280883</t>
  </si>
  <si>
    <t>CC280970</t>
  </si>
  <si>
    <t>CC280976</t>
  </si>
  <si>
    <t>CC280983</t>
  </si>
  <si>
    <t>CC281008</t>
  </si>
  <si>
    <t>CC281038</t>
  </si>
  <si>
    <t>CC281083</t>
  </si>
  <si>
    <t>CC281126</t>
  </si>
  <si>
    <t>CC281130</t>
  </si>
  <si>
    <t>CC281158</t>
  </si>
  <si>
    <t>CC281161</t>
  </si>
  <si>
    <t>CC281163</t>
  </si>
  <si>
    <t>CC281167</t>
  </si>
  <si>
    <t>CC281168</t>
  </si>
  <si>
    <t>CC281174</t>
  </si>
  <si>
    <t>CC281187</t>
  </si>
  <si>
    <t>CC281189</t>
  </si>
  <si>
    <t>CC281191</t>
  </si>
  <si>
    <t>CC281192</t>
  </si>
  <si>
    <t>CC281196</t>
  </si>
  <si>
    <t>CC281198</t>
  </si>
  <si>
    <t>CC281202</t>
  </si>
  <si>
    <t>CC281208</t>
  </si>
  <si>
    <t>CC281209</t>
  </si>
  <si>
    <t>CC281212</t>
  </si>
  <si>
    <t>CC281215</t>
  </si>
  <si>
    <t>CC281217</t>
  </si>
  <si>
    <t>CC281224</t>
  </si>
  <si>
    <t>CC281232</t>
  </si>
  <si>
    <t>CC281243</t>
  </si>
  <si>
    <t>CC281252</t>
  </si>
  <si>
    <t>CC281259</t>
  </si>
  <si>
    <t>CC281286</t>
  </si>
  <si>
    <t>CC281287</t>
  </si>
  <si>
    <t>CC281412</t>
  </si>
  <si>
    <t>CC281429</t>
  </si>
  <si>
    <t>CC281432</t>
  </si>
  <si>
    <t>CC281467</t>
  </si>
  <si>
    <t>CC281473</t>
  </si>
  <si>
    <t>CC281491</t>
  </si>
  <si>
    <t>CC281893</t>
  </si>
  <si>
    <t>CC281911</t>
  </si>
  <si>
    <t>CC281959</t>
  </si>
  <si>
    <t>CC282511</t>
  </si>
  <si>
    <t>CC282537</t>
  </si>
  <si>
    <t>CC282559</t>
  </si>
  <si>
    <t>CC282649</t>
  </si>
  <si>
    <t>CC282663</t>
  </si>
  <si>
    <t>CC282664</t>
  </si>
  <si>
    <t>CC282700</t>
  </si>
  <si>
    <t>CC282706</t>
  </si>
  <si>
    <t>CC282712</t>
  </si>
  <si>
    <t>CC282728</t>
  </si>
  <si>
    <t>CC282731</t>
  </si>
  <si>
    <t>CC282732</t>
  </si>
  <si>
    <t>CC282735</t>
  </si>
  <si>
    <t>CC282740</t>
  </si>
  <si>
    <t>CC282748</t>
  </si>
  <si>
    <t>CC282750</t>
  </si>
  <si>
    <t>CC282765</t>
  </si>
  <si>
    <t>CC282770</t>
  </si>
  <si>
    <t>CC282772</t>
  </si>
  <si>
    <t>CC282784</t>
  </si>
  <si>
    <t>CC282798</t>
  </si>
  <si>
    <t>CC282799</t>
  </si>
  <si>
    <t>CC282808</t>
  </si>
  <si>
    <t>CC282821</t>
  </si>
  <si>
    <t>CC282951</t>
  </si>
  <si>
    <t>CC282971</t>
  </si>
  <si>
    <t>CC282978</t>
  </si>
  <si>
    <t>CC282979</t>
  </si>
  <si>
    <t>CC283004</t>
  </si>
  <si>
    <t>CC283006</t>
  </si>
  <si>
    <t>CC283012</t>
  </si>
  <si>
    <t>CC283027</t>
  </si>
  <si>
    <t>CC283502</t>
  </si>
  <si>
    <t>CC283506</t>
  </si>
  <si>
    <t>CC283511</t>
  </si>
  <si>
    <t>CC283721</t>
  </si>
  <si>
    <t>CC283724</t>
  </si>
  <si>
    <t>CC283743</t>
  </si>
  <si>
    <t>CC283756</t>
  </si>
  <si>
    <t>CC283766</t>
  </si>
  <si>
    <t>CC283767</t>
  </si>
  <si>
    <t>CC283787</t>
  </si>
  <si>
    <t>CC283808</t>
  </si>
  <si>
    <t>CC283823</t>
  </si>
  <si>
    <t>CC283833</t>
  </si>
  <si>
    <t>CC283840</t>
  </si>
  <si>
    <t>CC283843</t>
  </si>
  <si>
    <t>CC283845</t>
  </si>
  <si>
    <t>CC283846</t>
  </si>
  <si>
    <t>CC283851</t>
  </si>
  <si>
    <t>CC283853</t>
  </si>
  <si>
    <t>CC283854</t>
  </si>
  <si>
    <t>CC283891</t>
  </si>
  <si>
    <t>CC283894</t>
  </si>
  <si>
    <t>CC283902</t>
  </si>
  <si>
    <t>CC283998</t>
  </si>
  <si>
    <t>CC284012</t>
  </si>
  <si>
    <t>CC284017</t>
  </si>
  <si>
    <t>CC284030</t>
  </si>
  <si>
    <t>CC284041</t>
  </si>
  <si>
    <t>CC284047</t>
  </si>
  <si>
    <t>CC284054</t>
  </si>
  <si>
    <t>CC284107</t>
  </si>
  <si>
    <t>CC284108</t>
  </si>
  <si>
    <t>CC284132</t>
  </si>
  <si>
    <t>CC284140</t>
  </si>
  <si>
    <t>CC284141</t>
  </si>
  <si>
    <t>CC284145</t>
  </si>
  <si>
    <t>CC284147</t>
  </si>
  <si>
    <t>CC284167</t>
  </si>
  <si>
    <t>CC284188</t>
  </si>
  <si>
    <t>CC284256</t>
  </si>
  <si>
    <t>CC284262</t>
  </si>
  <si>
    <t>CC284265</t>
  </si>
  <si>
    <t>CC284266</t>
  </si>
  <si>
    <t>CC284273</t>
  </si>
  <si>
    <t>CC284278</t>
  </si>
  <si>
    <t>CC284301</t>
  </si>
  <si>
    <t>CC284303</t>
  </si>
  <si>
    <t>CC284320</t>
  </si>
  <si>
    <t>CC284575</t>
  </si>
  <si>
    <t>CC284587</t>
  </si>
  <si>
    <t>CC284602</t>
  </si>
  <si>
    <t>CC284613</t>
  </si>
  <si>
    <t>CC284614</t>
  </si>
  <si>
    <t>CC284688</t>
  </si>
  <si>
    <t>CC284689</t>
  </si>
  <si>
    <t>CC284693</t>
  </si>
  <si>
    <t>CC284698</t>
  </si>
  <si>
    <t>CC284713</t>
  </si>
  <si>
    <t>CC284714</t>
  </si>
  <si>
    <t>CC284737</t>
  </si>
  <si>
    <t>CC285125</t>
  </si>
  <si>
    <t>CC286248</t>
  </si>
  <si>
    <t>CC286385</t>
  </si>
  <si>
    <t>CC286410</t>
  </si>
  <si>
    <t>CC286426</t>
  </si>
  <si>
    <t>CC286560</t>
  </si>
  <si>
    <t>CC286561</t>
  </si>
  <si>
    <t>CC286564</t>
  </si>
  <si>
    <t>CC286569</t>
  </si>
  <si>
    <t>CC286570</t>
  </si>
  <si>
    <t>CC286587</t>
  </si>
  <si>
    <t>CC286590</t>
  </si>
  <si>
    <t>CC286592</t>
  </si>
  <si>
    <t>CC286603</t>
  </si>
  <si>
    <t>CC286612</t>
  </si>
  <si>
    <t>CC286615</t>
  </si>
  <si>
    <t>CC286623</t>
  </si>
  <si>
    <t>CC286628</t>
  </si>
  <si>
    <t>CC286630</t>
  </si>
  <si>
    <t>CC286646</t>
  </si>
  <si>
    <t>CC286649</t>
  </si>
  <si>
    <t>CC286650</t>
  </si>
  <si>
    <t>CC286654</t>
  </si>
  <si>
    <t>CC286656</t>
  </si>
  <si>
    <t>CC286664</t>
  </si>
  <si>
    <t>CC286672</t>
  </si>
  <si>
    <t>CC286725</t>
  </si>
  <si>
    <t>CC286726</t>
  </si>
  <si>
    <t>CC286728</t>
  </si>
  <si>
    <t>CC286729</t>
  </si>
  <si>
    <t>CC286731</t>
  </si>
  <si>
    <t>CC286734</t>
  </si>
  <si>
    <t>CC286736</t>
  </si>
  <si>
    <t>CC286737</t>
  </si>
  <si>
    <t>CC286740</t>
  </si>
  <si>
    <t>CC286741</t>
  </si>
  <si>
    <t>CC286742</t>
  </si>
  <si>
    <t>CC286746</t>
  </si>
  <si>
    <t>CC286749</t>
  </si>
  <si>
    <t>CC286751</t>
  </si>
  <si>
    <t>CC286753</t>
  </si>
  <si>
    <t>CC286754</t>
  </si>
  <si>
    <t>CC286755</t>
  </si>
  <si>
    <t>CC286756</t>
  </si>
  <si>
    <t>CC286757</t>
  </si>
  <si>
    <t>CC286759</t>
  </si>
  <si>
    <t>CC286761</t>
  </si>
  <si>
    <t>CC286764</t>
  </si>
  <si>
    <t>CC286766</t>
  </si>
  <si>
    <t>CC286767</t>
  </si>
  <si>
    <t>CC286961</t>
  </si>
  <si>
    <t>CC286993</t>
  </si>
  <si>
    <t>CC287001</t>
  </si>
  <si>
    <t>CC287012</t>
  </si>
  <si>
    <t>CC287069</t>
  </si>
  <si>
    <t>CC287094</t>
  </si>
  <si>
    <t>CC287095</t>
  </si>
  <si>
    <t>CC287144</t>
  </si>
  <si>
    <t>CC287211</t>
  </si>
  <si>
    <t>CC287212</t>
  </si>
  <si>
    <t>CC287213</t>
  </si>
  <si>
    <t>CC287220</t>
  </si>
  <si>
    <t>CC287226</t>
  </si>
  <si>
    <t>CC287236</t>
  </si>
  <si>
    <t>CC287240</t>
  </si>
  <si>
    <t>CC287241</t>
  </si>
  <si>
    <t>CC287244</t>
  </si>
  <si>
    <t>CC287249</t>
  </si>
  <si>
    <t>CC287265</t>
  </si>
  <si>
    <t>CC287267</t>
  </si>
  <si>
    <t>CC287269</t>
  </si>
  <si>
    <t>CC287271</t>
  </si>
  <si>
    <t>CC287282</t>
  </si>
  <si>
    <t>CC287286</t>
  </si>
  <si>
    <t>CC287288</t>
  </si>
  <si>
    <t>CC287293</t>
  </si>
  <si>
    <t>CC287294</t>
  </si>
  <si>
    <t>CC287302</t>
  </si>
  <si>
    <t>CC287303</t>
  </si>
  <si>
    <t>CC287304</t>
  </si>
  <si>
    <t>CC287307</t>
  </si>
  <si>
    <t>CC287312</t>
  </si>
  <si>
    <t>CC287318</t>
  </si>
  <si>
    <t>CC287323</t>
  </si>
  <si>
    <t>CC287325</t>
  </si>
  <si>
    <t>CC287329</t>
  </si>
  <si>
    <t>CC287331</t>
  </si>
  <si>
    <t>CC287345</t>
  </si>
  <si>
    <t>CC287371</t>
  </si>
  <si>
    <t>CC287378</t>
  </si>
  <si>
    <t>CC287624</t>
  </si>
  <si>
    <t>CC287630</t>
  </si>
  <si>
    <t>CC287631</t>
  </si>
  <si>
    <t>CC287633</t>
  </si>
  <si>
    <t>CC287637</t>
  </si>
  <si>
    <t>CC287842</t>
  </si>
  <si>
    <t>CC287848</t>
  </si>
  <si>
    <t>CC287868</t>
  </si>
  <si>
    <t>CC287883</t>
  </si>
  <si>
    <t>CC287884</t>
  </si>
  <si>
    <t>CC287892</t>
  </si>
  <si>
    <t>CC287929</t>
  </si>
  <si>
    <t>CC287946</t>
  </si>
  <si>
    <t>CC287953</t>
  </si>
  <si>
    <t>CC287979</t>
  </si>
  <si>
    <t>CC288488</t>
  </si>
  <si>
    <t>CC288508</t>
  </si>
  <si>
    <t>CC288509</t>
  </si>
  <si>
    <t>CC288523</t>
  </si>
  <si>
    <t>CC288531</t>
  </si>
  <si>
    <t>CC288552</t>
  </si>
  <si>
    <t>CC288553</t>
  </si>
  <si>
    <t>CC288563</t>
  </si>
  <si>
    <t>CC288571</t>
  </si>
  <si>
    <t>CC288575</t>
  </si>
  <si>
    <t>CC288580</t>
  </si>
  <si>
    <t>CC288584</t>
  </si>
  <si>
    <t>CC288587</t>
  </si>
  <si>
    <t>CC288588</t>
  </si>
  <si>
    <t>CC288589</t>
  </si>
  <si>
    <t>CC288590</t>
  </si>
  <si>
    <t>CC288591</t>
  </si>
  <si>
    <t>CC288594</t>
  </si>
  <si>
    <t>CC288596</t>
  </si>
  <si>
    <t>CC288603</t>
  </si>
  <si>
    <t>CC288606</t>
  </si>
  <si>
    <t>CC288610</t>
  </si>
  <si>
    <t>CC288621</t>
  </si>
  <si>
    <t>CC288807</t>
  </si>
  <si>
    <t>CC288811</t>
  </si>
  <si>
    <t>CC288829</t>
  </si>
  <si>
    <t>CC288830</t>
  </si>
  <si>
    <t>CC288835</t>
  </si>
  <si>
    <t>CC288838</t>
  </si>
  <si>
    <t>CC288840</t>
  </si>
  <si>
    <t>CC288862</t>
  </si>
  <si>
    <t>CC288872</t>
  </si>
  <si>
    <t>CC288873</t>
  </si>
  <si>
    <t>CC288874</t>
  </si>
  <si>
    <t>CC288878</t>
  </si>
  <si>
    <t>CC291288</t>
  </si>
  <si>
    <t>CC291306</t>
  </si>
  <si>
    <t>CC291348</t>
  </si>
  <si>
    <t>CC291349</t>
  </si>
  <si>
    <t>CC291365</t>
  </si>
  <si>
    <t>CC291377</t>
  </si>
  <si>
    <t>CC291394</t>
  </si>
  <si>
    <t>CC291397</t>
  </si>
  <si>
    <t>CC291862</t>
  </si>
  <si>
    <t>CC291868</t>
  </si>
  <si>
    <t>CC291871</t>
  </si>
  <si>
    <t>CC292051</t>
  </si>
  <si>
    <t>CC292064</t>
  </si>
  <si>
    <t>CC292155</t>
  </si>
  <si>
    <t>CC292156</t>
  </si>
  <si>
    <t>CC292161</t>
  </si>
  <si>
    <t>CC292162</t>
  </si>
  <si>
    <t>CC292165</t>
  </si>
  <si>
    <t>CC292185</t>
  </si>
  <si>
    <t>CC292188</t>
  </si>
  <si>
    <t>CC292209</t>
  </si>
  <si>
    <t>CC292211</t>
  </si>
  <si>
    <t>CC292215</t>
  </si>
  <si>
    <t>CC292216</t>
  </si>
  <si>
    <t>CC292219</t>
  </si>
  <si>
    <t>CC292220</t>
  </si>
  <si>
    <t>CC292224</t>
  </si>
  <si>
    <t>CC292226</t>
  </si>
  <si>
    <t>CC292228</t>
  </si>
  <si>
    <t>CC292230</t>
  </si>
  <si>
    <t>CC292232</t>
  </si>
  <si>
    <t>CC292237</t>
  </si>
  <si>
    <t>CC292238</t>
  </si>
  <si>
    <t>CC292240</t>
  </si>
  <si>
    <t>CC292247</t>
  </si>
  <si>
    <t>CC292289</t>
  </si>
  <si>
    <t>CC292291</t>
  </si>
  <si>
    <t>CC292292</t>
  </si>
  <si>
    <t>CC292293</t>
  </si>
  <si>
    <t>CC292295</t>
  </si>
  <si>
    <t>CC292299</t>
  </si>
  <si>
    <t>CC292419</t>
  </si>
  <si>
    <t>CC292422</t>
  </si>
  <si>
    <t>CC292423</t>
  </si>
  <si>
    <t>CC292444</t>
  </si>
  <si>
    <t>CC292463</t>
  </si>
  <si>
    <t>CC292466</t>
  </si>
  <si>
    <t>CC292468</t>
  </si>
  <si>
    <t>CC292472</t>
  </si>
  <si>
    <t>CC292475</t>
  </si>
  <si>
    <t>CC292476</t>
  </si>
  <si>
    <t>CC292477</t>
  </si>
  <si>
    <t>CC292479</t>
  </si>
  <si>
    <t>CC292482</t>
  </si>
  <si>
    <t>CC292483</t>
  </si>
  <si>
    <t>CC292490</t>
  </si>
  <si>
    <t>CC292491</t>
  </si>
  <si>
    <t>CC292737</t>
  </si>
  <si>
    <t>CC292749</t>
  </si>
  <si>
    <t>CC292793</t>
  </si>
  <si>
    <t>CC292857</t>
  </si>
  <si>
    <t>CC293001</t>
  </si>
  <si>
    <t>CC293013</t>
  </si>
  <si>
    <t>CC293026</t>
  </si>
  <si>
    <t>CC293379</t>
  </si>
  <si>
    <t>CC293380</t>
  </si>
  <si>
    <t>CC293381</t>
  </si>
  <si>
    <t>CC293383</t>
  </si>
  <si>
    <t>CC293384</t>
  </si>
  <si>
    <t>CC293385</t>
  </si>
  <si>
    <t>CC293386</t>
  </si>
  <si>
    <t>CC293387</t>
  </si>
  <si>
    <t>CC293390</t>
  </si>
  <si>
    <t>CC293402</t>
  </si>
  <si>
    <t>CC293404</t>
  </si>
  <si>
    <t>CC293405</t>
  </si>
  <si>
    <t>CC293412</t>
  </si>
  <si>
    <t>CC293417</t>
  </si>
  <si>
    <t>CC293418</t>
  </si>
  <si>
    <t>CC293419</t>
  </si>
  <si>
    <t>CC293424</t>
  </si>
  <si>
    <t>CC293425</t>
  </si>
  <si>
    <t>CC293426</t>
  </si>
  <si>
    <t>CC293427</t>
  </si>
  <si>
    <t>CC293428</t>
  </si>
  <si>
    <t>CC293429</t>
  </si>
  <si>
    <t>CC293430</t>
  </si>
  <si>
    <t>CC293432</t>
  </si>
  <si>
    <t>CC293433</t>
  </si>
  <si>
    <t>CC294409</t>
  </si>
  <si>
    <t>CC294632</t>
  </si>
  <si>
    <t>CC294633</t>
  </si>
  <si>
    <t>CC294639</t>
  </si>
  <si>
    <t>CC294651</t>
  </si>
  <si>
    <t>CC294652</t>
  </si>
  <si>
    <t>CC294686</t>
  </si>
  <si>
    <t>CC294708</t>
  </si>
  <si>
    <t>CC294717</t>
  </si>
  <si>
    <t>CC294719</t>
  </si>
  <si>
    <t>CC294744</t>
  </si>
  <si>
    <t>CC294754</t>
  </si>
  <si>
    <t>CC294755</t>
  </si>
  <si>
    <t>TC046199</t>
  </si>
  <si>
    <t>TR447061</t>
  </si>
  <si>
    <t>TR601248</t>
  </si>
  <si>
    <t>TR601279</t>
  </si>
  <si>
    <t>TR613356</t>
  </si>
  <si>
    <t>TR616172</t>
  </si>
  <si>
    <t>TR618281</t>
  </si>
  <si>
    <t>TR619011</t>
  </si>
  <si>
    <t>TR619025</t>
  </si>
  <si>
    <t>TR620994</t>
  </si>
  <si>
    <t>TR620995</t>
  </si>
  <si>
    <t>TR621394</t>
  </si>
  <si>
    <t>TR621412</t>
  </si>
  <si>
    <t>TR622446</t>
  </si>
  <si>
    <t>TR622450</t>
  </si>
  <si>
    <t>TR622470</t>
  </si>
  <si>
    <t>TR622489</t>
  </si>
  <si>
    <t>TR622915</t>
  </si>
  <si>
    <t>TR624418</t>
  </si>
  <si>
    <t>TR624435</t>
  </si>
  <si>
    <t>TR624440</t>
  </si>
  <si>
    <t>TR624481</t>
  </si>
  <si>
    <t>TR624507</t>
  </si>
  <si>
    <t>TR625933</t>
  </si>
  <si>
    <t>TR626418</t>
  </si>
  <si>
    <t>TR627662</t>
  </si>
  <si>
    <t>TR628264</t>
  </si>
  <si>
    <t>TR628335</t>
  </si>
  <si>
    <t>TR628364</t>
  </si>
  <si>
    <t>TR628368</t>
  </si>
  <si>
    <t>TR630097</t>
  </si>
  <si>
    <t>TR632339</t>
  </si>
  <si>
    <t>TR639451</t>
  </si>
  <si>
    <t>TR639453</t>
  </si>
  <si>
    <t>TR639454</t>
  </si>
  <si>
    <t>TR639455</t>
  </si>
  <si>
    <t>TR639456</t>
  </si>
  <si>
    <t>TR639457</t>
  </si>
  <si>
    <t>TR639458</t>
  </si>
  <si>
    <t>TR639459</t>
  </si>
  <si>
    <t>TR639460</t>
  </si>
  <si>
    <t>TR639462</t>
  </si>
  <si>
    <t>TR639463</t>
  </si>
  <si>
    <t>TR639464</t>
  </si>
  <si>
    <t>TR639465</t>
  </si>
  <si>
    <t>TR639466</t>
  </si>
  <si>
    <t>TR639468</t>
  </si>
  <si>
    <t>TR641629</t>
  </si>
  <si>
    <t>TR641630</t>
  </si>
  <si>
    <t>TR641631</t>
  </si>
  <si>
    <t>TR641632</t>
  </si>
  <si>
    <t>TR641633</t>
  </si>
  <si>
    <t>TR641634</t>
  </si>
  <si>
    <t>TR641635</t>
  </si>
  <si>
    <t>TR641636</t>
  </si>
  <si>
    <t>TR641637</t>
  </si>
  <si>
    <t>TR641638</t>
  </si>
  <si>
    <t>TR641639</t>
  </si>
  <si>
    <t>TR641640</t>
  </si>
  <si>
    <t>TR641641</t>
  </si>
  <si>
    <t>TR641642</t>
  </si>
  <si>
    <t>TR641643</t>
  </si>
  <si>
    <t>TR641644</t>
  </si>
  <si>
    <t>TR641645</t>
  </si>
  <si>
    <t>TR641646</t>
  </si>
  <si>
    <t>TR641647</t>
  </si>
  <si>
    <t>TR641648</t>
  </si>
  <si>
    <t>TR641649</t>
  </si>
  <si>
    <t>TR641650</t>
  </si>
  <si>
    <t>TR641651</t>
  </si>
  <si>
    <t>TR641652</t>
  </si>
  <si>
    <t>TR641653</t>
  </si>
  <si>
    <t>TR641654</t>
  </si>
  <si>
    <t>TR641655</t>
  </si>
  <si>
    <t>TR641656</t>
  </si>
  <si>
    <t>TR641657</t>
  </si>
  <si>
    <t>TR641658</t>
  </si>
  <si>
    <t>TR641659</t>
  </si>
  <si>
    <t>TR641660</t>
  </si>
  <si>
    <t>TR641661</t>
  </si>
  <si>
    <t>TR641662</t>
  </si>
  <si>
    <t>TR641663</t>
  </si>
  <si>
    <t>TR641664</t>
  </si>
  <si>
    <t>TR641665</t>
  </si>
  <si>
    <t>TR641666</t>
  </si>
  <si>
    <t>TR641667</t>
  </si>
  <si>
    <t>TR641668</t>
  </si>
  <si>
    <t>TR641669</t>
  </si>
  <si>
    <t>TR641685</t>
  </si>
  <si>
    <t>TR641686</t>
  </si>
  <si>
    <t>TR643708</t>
  </si>
  <si>
    <t>TR643714</t>
  </si>
  <si>
    <t>TR643717</t>
  </si>
  <si>
    <t>TR643718</t>
  </si>
  <si>
    <t>TR643719</t>
  </si>
  <si>
    <t>TR643721</t>
  </si>
  <si>
    <t>TR643725</t>
  </si>
  <si>
    <t>TR643785</t>
  </si>
  <si>
    <t>TR643787</t>
  </si>
  <si>
    <t>TR643790</t>
  </si>
  <si>
    <t>TR643791</t>
  </si>
  <si>
    <t>TR643792</t>
  </si>
  <si>
    <t>TR643793</t>
  </si>
  <si>
    <t>TR643795</t>
  </si>
  <si>
    <t>TR643796</t>
  </si>
  <si>
    <t>TR643799</t>
  </si>
  <si>
    <t>TR643800</t>
  </si>
  <si>
    <t>TR643801</t>
  </si>
  <si>
    <t>TR643803</t>
  </si>
  <si>
    <t>TR643804</t>
  </si>
  <si>
    <t>TR643805</t>
  </si>
  <si>
    <t>TR643806</t>
  </si>
  <si>
    <t>TR643807</t>
  </si>
  <si>
    <t>TR643808</t>
  </si>
  <si>
    <t>TR643809</t>
  </si>
  <si>
    <t>TR643810</t>
  </si>
  <si>
    <t>TR643811</t>
  </si>
  <si>
    <t>TR643812</t>
  </si>
  <si>
    <t>TR643813</t>
  </si>
  <si>
    <t>TR643814</t>
  </si>
  <si>
    <t>TR643815</t>
  </si>
  <si>
    <t>TR643816</t>
  </si>
  <si>
    <t>TR643817</t>
  </si>
  <si>
    <t>TR643818</t>
  </si>
  <si>
    <t>TR643819</t>
  </si>
  <si>
    <t>TR643820</t>
  </si>
  <si>
    <t>TR643821</t>
  </si>
  <si>
    <t>TR643822</t>
  </si>
  <si>
    <t>TR643823</t>
  </si>
  <si>
    <t>TR643824</t>
  </si>
  <si>
    <t>TR643825</t>
  </si>
  <si>
    <t>TR643826</t>
  </si>
  <si>
    <t>TR643827</t>
  </si>
  <si>
    <t>TR643828</t>
  </si>
  <si>
    <t>TR644084</t>
  </si>
  <si>
    <t>TR646019</t>
  </si>
  <si>
    <t>TR646021</t>
  </si>
  <si>
    <t>TR646022</t>
  </si>
  <si>
    <t>TR646023</t>
  </si>
  <si>
    <t>TR646024</t>
  </si>
  <si>
    <t>TR646025</t>
  </si>
  <si>
    <t>TR646026</t>
  </si>
  <si>
    <t>TR646027</t>
  </si>
  <si>
    <t>TR646028</t>
  </si>
  <si>
    <t>TR646029</t>
  </si>
  <si>
    <t>TR646030</t>
  </si>
  <si>
    <t>TR646031</t>
  </si>
  <si>
    <t>TR646032</t>
  </si>
  <si>
    <t>TR646033</t>
  </si>
  <si>
    <t>TR646034</t>
  </si>
  <si>
    <t>TR646121</t>
  </si>
  <si>
    <t>TR646122</t>
  </si>
  <si>
    <t>TR646123</t>
  </si>
  <si>
    <t>TR646124</t>
  </si>
  <si>
    <t>TR646125</t>
  </si>
  <si>
    <t>TR646126</t>
  </si>
  <si>
    <t>TR646127</t>
  </si>
  <si>
    <t>TR646128</t>
  </si>
  <si>
    <t>TR646129</t>
  </si>
  <si>
    <t>TR646130</t>
  </si>
  <si>
    <t>TR646131</t>
  </si>
  <si>
    <t>TR646132</t>
  </si>
  <si>
    <t>TR646133</t>
  </si>
  <si>
    <t>TR646134</t>
  </si>
  <si>
    <t>TR646135</t>
  </si>
  <si>
    <t>TR646136</t>
  </si>
  <si>
    <t>TR646137</t>
  </si>
  <si>
    <t>TR646138</t>
  </si>
  <si>
    <t>TR646139</t>
  </si>
  <si>
    <t>TR646140</t>
  </si>
  <si>
    <t>TR646141</t>
  </si>
  <si>
    <t>TR646142</t>
  </si>
  <si>
    <t>TR646143</t>
  </si>
  <si>
    <t>TR646144</t>
  </si>
  <si>
    <t>TR646145</t>
  </si>
  <si>
    <t>TR646146</t>
  </si>
  <si>
    <t>TR646147</t>
  </si>
  <si>
    <t>TR646148</t>
  </si>
  <si>
    <t>TR646152</t>
  </si>
  <si>
    <t>TR647595</t>
  </si>
  <si>
    <t>TR647597</t>
  </si>
  <si>
    <t>TR647600</t>
  </si>
  <si>
    <t>TR647601</t>
  </si>
  <si>
    <t>TR647605</t>
  </si>
  <si>
    <t>TR647607</t>
  </si>
  <si>
    <t>TR647618</t>
  </si>
  <si>
    <t>TR647619</t>
  </si>
  <si>
    <t>TR647624</t>
  </si>
  <si>
    <t>TR647627</t>
  </si>
  <si>
    <t>TR647628</t>
  </si>
  <si>
    <t>TR647630</t>
  </si>
  <si>
    <t>TR647635</t>
  </si>
  <si>
    <t>TR647638</t>
  </si>
  <si>
    <t>TR647641</t>
  </si>
  <si>
    <t>TR647647</t>
  </si>
  <si>
    <t>TR647651</t>
  </si>
  <si>
    <t>TR647652</t>
  </si>
  <si>
    <t>TR647658</t>
  </si>
  <si>
    <t>TR647659</t>
  </si>
  <si>
    <t>TR647660</t>
  </si>
  <si>
    <t>TR647663</t>
  </si>
  <si>
    <t>TR647666</t>
  </si>
  <si>
    <t>TR647668</t>
  </si>
  <si>
    <t>TR647673</t>
  </si>
  <si>
    <t>TR647674</t>
  </si>
  <si>
    <t>TR647676</t>
  </si>
  <si>
    <t>TR647680</t>
  </si>
  <si>
    <t>TR647683</t>
  </si>
  <si>
    <t>TR647685</t>
  </si>
  <si>
    <t>TR647738</t>
  </si>
  <si>
    <t>TR647740</t>
  </si>
  <si>
    <t>TR647744</t>
  </si>
  <si>
    <t>TR647747</t>
  </si>
  <si>
    <t>TR647751</t>
  </si>
  <si>
    <t>TR647756</t>
  </si>
  <si>
    <t>TR647757</t>
  </si>
  <si>
    <t>TR647759</t>
  </si>
  <si>
    <t>TR647762</t>
  </si>
  <si>
    <t>TR647765</t>
  </si>
  <si>
    <t>TR647766</t>
  </si>
  <si>
    <t>TR647767</t>
  </si>
  <si>
    <t>TR647768</t>
  </si>
  <si>
    <t>TR647770</t>
  </si>
  <si>
    <t>TR647774</t>
  </si>
  <si>
    <t>TR647776</t>
  </si>
  <si>
    <t>TR647777</t>
  </si>
  <si>
    <t>TR647778</t>
  </si>
  <si>
    <t>TR647779</t>
  </si>
  <si>
    <t>TR647781</t>
  </si>
  <si>
    <t>TR647783</t>
  </si>
  <si>
    <t>TR647786</t>
  </si>
  <si>
    <t>CC294710</t>
  </si>
  <si>
    <t>CC295219</t>
  </si>
  <si>
    <t>TR658282</t>
  </si>
  <si>
    <t>TR658281</t>
  </si>
  <si>
    <t>TR658280</t>
  </si>
  <si>
    <t>TR658285</t>
  </si>
  <si>
    <t>TR658286</t>
  </si>
  <si>
    <t>TR658278</t>
  </si>
  <si>
    <t>TR658284</t>
  </si>
  <si>
    <t>TR658279</t>
  </si>
  <si>
    <t>TR658283</t>
  </si>
  <si>
    <t>BC727033</t>
  </si>
  <si>
    <t>BC731277</t>
  </si>
  <si>
    <t>BC731273</t>
  </si>
  <si>
    <t>BC727063</t>
  </si>
  <si>
    <t>CC275870</t>
  </si>
  <si>
    <t>BC708170</t>
  </si>
  <si>
    <t>BC658975</t>
  </si>
  <si>
    <t>BC708169</t>
  </si>
  <si>
    <t>BC710696</t>
  </si>
  <si>
    <t>BC665454</t>
  </si>
  <si>
    <t>BC717722</t>
  </si>
  <si>
    <t>BC695172</t>
  </si>
  <si>
    <t>BC708254</t>
  </si>
  <si>
    <t>BC693978</t>
  </si>
  <si>
    <t>BC710528</t>
  </si>
  <si>
    <t>BC713354</t>
  </si>
  <si>
    <t>BC708217</t>
  </si>
  <si>
    <t>BC711797</t>
  </si>
  <si>
    <t>BC710614</t>
  </si>
  <si>
    <t>BC717687</t>
  </si>
  <si>
    <t>BC692101</t>
  </si>
  <si>
    <t>BC726327</t>
  </si>
  <si>
    <t>BC727678</t>
  </si>
  <si>
    <t>BC727680</t>
  </si>
  <si>
    <t>BC726359</t>
  </si>
  <si>
    <t>BC726901</t>
  </si>
  <si>
    <t>BC727670</t>
  </si>
  <si>
    <t>BC726892</t>
  </si>
  <si>
    <t>BC726367</t>
  </si>
  <si>
    <t>BC727685</t>
  </si>
  <si>
    <t>BC726871</t>
  </si>
  <si>
    <t>BC726338</t>
  </si>
  <si>
    <t>BC726358</t>
  </si>
  <si>
    <t>BC726936</t>
  </si>
  <si>
    <t>BC726344</t>
  </si>
  <si>
    <t>BC726915</t>
  </si>
  <si>
    <t>BC727691</t>
  </si>
  <si>
    <t>BC728310</t>
  </si>
  <si>
    <t>BC728298</t>
  </si>
  <si>
    <t>BC620835</t>
  </si>
  <si>
    <t>BC726321</t>
  </si>
  <si>
    <t>BC726322</t>
  </si>
  <si>
    <t>BC727681</t>
  </si>
  <si>
    <t>BC726340</t>
  </si>
  <si>
    <t>BC726876</t>
  </si>
  <si>
    <t>BC728326</t>
  </si>
  <si>
    <t>BC726364</t>
  </si>
  <si>
    <t>BC727668</t>
  </si>
  <si>
    <t>BC726305</t>
  </si>
  <si>
    <t>BC728299</t>
  </si>
  <si>
    <t>BC728316</t>
  </si>
  <si>
    <t>BC726930</t>
  </si>
  <si>
    <t>BC726328</t>
  </si>
  <si>
    <t>BC675997</t>
  </si>
  <si>
    <t>BC726869</t>
  </si>
  <si>
    <t>BC728671</t>
  </si>
  <si>
    <t>BC726363</t>
  </si>
  <si>
    <t>BC726941</t>
  </si>
  <si>
    <t>BC726345</t>
  </si>
  <si>
    <t>BC726885</t>
  </si>
  <si>
    <t>BC728325</t>
  </si>
  <si>
    <t>BC726362</t>
  </si>
  <si>
    <t>BC726908</t>
  </si>
  <si>
    <t>BC727669</t>
  </si>
  <si>
    <t>BC728313</t>
  </si>
  <si>
    <t>BC726893</t>
  </si>
  <si>
    <t>BC727688</t>
  </si>
  <si>
    <t>BC726924</t>
  </si>
  <si>
    <t>BC728307</t>
  </si>
  <si>
    <t>BC726368</t>
  </si>
  <si>
    <t>BC728308</t>
  </si>
  <si>
    <t>BC727687</t>
  </si>
  <si>
    <t>BC728302</t>
  </si>
  <si>
    <t>BC726366</t>
  </si>
  <si>
    <t>BC726377</t>
  </si>
  <si>
    <t>BC728488</t>
  </si>
  <si>
    <t>BC726920</t>
  </si>
  <si>
    <t>BC727683</t>
  </si>
  <si>
    <t>BC727677</t>
  </si>
  <si>
    <t>BC727682</t>
  </si>
  <si>
    <t>BC726323</t>
  </si>
  <si>
    <t>BC726374</t>
  </si>
  <si>
    <t>BC727684</t>
  </si>
  <si>
    <t>BC695131</t>
  </si>
  <si>
    <t>BC726355</t>
  </si>
  <si>
    <t>BC728304</t>
  </si>
  <si>
    <t>BC726348</t>
  </si>
  <si>
    <t>BC728306</t>
  </si>
  <si>
    <t>BC726360</t>
  </si>
  <si>
    <t>BC727671</t>
  </si>
  <si>
    <t>BC727693</t>
  </si>
  <si>
    <t>BC727690</t>
  </si>
  <si>
    <t>BC726365</t>
  </si>
  <si>
    <t>BC726376</t>
  </si>
  <si>
    <t>BC726903</t>
  </si>
  <si>
    <t>BC726369</t>
  </si>
  <si>
    <t>BC726940</t>
  </si>
  <si>
    <t>BC726354</t>
  </si>
  <si>
    <t>BC726347</t>
  </si>
  <si>
    <t>BC726918</t>
  </si>
  <si>
    <t>BC727694</t>
  </si>
  <si>
    <t>BC728321</t>
  </si>
  <si>
    <t>BC728312</t>
  </si>
  <si>
    <t>BC727676</t>
  </si>
  <si>
    <t>BC726900</t>
  </si>
  <si>
    <t>BC726879</t>
  </si>
  <si>
    <t>BC726373</t>
  </si>
  <si>
    <t>BC726922</t>
  </si>
  <si>
    <t>BC726334</t>
  </si>
  <si>
    <t>BC728320</t>
  </si>
  <si>
    <t>CC046076</t>
  </si>
  <si>
    <t>TR658697</t>
  </si>
  <si>
    <t>TR658695</t>
  </si>
  <si>
    <t>TR658694</t>
  </si>
  <si>
    <t>TR658693</t>
  </si>
  <si>
    <t>TR658696</t>
  </si>
  <si>
    <t>TR658691</t>
  </si>
  <si>
    <t>TR658682</t>
  </si>
  <si>
    <t>TR658686</t>
  </si>
  <si>
    <t>TR658692</t>
  </si>
  <si>
    <t>TR658673</t>
  </si>
  <si>
    <t>TR657944</t>
  </si>
  <si>
    <t>TR658685</t>
  </si>
  <si>
    <t>TR658678</t>
  </si>
  <si>
    <t>TR658679</t>
  </si>
  <si>
    <t>TR658689</t>
  </si>
  <si>
    <t>TR658674</t>
  </si>
  <si>
    <t>TR658683</t>
  </si>
  <si>
    <t>TR658681</t>
  </si>
  <si>
    <t>TR658688</t>
  </si>
  <si>
    <t>TR658687</t>
  </si>
  <si>
    <t>TR658680</t>
  </si>
  <si>
    <t>TR658677</t>
  </si>
  <si>
    <t>TR658676</t>
  </si>
  <si>
    <t>TR658684</t>
  </si>
  <si>
    <t>TR658672</t>
  </si>
  <si>
    <t>TR658675</t>
  </si>
  <si>
    <t>TR658690</t>
  </si>
  <si>
    <t>BO BLINDAGEM OI TOTAL_ Aplicação-Migração de Oferta</t>
  </si>
  <si>
    <t>BO DOWNGRADE MÓVEL_ Aplicação-Migração de Oferta</t>
  </si>
  <si>
    <t>BO BLINDAGEM MÓVEL_ Aplicação-Migração de Oferta</t>
  </si>
  <si>
    <t>BO CONTROLE_Cancelamento</t>
  </si>
  <si>
    <t>BO CONTROLE_Ativo de Reversão</t>
  </si>
  <si>
    <t>BO CONTROLE _ Aplicação_Migração de Oferta</t>
  </si>
  <si>
    <t>BO CONTROLE_Acompanhamento BO</t>
  </si>
  <si>
    <t>CC276869</t>
  </si>
  <si>
    <t>BO RETENÇÃO OI TOTAL_ cancelamento</t>
  </si>
  <si>
    <t>BO RETENÇÃO OI TOTAL_ Aplicação-Migração de Oferta</t>
  </si>
  <si>
    <t>BO RETENÇÃO OI TOTAL_Acompanhamento BO</t>
  </si>
  <si>
    <t>NBA_Ofertas_BPRFixoVelox_BackOffice_RetencaoOT_v1</t>
  </si>
  <si>
    <t>BO POS_OCT_Cancelamento</t>
  </si>
  <si>
    <t>BO POS_OCT_Ativo de reversão</t>
  </si>
  <si>
    <t>BO POS_OCT_Aplicação_Migração de Ofertas</t>
  </si>
  <si>
    <t>BO POS_OCT_Acompanhamento BO</t>
  </si>
  <si>
    <t>TR046199</t>
  </si>
  <si>
    <t>TR384245</t>
  </si>
  <si>
    <t>TR617881</t>
  </si>
  <si>
    <t>TR645577</t>
  </si>
  <si>
    <t>TR659978</t>
  </si>
  <si>
    <t>TR659980</t>
  </si>
  <si>
    <t>TR659981</t>
  </si>
  <si>
    <t>TR659982</t>
  </si>
  <si>
    <t>TR659983</t>
  </si>
  <si>
    <t>TR659985</t>
  </si>
  <si>
    <t>TR659986</t>
  </si>
  <si>
    <t>TR659987</t>
  </si>
  <si>
    <t>TR659988</t>
  </si>
  <si>
    <t>TR659989</t>
  </si>
  <si>
    <t>TR659990</t>
  </si>
  <si>
    <t>TR659991</t>
  </si>
  <si>
    <t>SVA</t>
  </si>
  <si>
    <t>BO OIT UNIFICADO dd-mm</t>
  </si>
  <si>
    <t>BC731910</t>
  </si>
  <si>
    <t>BC731803</t>
  </si>
  <si>
    <t>BC731745</t>
  </si>
  <si>
    <t>BC732140</t>
  </si>
  <si>
    <t>BC731767</t>
  </si>
  <si>
    <t>BC732149</t>
  </si>
  <si>
    <t>BC731849</t>
  </si>
  <si>
    <t>BC731861</t>
  </si>
  <si>
    <t>BC732568</t>
  </si>
  <si>
    <t>BC731763</t>
  </si>
  <si>
    <t>BC731922</t>
  </si>
  <si>
    <t>BC732151</t>
  </si>
  <si>
    <t>BC731832</t>
  </si>
  <si>
    <t>BC731794</t>
  </si>
  <si>
    <t>BC731798</t>
  </si>
  <si>
    <t>BC731835</t>
  </si>
  <si>
    <t>BC731829</t>
  </si>
  <si>
    <t>BC731857</t>
  </si>
  <si>
    <t>BC731757</t>
  </si>
  <si>
    <t>BC731905</t>
  </si>
  <si>
    <t>BC731748</t>
  </si>
  <si>
    <t>BC731904</t>
  </si>
  <si>
    <t>BC731784</t>
  </si>
  <si>
    <t>BC732144</t>
  </si>
  <si>
    <t>BC731855</t>
  </si>
  <si>
    <t>BC731845</t>
  </si>
  <si>
    <t>BC732157</t>
  </si>
  <si>
    <t>BC732154</t>
  </si>
  <si>
    <t>BC732766</t>
  </si>
  <si>
    <t>BC732187</t>
  </si>
  <si>
    <t>BC731743</t>
  </si>
  <si>
    <t>BC731797</t>
  </si>
  <si>
    <t>BC731833</t>
  </si>
  <si>
    <t>BC732146</t>
  </si>
  <si>
    <t>BC732158</t>
  </si>
  <si>
    <t>BC731776</t>
  </si>
  <si>
    <t>BC731850</t>
  </si>
  <si>
    <t>BC731792</t>
  </si>
  <si>
    <t>BC732150</t>
  </si>
  <si>
    <t>BC731877</t>
  </si>
  <si>
    <t>BC731762</t>
  </si>
  <si>
    <t>BC731844</t>
  </si>
  <si>
    <t>BC731838</t>
  </si>
  <si>
    <t>BC731914</t>
  </si>
  <si>
    <t>BC731758</t>
  </si>
  <si>
    <t>BC731783</t>
  </si>
  <si>
    <t>BC732163</t>
  </si>
  <si>
    <t>BC731867</t>
  </si>
  <si>
    <t>BC731805</t>
  </si>
  <si>
    <t>BC732156</t>
  </si>
  <si>
    <t>BC731873</t>
  </si>
  <si>
    <t>BC731789</t>
  </si>
  <si>
    <t>BC732180</t>
  </si>
  <si>
    <t>BC731908</t>
  </si>
  <si>
    <t>BC732155</t>
  </si>
  <si>
    <t>BC731746</t>
  </si>
  <si>
    <t>BC731917</t>
  </si>
  <si>
    <t>BC731751</t>
  </si>
  <si>
    <t>BC731685</t>
  </si>
  <si>
    <t>BC731796</t>
  </si>
  <si>
    <t>BC732169</t>
  </si>
  <si>
    <t>BC731827</t>
  </si>
  <si>
    <t>BC731802</t>
  </si>
  <si>
    <t>BC732145</t>
  </si>
  <si>
    <t>BC731819</t>
  </si>
  <si>
    <t>BC731747</t>
  </si>
  <si>
    <t>BC731782</t>
  </si>
  <si>
    <t>BC731840</t>
  </si>
  <si>
    <t>BC731755</t>
  </si>
  <si>
    <t>BC732152</t>
  </si>
  <si>
    <t>BC731756</t>
  </si>
  <si>
    <t>BC732159</t>
  </si>
  <si>
    <t>BC731820</t>
  </si>
  <si>
    <t>BC731813</t>
  </si>
  <si>
    <t>BC731865</t>
  </si>
  <si>
    <t>BC731920</t>
  </si>
  <si>
    <t>BC731811</t>
  </si>
  <si>
    <t>BC731795</t>
  </si>
  <si>
    <t>BC731781</t>
  </si>
  <si>
    <t>BC732779</t>
  </si>
  <si>
    <t>BC732148</t>
  </si>
  <si>
    <t>BC731785</t>
  </si>
  <si>
    <t>BC731788</t>
  </si>
  <si>
    <t>BC731790</t>
  </si>
  <si>
    <t>BC731772</t>
  </si>
  <si>
    <t>BC731793</t>
  </si>
  <si>
    <t>BC732153</t>
  </si>
  <si>
    <t>BC731816</t>
  </si>
  <si>
    <t>BC731906</t>
  </si>
  <si>
    <t>BC731824</t>
  </si>
  <si>
    <t>BC731807</t>
  </si>
  <si>
    <t>BC731786</t>
  </si>
  <si>
    <t>BC731839</t>
  </si>
  <si>
    <t>BC731744</t>
  </si>
  <si>
    <t>BC731800</t>
  </si>
  <si>
    <t>BC731766</t>
  </si>
  <si>
    <t>BC731799</t>
  </si>
  <si>
    <t>Portabilidade</t>
  </si>
  <si>
    <t>BO PORTABILIDADE MÓVEL_Instalação</t>
  </si>
  <si>
    <t>OiTotal_Cliente Fibra_Cancelamento</t>
  </si>
  <si>
    <t>OiTotal_Cliente Fibra_ Migração de Plano</t>
  </si>
  <si>
    <t>OiTotal_Cliente Fibra_Desmembramento Cobre</t>
  </si>
  <si>
    <t>OiTotal_Cliente Fibra_Acompanhamento</t>
  </si>
  <si>
    <t>OIT Fibra</t>
  </si>
  <si>
    <t>cancFibra</t>
  </si>
  <si>
    <t>desmFibra</t>
  </si>
  <si>
    <t>migFibra</t>
  </si>
  <si>
    <t>acompFibra</t>
  </si>
  <si>
    <t>BO RETENÇÃO FIBRA - TT BUZIOS</t>
  </si>
  <si>
    <t>BO RETENÇÃO FIBRA - TT DQX</t>
  </si>
  <si>
    <t>fibraOFF_Buzios</t>
  </si>
  <si>
    <t>fibraOFF_DQX</t>
  </si>
  <si>
    <t>fibraOFF_Massiva</t>
  </si>
  <si>
    <t>BO RETENÇÃO FIBRA-TT MASSIVA NACIONAL</t>
  </si>
  <si>
    <t>tvDth</t>
  </si>
  <si>
    <t>BO RETENÇÃO OI TOTAL-ACOMPANHAMENTO EXTRAVIO TV DTH</t>
  </si>
  <si>
    <t>MigraFibra</t>
  </si>
  <si>
    <t>MIGRA FIBRA INADIMPLENTE OIT</t>
  </si>
  <si>
    <t>involTV</t>
  </si>
  <si>
    <t>BO RETENÇÃO OI TOTAL-CLIENTE FIBRA INVOL TV</t>
  </si>
  <si>
    <t>BO_Acomp_OS_Pen</t>
  </si>
  <si>
    <t>BO Acompanhamento Os Pendente Mobilidade</t>
  </si>
  <si>
    <t>average</t>
  </si>
  <si>
    <t>D_AVERAGE_CANCELAMENTO_OIT_TT</t>
  </si>
  <si>
    <t>BO Acompanhamento ARS</t>
  </si>
  <si>
    <t>BO_Acomp_OS_Ars</t>
  </si>
  <si>
    <t>Troca_Movel</t>
  </si>
  <si>
    <t>OIT_TT_TROCA_MOVEL_TITULAR</t>
  </si>
  <si>
    <t>RetencaoOiTotalInvol</t>
  </si>
  <si>
    <t>RetencaoPoOctInvol</t>
  </si>
  <si>
    <t>HOJE</t>
  </si>
  <si>
    <t>BO RETENÇÃO OI TOTAL - INVOL</t>
  </si>
  <si>
    <t>BO RETENÇÃO POS_OCT - INVOL</t>
  </si>
  <si>
    <t>OI TOTAL / Mailings</t>
  </si>
  <si>
    <t>POS OCT / Mailings</t>
  </si>
  <si>
    <t>CATEGORIA</t>
  </si>
  <si>
    <t>SUB-CATEGORIA</t>
  </si>
  <si>
    <t>DETALHE</t>
  </si>
  <si>
    <t>AREA RESPONSAVEL</t>
  </si>
  <si>
    <t>CONCATENADO</t>
  </si>
  <si>
    <t>FILTRO FILA</t>
  </si>
  <si>
    <t>Mailing SISWEB</t>
  </si>
  <si>
    <t>Retenção Oi Total</t>
  </si>
  <si>
    <t>Aplicação de Oferta</t>
  </si>
  <si>
    <t>Cliente inadimplente</t>
  </si>
  <si>
    <t>BO Retenção Oi Total</t>
  </si>
  <si>
    <t>BO Retencao Oi Total - Invol</t>
  </si>
  <si>
    <t>Retenção Móvel</t>
  </si>
  <si>
    <t>BO Retenção Varejo</t>
  </si>
  <si>
    <t>Retencao POS_OCT – Invol</t>
  </si>
  <si>
    <t>Cliente inadimplente - Fibra</t>
  </si>
  <si>
    <t>BO Retencao Oi Total - Fibra Invol</t>
  </si>
  <si>
    <t>BO RETENÇÃO OI TOTAL-CLIENTE FIBRA INVOL</t>
  </si>
  <si>
    <t>OITOTAL</t>
  </si>
  <si>
    <t>POS/OCT</t>
  </si>
  <si>
    <t>RetencaoOiTotalFibraInvol</t>
  </si>
  <si>
    <t>Categoria - G</t>
  </si>
  <si>
    <t>Sub-Categoria - H</t>
  </si>
  <si>
    <t>Detalhe - I</t>
  </si>
  <si>
    <t>FILTRO RESUMIDO DAS FILAS</t>
  </si>
  <si>
    <t>MAILINGS</t>
  </si>
  <si>
    <t>ENCONTRADO ?</t>
  </si>
  <si>
    <t>NOME DA BASE</t>
  </si>
  <si>
    <t>BLINDAGEM</t>
  </si>
  <si>
    <t>Categoria</t>
  </si>
  <si>
    <t>Sub-Categoria</t>
  </si>
  <si>
    <t>Detalhe</t>
  </si>
  <si>
    <t>BO BLINDAGEM ABERTOS</t>
  </si>
  <si>
    <t>Blindagem Oi Total 4p</t>
  </si>
  <si>
    <t>Auditoria</t>
  </si>
  <si>
    <t>Propensão Pós</t>
  </si>
  <si>
    <t>OCT Oferta Oi Total</t>
  </si>
  <si>
    <t>Propensão OCT</t>
  </si>
  <si>
    <t>Propensão 3G</t>
  </si>
  <si>
    <t>Empacotamento</t>
  </si>
  <si>
    <t>Smartware - Empacotamento</t>
  </si>
  <si>
    <t>Ilha de Migração OCT</t>
  </si>
  <si>
    <t>Downgrade Móvel</t>
  </si>
  <si>
    <t>Ilha Oi Total 3P</t>
  </si>
  <si>
    <t>Diferente da Solicitada</t>
  </si>
  <si>
    <t>Ilha de Migração Pós</t>
  </si>
  <si>
    <t>Categoria Nova</t>
  </si>
  <si>
    <t>CONTROLE</t>
  </si>
  <si>
    <t>BO CONTROLE ABERTOS</t>
  </si>
  <si>
    <t>Acompanhamento BO</t>
  </si>
  <si>
    <t>Acompanhamento</t>
  </si>
  <si>
    <t>Ativo de reversão</t>
  </si>
  <si>
    <t>BO Retenção</t>
  </si>
  <si>
    <t>Cancelamento MÓVEL</t>
  </si>
  <si>
    <t>Anatel</t>
  </si>
  <si>
    <t>Aplicação Oferta</t>
  </si>
  <si>
    <t>Aplicação de estorno</t>
  </si>
  <si>
    <t>Chat/correspondência</t>
  </si>
  <si>
    <t>Ilha de Contas</t>
  </si>
  <si>
    <t>Ouvidoria</t>
  </si>
  <si>
    <t>PA VIP</t>
  </si>
  <si>
    <t>Procon</t>
  </si>
  <si>
    <t>Televendas</t>
  </si>
  <si>
    <t>Oferta indevida</t>
  </si>
  <si>
    <t>Oferta SAC</t>
  </si>
  <si>
    <t>Teleagentes</t>
  </si>
  <si>
    <t>Abertos BASE POS-OCT</t>
  </si>
  <si>
    <t>Ativo Reversão</t>
  </si>
  <si>
    <t>Ativo de Reversão</t>
  </si>
  <si>
    <t>Migração para Pré</t>
  </si>
  <si>
    <t>Cancelamento_pacote de Dados_OCT</t>
  </si>
  <si>
    <t>Tratamento FIXO/VELOX</t>
  </si>
  <si>
    <t>Cancelamento Sab</t>
  </si>
  <si>
    <t>Cancelamento OCT</t>
  </si>
  <si>
    <t>Cancelamento 3G</t>
  </si>
  <si>
    <t>Cancelamento Móvel</t>
  </si>
  <si>
    <t>cancelamento TLV</t>
  </si>
  <si>
    <t>Isenção de Multa</t>
  </si>
  <si>
    <t>Tratamento VELOX</t>
  </si>
  <si>
    <t>Cancelamento TLA</t>
  </si>
  <si>
    <t>Desmembramento combo Fraude</t>
  </si>
  <si>
    <t>Auditoria Pós</t>
  </si>
  <si>
    <t>Cancelamento BO Externo</t>
  </si>
  <si>
    <t>Cancelamento/Downgrade</t>
  </si>
  <si>
    <t>Desmembramento combo UTC</t>
  </si>
  <si>
    <t>Migração entre planos</t>
  </si>
  <si>
    <t>Migração PRÉ PAGO</t>
  </si>
  <si>
    <t>Aplicação de oferta</t>
  </si>
  <si>
    <t>Aplicar oferta OI Total</t>
  </si>
  <si>
    <t>Migração OCT entre planos</t>
  </si>
  <si>
    <t>Aplicação de Oferta OCT</t>
  </si>
  <si>
    <t>Aplicação de Oferta MÓVEL</t>
  </si>
  <si>
    <t>Gravação de Chamada</t>
  </si>
  <si>
    <t>Migração MÓVEL entre planos</t>
  </si>
  <si>
    <t>Migração OCT PRÉ</t>
  </si>
  <si>
    <t>Correção de oferta</t>
  </si>
  <si>
    <t>Migração MÓVEL PRÉ</t>
  </si>
  <si>
    <t>Correspondencia</t>
  </si>
  <si>
    <t>Reativação de linha</t>
  </si>
  <si>
    <t>Aplicação de Oferta 3G</t>
  </si>
  <si>
    <t>Migração 3G</t>
  </si>
  <si>
    <t>Auditoria PÓS</t>
  </si>
  <si>
    <t>Oi Conta Total</t>
  </si>
  <si>
    <t>Pesquisa Nota</t>
  </si>
  <si>
    <t>Mensagem de Erro</t>
  </si>
  <si>
    <t>Transferência de Titularidade</t>
  </si>
  <si>
    <t>Retenção Portabilidade</t>
  </si>
  <si>
    <t>Aplicar oferta</t>
  </si>
  <si>
    <t>Venda Errada</t>
  </si>
  <si>
    <t>Oi Internet</t>
  </si>
  <si>
    <t>Reversão RACO</t>
  </si>
  <si>
    <t>Pagamento fatura outro cliente</t>
  </si>
  <si>
    <t>BO OI UNIFICADO</t>
  </si>
  <si>
    <t>Retenção Invol Oi Total</t>
  </si>
  <si>
    <t>Aplicação de Ofertas</t>
  </si>
  <si>
    <t>Invol TV</t>
  </si>
  <si>
    <t>RACO</t>
  </si>
  <si>
    <t>Cancelamento Banda Larga</t>
  </si>
  <si>
    <t>Cancelamento TV</t>
  </si>
  <si>
    <t>Cancelamento Velox</t>
  </si>
  <si>
    <t>Cancelamento Internet Móvel</t>
  </si>
  <si>
    <t>Cancelar Serviços</t>
  </si>
  <si>
    <t>Cancelamento Desemprego</t>
  </si>
  <si>
    <t>OS Pendente</t>
  </si>
  <si>
    <t>Acompanhamento OS Pendente</t>
  </si>
  <si>
    <t>Cati de Erro / ARS</t>
  </si>
  <si>
    <t>TT PAI</t>
  </si>
  <si>
    <t>&lt;&gt;"Extravio TV DTH</t>
  </si>
  <si>
    <t>Extravio TV DTH</t>
  </si>
  <si>
    <t>&lt;&gt;"Migração Fibra 1P"</t>
  </si>
  <si>
    <t>&lt;&gt;"Migra Fibra Inadimplente OIT"</t>
  </si>
  <si>
    <t>Migra Fibra Inadimplente OIT</t>
  </si>
  <si>
    <t>&lt;&gt;"Retenção Invol Oi Total"</t>
  </si>
  <si>
    <t>Turbina</t>
  </si>
  <si>
    <t>Oferta BO Externo</t>
  </si>
  <si>
    <t>Alterar Serviços</t>
  </si>
  <si>
    <t>Incluir Serviços</t>
  </si>
  <si>
    <t>Cliente Fibra-SAC Fibra</t>
  </si>
  <si>
    <t>BO Contas p/ BO Retenção</t>
  </si>
  <si>
    <t>Desmembramento OIT</t>
  </si>
  <si>
    <t>Serviços</t>
  </si>
  <si>
    <t>Desmembramento SAV</t>
  </si>
  <si>
    <t>Cancelamento TLV</t>
  </si>
  <si>
    <t>Cliente Fibra</t>
  </si>
  <si>
    <t>Desmembramento Cobre</t>
  </si>
  <si>
    <t>Desmembramento-Fibra</t>
  </si>
  <si>
    <t>Cancelamento - Ação Average</t>
  </si>
  <si>
    <t>Troca de móvel titular</t>
  </si>
  <si>
    <t>Migração de Plano</t>
  </si>
  <si>
    <t>Migração-Fibra</t>
  </si>
  <si>
    <t>Alteração do vencimento / Data</t>
  </si>
  <si>
    <t>Cancelamento-Fibra</t>
  </si>
  <si>
    <t>Cancelamento Fibra</t>
  </si>
  <si>
    <t>Possui flag inadimplência</t>
  </si>
  <si>
    <t>Fibra Cartão de Crédito</t>
  </si>
  <si>
    <t>Blindagem</t>
  </si>
  <si>
    <t>Fibra</t>
  </si>
  <si>
    <t>ERRO DE INPUT / SISTEMAS</t>
  </si>
  <si>
    <t>INVIABILIDADE/FORA DE ÁREA</t>
  </si>
  <si>
    <t>Cliente novo(Atento)</t>
  </si>
  <si>
    <t>Migração Oi Total</t>
  </si>
  <si>
    <t>Migrar para Fibra</t>
  </si>
  <si>
    <t>ANALISE DE CREDITO REJEITADA</t>
  </si>
  <si>
    <t>Cliente novo(BTCC)</t>
  </si>
  <si>
    <t>OS CANCELADA</t>
  </si>
  <si>
    <t>Migração de plano</t>
  </si>
  <si>
    <t>DATA DE CORTE</t>
  </si>
  <si>
    <t>BLINDAGEM / Mailings</t>
  </si>
  <si>
    <t>CONTROLE / Mailings</t>
  </si>
  <si>
    <t>COMPARAR</t>
  </si>
  <si>
    <t>OS cancelada</t>
  </si>
  <si>
    <t>Ilha de Migração</t>
  </si>
  <si>
    <t>Campanha indisp. no Siebel</t>
  </si>
  <si>
    <t>BO Blindagem Móvel Pós/OCT/3G</t>
  </si>
  <si>
    <t>Retenção Oi Controle</t>
  </si>
  <si>
    <t>Erro sistêmico</t>
  </si>
  <si>
    <t>BO Retenção Oi Controle</t>
  </si>
  <si>
    <t>ADICIONAR NA MACRO</t>
  </si>
  <si>
    <t>Retenção OCT</t>
  </si>
  <si>
    <t>Análise de credito</t>
  </si>
  <si>
    <t>Erro Sistêmico</t>
  </si>
  <si>
    <t>Retenção / Downgrade</t>
  </si>
  <si>
    <t>Cancelamento Oi Internet</t>
  </si>
  <si>
    <t>Retenção MÓVEL</t>
  </si>
  <si>
    <t>Tratamento de Indevido</t>
  </si>
  <si>
    <t>Ilha de Contestação</t>
  </si>
  <si>
    <t>Aplicação de bônus e upgrade</t>
  </si>
  <si>
    <t>OS pendente</t>
  </si>
  <si>
    <t>Perda e Roubo</t>
  </si>
  <si>
    <t>Cliente fibra</t>
  </si>
  <si>
    <t>Análise de crédito</t>
  </si>
  <si>
    <t>Indisponib. do Siebel</t>
  </si>
  <si>
    <t>Ativação Siebel</t>
  </si>
  <si>
    <t>Instalar Oferta</t>
  </si>
  <si>
    <t>Cati de erro</t>
  </si>
  <si>
    <t>Instalar Oferta-Oferta com 2OS</t>
  </si>
  <si>
    <t>Linha com Flag ou Bloqueio</t>
  </si>
  <si>
    <t>OS Pendente no Fixo</t>
  </si>
  <si>
    <t>Erro M4U</t>
  </si>
  <si>
    <t>Com Retirada Produto</t>
  </si>
  <si>
    <t>TT Pai</t>
  </si>
  <si>
    <t>ARS</t>
  </si>
  <si>
    <t>Erro Não identificado no Siebe</t>
  </si>
  <si>
    <t>Migração pré pago</t>
  </si>
  <si>
    <t>Perda de Alçada</t>
  </si>
  <si>
    <t>Inviab. Inst. - Data Corte</t>
  </si>
  <si>
    <t>Processo Desqualificação</t>
  </si>
  <si>
    <t>Campanha indisponivel</t>
  </si>
  <si>
    <t>Ativo Blindagem</t>
  </si>
  <si>
    <t>Blindagem Oi Total 4P</t>
  </si>
  <si>
    <t>Migração pré-pago</t>
  </si>
  <si>
    <t>Retirada de flag</t>
  </si>
  <si>
    <t>Blindagem Oi total</t>
  </si>
  <si>
    <t>Suspensão</t>
  </si>
  <si>
    <t>Data de Corte</t>
  </si>
  <si>
    <t>Benefício TV</t>
  </si>
  <si>
    <t>Desmembramento com pós fraude</t>
  </si>
  <si>
    <t>Erro de interface no Siebel</t>
  </si>
  <si>
    <t>Desmembramento UTC</t>
  </si>
  <si>
    <t>Mesmo plano</t>
  </si>
  <si>
    <t>Análise de créd. não aprovada</t>
  </si>
  <si>
    <t>Inclusão de benefício</t>
  </si>
  <si>
    <t>Problema Técnico</t>
  </si>
  <si>
    <t>Retenção Loja</t>
  </si>
  <si>
    <t>Inviab. de inst. - Data Corte</t>
  </si>
  <si>
    <t>Migração Oi Cartão</t>
  </si>
  <si>
    <t>Canc UGR com Migração para Fib</t>
  </si>
  <si>
    <t>Incompatível pct digital</t>
  </si>
  <si>
    <t>Erro não ident. no Siebel</t>
  </si>
  <si>
    <t>Migração dentro mesmo combo</t>
  </si>
  <si>
    <t>Abertura ARS - Oferta OIT</t>
  </si>
  <si>
    <t>MUDEND com Pendencia Técnica</t>
  </si>
  <si>
    <t>Erro NBA</t>
  </si>
  <si>
    <t>Necessita agendamento BL</t>
  </si>
  <si>
    <t>Acompanhamento Bo</t>
  </si>
  <si>
    <t>Pós</t>
  </si>
  <si>
    <t>Migração para Fibra</t>
  </si>
  <si>
    <t>Inv.de instalação-Dt de Corte</t>
  </si>
  <si>
    <t>Inclusão Bônus dados</t>
  </si>
  <si>
    <t>Adicionais/Degustação TV</t>
  </si>
  <si>
    <t>TT Cati erro</t>
  </si>
  <si>
    <t>Troca pessoa física para Juríd</t>
  </si>
  <si>
    <t>Cancelamento indevido</t>
  </si>
  <si>
    <t>Campanha indisponível</t>
  </si>
  <si>
    <t>Consultoria Fibra</t>
  </si>
  <si>
    <t>Troca de Oferta</t>
  </si>
  <si>
    <t>Diferente da solicitada</t>
  </si>
  <si>
    <t>MIgração para 3P</t>
  </si>
  <si>
    <t>Não Alterar Serviços</t>
  </si>
  <si>
    <t>Oi Loja</t>
  </si>
  <si>
    <t>OS aberto</t>
  </si>
  <si>
    <t>Retenção</t>
  </si>
  <si>
    <t>Não deseja a transferência</t>
  </si>
  <si>
    <t>Linha com flag ou bloqueio</t>
  </si>
  <si>
    <t>Cliente recusa transf para Ret</t>
  </si>
  <si>
    <t>Pendente Cancelamento</t>
  </si>
  <si>
    <t>Cancelamento linha ativa</t>
  </si>
  <si>
    <t>BO Faturamento</t>
  </si>
  <si>
    <t>Campanha indisponível no Siebe</t>
  </si>
  <si>
    <t>Combo Oi Total</t>
  </si>
  <si>
    <t>Retenção Pós</t>
  </si>
  <si>
    <t>Cancelamento/Migração pré</t>
  </si>
  <si>
    <t>Disparo de Multa</t>
  </si>
  <si>
    <t>Downgrade de Dados</t>
  </si>
  <si>
    <t>Em ativação</t>
  </si>
  <si>
    <t>Pendência de Tratamento UTC</t>
  </si>
  <si>
    <t>Pendência de Contato</t>
  </si>
  <si>
    <t>Análise de Crédito</t>
  </si>
  <si>
    <t>Camp. necessita 2 OSs</t>
  </si>
  <si>
    <t>Acomp Fraude - Retenções</t>
  </si>
  <si>
    <t>Erro de faturamento</t>
  </si>
  <si>
    <t>Canc com bloq de portabilidade</t>
  </si>
  <si>
    <t>Pendência de Tratamento Fraude</t>
  </si>
  <si>
    <t>TT aberto fora do prazo</t>
  </si>
  <si>
    <t>Campanha Indisponível</t>
  </si>
  <si>
    <t>Migração Móvel Pós para Pré</t>
  </si>
  <si>
    <t>OCT</t>
  </si>
  <si>
    <t>Solicitação Indevida</t>
  </si>
  <si>
    <t>Migração POS_PRE</t>
  </si>
  <si>
    <t>Migração OCT_PRE</t>
  </si>
  <si>
    <t>Cancelar</t>
  </si>
  <si>
    <t>Erro de Venda/Fraude</t>
  </si>
  <si>
    <t>Fora da Alçada</t>
  </si>
  <si>
    <t>Desistência Cancelamento Call</t>
  </si>
  <si>
    <t>Pedido via Call Center</t>
  </si>
  <si>
    <t>Downgrade Combo Oi Total</t>
  </si>
  <si>
    <t>CHAT ONLINE CANCEL</t>
  </si>
  <si>
    <t>Reativação POS migrando PRE</t>
  </si>
  <si>
    <t>Até 7 dias_Canal Remoto_PÓS</t>
  </si>
  <si>
    <t>Isenção Multa RJ, AC, PB</t>
  </si>
  <si>
    <t>Cobrança</t>
  </si>
  <si>
    <t>Venda Indevida</t>
  </si>
  <si>
    <t>Desistência da compra</t>
  </si>
  <si>
    <t>Desconhece ser Oi Total</t>
  </si>
  <si>
    <t>Não há viabilidade velox</t>
  </si>
  <si>
    <t>Desistência do cancelamento</t>
  </si>
  <si>
    <t>Dowgrade plano fidelizado</t>
  </si>
  <si>
    <t>Processo de Desqualificação</t>
  </si>
  <si>
    <t>Bloqueio de Ativação</t>
  </si>
  <si>
    <t>Desconhece produto</t>
  </si>
  <si>
    <t>Produto não instalado</t>
  </si>
  <si>
    <t>Pacote de Dados</t>
  </si>
  <si>
    <t>Aplicação de Campanha</t>
  </si>
  <si>
    <t>Retenção 3G</t>
  </si>
  <si>
    <t>DESISTÊNCIA DE CANCELAMENTO RA</t>
  </si>
  <si>
    <t>PEDIDO (URA/WEB/MINHA OI)</t>
  </si>
  <si>
    <t>Valores Beneficios divergente</t>
  </si>
  <si>
    <t>Erro ativação portabilidade</t>
  </si>
  <si>
    <t>Desconhece produto do Combo</t>
  </si>
  <si>
    <t>Desistência Cancelamento</t>
  </si>
  <si>
    <t>Pedido(URA/Web/Minha Oi)</t>
  </si>
  <si>
    <t>Correção NRES p/RES</t>
  </si>
  <si>
    <t>Logradouro não cadastrado</t>
  </si>
  <si>
    <t>Retirar todos</t>
  </si>
  <si>
    <t>Cancel total ou Retira Produto</t>
  </si>
  <si>
    <t>Ativo ReversãoAtivo de reversão</t>
  </si>
  <si>
    <t>Aplicação de OfertaRetencao POS_OCT – Invol</t>
  </si>
  <si>
    <t>Ativo de ReversãoAtivo de reversão</t>
  </si>
  <si>
    <t>TeleagentesAtivo de reversão</t>
  </si>
  <si>
    <t>AcompanhamentoAcompanhamento</t>
  </si>
  <si>
    <t>Migração para PréCancelamento</t>
  </si>
  <si>
    <t>CancelamentoCancelamento</t>
  </si>
  <si>
    <t>Cancelamento_pacote de Dados_OCTCancelamento</t>
  </si>
  <si>
    <t>Tratamento FIXO/VELOXCancelamento</t>
  </si>
  <si>
    <t>Cancelamento SabCancelamento</t>
  </si>
  <si>
    <t>Cancelamento OCTCancelamento</t>
  </si>
  <si>
    <t>Cancelamento 3GCancelamento</t>
  </si>
  <si>
    <t>Cancelamento MóvelCancelamento</t>
  </si>
  <si>
    <t>Cancelamento MÓVELCancelamento</t>
  </si>
  <si>
    <t>cancelamento TLVCancelamento</t>
  </si>
  <si>
    <t>Cancelamento TLVCancelamento</t>
  </si>
  <si>
    <t>Isenção de MultaCancelamento</t>
  </si>
  <si>
    <t>Tratamento VELOXCancelamento</t>
  </si>
  <si>
    <t>Cancelamento TLACancelamento</t>
  </si>
  <si>
    <t>Desmembramento combo FraudeCancelamento</t>
  </si>
  <si>
    <t>Auditoria PósCancelamento</t>
  </si>
  <si>
    <t>Cancelamento BO ExternoCancelamento</t>
  </si>
  <si>
    <t>Cancelamento/DowngradeCancelamento</t>
  </si>
  <si>
    <t>Desmembramento combo UTCCancelamento</t>
  </si>
  <si>
    <t>Migração entre planosAplicação Oferta</t>
  </si>
  <si>
    <t>Migração PRÉ PAGOAplicação Oferta</t>
  </si>
  <si>
    <t>Aplicação de ofertaAplicação Oferta</t>
  </si>
  <si>
    <t>Aplicação de OfertaAplicação Oferta</t>
  </si>
  <si>
    <t>Aplicar oferta OI TotalAplicação Oferta</t>
  </si>
  <si>
    <t>Migração OCT entre planosAplicação Oferta</t>
  </si>
  <si>
    <t>Aplicação de Oferta OCTAplicação Oferta</t>
  </si>
  <si>
    <t>Aplicação de Oferta MÓVELAplicação Oferta</t>
  </si>
  <si>
    <t>Gravação de ChamadaAplicação Oferta</t>
  </si>
  <si>
    <t>Migração MÓVEL entre planosAplicação Oferta</t>
  </si>
  <si>
    <t>Migração OCT PRÉAplicação Oferta</t>
  </si>
  <si>
    <t>Correção de ofertaAplicação Oferta</t>
  </si>
  <si>
    <t>Migração MÓVEL PRÉAplicação Oferta</t>
  </si>
  <si>
    <t>CorrespondenciaAplicação Oferta</t>
  </si>
  <si>
    <t>Reativação de linhaAplicação Oferta</t>
  </si>
  <si>
    <t>Aplicação de Oferta 3GAplicação Oferta</t>
  </si>
  <si>
    <t>Migração 3GAplicação Oferta</t>
  </si>
  <si>
    <t>Auditoria PÓSAplicação Oferta</t>
  </si>
  <si>
    <t>Oi Conta TotalAplicação Oferta</t>
  </si>
  <si>
    <t>Pesquisa NotaAplicação Oferta</t>
  </si>
  <si>
    <t>DowngradeAplicação Oferta</t>
  </si>
  <si>
    <t>BO RetençãoAplicação Oferta</t>
  </si>
  <si>
    <t>Mensagem de ErroAplicação Oferta</t>
  </si>
  <si>
    <t>Transferência de TitularidadeAplicação Oferta</t>
  </si>
  <si>
    <t>Aplicar ofertaCategoria Nova</t>
  </si>
  <si>
    <t>Oferta indevidaCategoria Nova</t>
  </si>
  <si>
    <t>Venda ErradaCategoria Nova</t>
  </si>
  <si>
    <t>Oi InternetCategoria Nova</t>
  </si>
  <si>
    <t>Reversão RACOCategoria Nova</t>
  </si>
  <si>
    <t>Pagamento fatura outro clienteCategoria Nova</t>
  </si>
  <si>
    <t>Aplicação de OfertasInvol TV</t>
  </si>
  <si>
    <t>RACOCancelamento</t>
  </si>
  <si>
    <t>Cancelamento Banda LargaCancelamento</t>
  </si>
  <si>
    <t>Cancelamento TVCancelamento</t>
  </si>
  <si>
    <t>Cancelamento VeloxCancelamento</t>
  </si>
  <si>
    <t>Cancelamento Internet MóvelCancelamento</t>
  </si>
  <si>
    <t>Cancelar ServiçosCancelamento</t>
  </si>
  <si>
    <t>Cancelamento DesempregoCancelamento</t>
  </si>
  <si>
    <t>Acompanhamento BOAcompanhamento OS Pendente</t>
  </si>
  <si>
    <t>Acompanhamento BOBO_Acomp_OS_Ars</t>
  </si>
  <si>
    <t>Acompanhamento BOAcompanhamento</t>
  </si>
  <si>
    <t>Acompanhamento BOExtravio TV DTH</t>
  </si>
  <si>
    <t>Aplicação de OfertaMigra Fibra Inadimplente OIT</t>
  </si>
  <si>
    <t>Ativo ReversãoAplicação Oferta</t>
  </si>
  <si>
    <t>TurbinaAplicação Oferta</t>
  </si>
  <si>
    <t>Oferta BO ExternoAplicação Oferta</t>
  </si>
  <si>
    <t>Alterar ServiçosAplicação Oferta</t>
  </si>
  <si>
    <t>Incluir ServiçosAplicação Oferta</t>
  </si>
  <si>
    <t>Cliente Fibra-SAC FibraAplicação Oferta</t>
  </si>
  <si>
    <t>BO Contas p/ BO RetençãoAplicação Oferta</t>
  </si>
  <si>
    <t>Aplicação de OfertasAplicação Oferta</t>
  </si>
  <si>
    <t>Desmembramento OITAplicação Oferta</t>
  </si>
  <si>
    <t>ServiçosAplicação Oferta</t>
  </si>
  <si>
    <t>Cancelamento BO ExternoAtivo de reversão</t>
  </si>
  <si>
    <t>Cancelamento/DowngradeAtivo de reversão</t>
  </si>
  <si>
    <t>Desmembramento SAVAtivo de reversão</t>
  </si>
  <si>
    <t>Cancelamento TLVAtivo de reversão</t>
  </si>
  <si>
    <t>Oi InternetSVA</t>
  </si>
  <si>
    <t>Cliente FibraDesmembramento-Fibra</t>
  </si>
  <si>
    <t>Cancelamento - Ação Averageaverage</t>
  </si>
  <si>
    <t>Troca de móvel titularTroca_Movel</t>
  </si>
  <si>
    <t>Cliente FibraMigração-Fibra</t>
  </si>
  <si>
    <t>Cliente FibraCancelamento-Fibra</t>
  </si>
  <si>
    <t>Cancelamento FibraCancelamento-Fibra</t>
  </si>
  <si>
    <t>Fibra Cartão de CréditoCancelamento-Fibra</t>
  </si>
  <si>
    <t>FibraCategoria Nova</t>
  </si>
  <si>
    <t>Retenção Oi TotalAplicação de OfertaCliente inadimplenteBO Retenção Oi Total</t>
  </si>
  <si>
    <t>Aplicação de OfertaBO Retencao Oi Total - Invol</t>
  </si>
  <si>
    <t>Retenção MóvelAplicação de OfertaCliente inadimplenteBO Retenção Varejo</t>
  </si>
  <si>
    <t>Ilha de MigraçãoIlha de Migração PósCampanha indisp. no SiebelBO Blindagem Móvel Pós/OCT/3G</t>
  </si>
  <si>
    <t>Retenção Oi TotalAplicação de OfertaCliente inadimplente - FibraBO Retenção Oi Total</t>
  </si>
  <si>
    <t>Aplicação de OfertaADICIONAR NA MACRO</t>
  </si>
  <si>
    <t>Retenção OCTAcompanhamento BOAnálise de creditoBO Retenção Varejo</t>
  </si>
  <si>
    <t>Ilha de MigraçãoIlha de Migração PósBO Blindagem Móvel Pós/OCT/3G</t>
  </si>
  <si>
    <t>Retenção / DowngradeOi InternetCancelamento Oi InternetBO Retenção Oi Total</t>
  </si>
  <si>
    <t>Retenção MÓVELAcompanhamento BOTratamento de IndevidoBO Retenção Varejo</t>
  </si>
  <si>
    <t>Ilha de MigraçãoIlha de ContestaçãoAtivo ReversãoBO Blindagem Móvel Pós/OCT/3G</t>
  </si>
  <si>
    <t>Retenção Oi TotalCliente FibraMigração de PlanoBO Retenção Oi Total</t>
  </si>
  <si>
    <t>Retenção OCTAcompanhamento BOTratamento de IndevidoBO Retenção Varejo</t>
  </si>
  <si>
    <t>Ilha de MigraçãoIlha de Migração PósOS pendenteBO Blindagem Móvel Pós/OCT/3G</t>
  </si>
  <si>
    <t>Retenção Oi TotalCliente fibraAlteração do vencimento / DataBO Retenção Oi Total</t>
  </si>
  <si>
    <t>Cliente fibraMigração-Fibra</t>
  </si>
  <si>
    <t>Retenção MÓVELAcompanhamento BOAnálise de créditoBO Retenção Varejo</t>
  </si>
  <si>
    <t>Ilha de MigraçãoIlha de Migração PósIndisponib. do SiebelBO Blindagem Móvel Pós/OCT/3G</t>
  </si>
  <si>
    <t>Retenção Invol Oi TotalAplicação de OfertasInstalar OfertaBO Retenção Oi Total</t>
  </si>
  <si>
    <t>Retenção OCTAcompanhamento BOCati de erroBO Retenção Varejo</t>
  </si>
  <si>
    <t>Ilha de MigraçãoIlha de Migração PósInstalar Oferta-Oferta com 2OSBO Blindagem Móvel Pós/OCT/3G</t>
  </si>
  <si>
    <t>Retenção Invol Oi TotalAplicação de OfertasBO Retenção Oi Total</t>
  </si>
  <si>
    <t>Retenção OCTAcompanhamento BOOS Pendente no FixoBO Retenção Varejo</t>
  </si>
  <si>
    <t>Ilha de MigraçãoIlha de Migração OCTCampanha indisp. no SiebelBO Blindagem Móvel Pós/OCT/3G</t>
  </si>
  <si>
    <t>Retenção Oi TotalCancelamentoCom Retirada ProdutoBO Retenção Oi Total</t>
  </si>
  <si>
    <t>Retenção OCTAcompanhamento BOTT PaiBO Retenção Varejo</t>
  </si>
  <si>
    <t>Ilha de MigraçãoIlha de Migração OCTInstalar Oferta-Oferta com 2OSBO Blindagem Móvel Pós/OCT/3G</t>
  </si>
  <si>
    <t>Retenção Oi TotalCancelamentoErro SistêmicoBO Retenção Oi Total</t>
  </si>
  <si>
    <t>Retenção MÓVELAcompanhamento BOTT PaiBO Retenção Varejo</t>
  </si>
  <si>
    <t>Ilha de MigraçãoIlha de Migração OCTIndisponib. do SiebelBO Blindagem Móvel Pós/OCT/3G</t>
  </si>
  <si>
    <t>Retenção Oi TotalCancelamentoBO Retenção Oi Total</t>
  </si>
  <si>
    <t>Retenção OCTAcompanhamento BOARSBO Retenção Varejo</t>
  </si>
  <si>
    <t>Ilha de MigraçãoIlha Oi Total 3PErro Não identificado no SiebeBO Blindagem Móvel Pós/OCT/3G</t>
  </si>
  <si>
    <t>Retenção Oi TotalCancelamentoPerda de AlçadaBO Retenção Oi Total</t>
  </si>
  <si>
    <t>Retenção MÓVELAcompanhamento BOCati de erroBO Retenção Varejo</t>
  </si>
  <si>
    <t>Ilha de MigraçãoIlha de Migração PósInviab. Inst. - Data CorteBO Blindagem Móvel Pós/OCT/3G</t>
  </si>
  <si>
    <t>Retenção Oi TotalCancelamento VeloxProcesso DesqualificaçãoBO Retenção Oi Total</t>
  </si>
  <si>
    <t>Retenção MÓVELAcompanhamento BOCampanha indisponivelBO Retenção Varejo</t>
  </si>
  <si>
    <t>Ativo BlindagemBlindagem Oi Total 4PCampanha indisp. no SiebelBO Blindagem Móvel Pós/OCT/3G</t>
  </si>
  <si>
    <t>Retenção Oi TotalCancelamentoRetirada de flagBO Retenção Oi Total</t>
  </si>
  <si>
    <t>Retenção OCTAcompanhamento BOCampanha indisponivelBO Retenção Varejo</t>
  </si>
  <si>
    <t>Ativo BlindagemBlindagem Oi totalIndisponib. do SiebelBO Blindagem Móvel Pós/OCT/3G</t>
  </si>
  <si>
    <t>Retenção Oi TotalCancelamentoSuspensãoBO Retenção Oi Total</t>
  </si>
  <si>
    <t>Retenção OCTAcompanhamento BOData de CorteBO Retenção Varejo</t>
  </si>
  <si>
    <t>Ativo BlindagemBlindagem Oi totalBenefício TVBO Blindagem Móvel Pós/OCT/3G</t>
  </si>
  <si>
    <t>Retenção Oi TotalDesmembramento combo FraudeDesmembramento com pós fraudeBO Retenção Oi Total</t>
  </si>
  <si>
    <t>Retenção MÓVELAcompanhamento BOData de CorteBO Retenção Varejo</t>
  </si>
  <si>
    <t>Ativo BlindagemBlindagem Oi Total 4PErro de interface no SiebelBO Blindagem Móvel Pós/OCT/3G</t>
  </si>
  <si>
    <t>Retenção Oi TotalDesmembramento combo UTCDesmembramento UTCBO Retenção Oi Total</t>
  </si>
  <si>
    <t>Retenção MÓVELAcompanhamento BOOS Pendente no FixoBO Retenção Varejo</t>
  </si>
  <si>
    <t>Ativo BlindagemBlindagem Oi totalCampanha indisp. no SiebelBO Blindagem Móvel Pós/OCT/3G</t>
  </si>
  <si>
    <t>Migração Oi TotalCancelar ServiçosMesmo planoBO Retenção Oi Total</t>
  </si>
  <si>
    <t>Retenção OCTAcompanhamento BOBO Retenção Varejo</t>
  </si>
  <si>
    <t>Ativo BlindagemBlindagem Oi Total 4PAnálise de créd. não aprovadaBO Blindagem Móvel Pós/OCT/3G</t>
  </si>
  <si>
    <t>Retenção Oi TotalIsenção de MultaProblema TécnicoBO Retenção Oi Total</t>
  </si>
  <si>
    <t>Retenção LojaAcompanhamento BOTratamento de IndevidoBO Retenção Varejo</t>
  </si>
  <si>
    <t>Ativo BlindagemBlindagem Oi Total 4PInviab. de inst. - Data CorteBO Blindagem Móvel Pós/OCT/3G</t>
  </si>
  <si>
    <t>Retenção Oi TotalCancelamentoCanc UGR com Migração para FibBO Retenção Oi Total</t>
  </si>
  <si>
    <t>Retenção OCTAcompanhamento BOIncompatível pct digitalBO Retenção Varejo</t>
  </si>
  <si>
    <t>Ativo BlindagemBlindagem Oi Total 4PErro não ident. no SiebelBO Blindagem Móvel Pós/OCT/3G</t>
  </si>
  <si>
    <t>Retenção Oi TotalIsenção de MultaMigração dentro mesmo comboBO Retenção Oi Total</t>
  </si>
  <si>
    <t>Retenção OCTAcompanhamento BOAbertura ARS - Oferta OITBO Retenção Varejo</t>
  </si>
  <si>
    <t>Ativo BlindagemBlindagem Oi Total 4POS pendenteBO Blindagem Móvel Pós/OCT/3G</t>
  </si>
  <si>
    <t>Retenção Oi TotalIsenção de MultaMUDEND com Pendencia TécnicaBO Retenção Oi Total</t>
  </si>
  <si>
    <t>Retenção MÓVELAcompanhamento BOBO Retenção Varejo</t>
  </si>
  <si>
    <t>Ativo BlindagemBlindagem Oi totalBO Blindagem Móvel Pós/OCT/3G</t>
  </si>
  <si>
    <t>Retenção Oi TotalAplicação de OfertaErro NBABO Retenção Oi Total</t>
  </si>
  <si>
    <t>Retenção MÓVELMigração PRÉ PAGOSuspensãoBO Retenção Varejo</t>
  </si>
  <si>
    <t>Ativo BlindagemBlindagem Oi Total 4PBO Blindagem Móvel Pós/OCT/3G</t>
  </si>
  <si>
    <t>Migração Oi TotalMigração entre planosIncluir ServiçosBO Retenção Oi Total</t>
  </si>
  <si>
    <t>Retenção MÓVELAplicação de OfertaErro SistêmicoBO Retenção Varejo</t>
  </si>
  <si>
    <t>Ativo BlindagemBlindagem Oi totalNecessita agendamento BLBO Blindagem Móvel Pós/OCT/3G</t>
  </si>
  <si>
    <t>Migração Oi TotalMigração entre planosAlterar ServiçosBO Retenção Oi Total</t>
  </si>
  <si>
    <t>Ilha de ContestaçãoAplicação de OfertaPósBO Retenção Varejo</t>
  </si>
  <si>
    <t>Ativo BlindagemPropensão PósIndisponib. do SiebelBO Blindagem Móvel Pós/OCT/3G</t>
  </si>
  <si>
    <t>Migração Oi TotalAlterar ServiçosMesmo planoBO Retenção Oi Total</t>
  </si>
  <si>
    <t>Retenção MÓVELMigração PRÉ PAGOPerda de AlçadaBO Retenção Varejo</t>
  </si>
  <si>
    <t>Ilha de MigraçãoAuditoriaDowngradeBO Blindagem Móvel Pós/OCT/3G</t>
  </si>
  <si>
    <t>Retenção Oi TotalAplicação de OfertaMigração para FibraBO Retenção Oi Total</t>
  </si>
  <si>
    <t>Retenção MÓVELAplicação de OfertaData de CorteBO Retenção Varejo</t>
  </si>
  <si>
    <t>Ativo BlindagemOCT Oferta Oi TotalInv.de instalação-Dt de CorteBO Blindagem Móvel Pós/OCT/3G</t>
  </si>
  <si>
    <t>Retenção Oi TotalAplicação de OfertaAdicionais/Degustação TVBO Retenção Oi Total</t>
  </si>
  <si>
    <t>Retenção LojaMigração MÓVEL entre planosPerda de AlçadaBO Retenção Varejo</t>
  </si>
  <si>
    <t>Ativo BlindagemPropensão PósOS PendenteBO Blindagem Móvel Pós/OCT/3G</t>
  </si>
  <si>
    <t>Retenção Oi TotalDesmembramento OITTroca pessoa física para JurídBO Retenção Oi Total</t>
  </si>
  <si>
    <t>ServiçosReativação de linhaCancelamento indevidoBO Retenção Varejo</t>
  </si>
  <si>
    <t>Ilha de MigraçãoIlha Oi Total 3POS pendenteBO Blindagem Móvel Pós/OCT/3G</t>
  </si>
  <si>
    <t>Retenção Oi TotalAtivo ReversãoAplicação de OfertaBO Retenção Oi Total</t>
  </si>
  <si>
    <t>Retenção LojaMigração MÓVEL PRÉSuspensãoBO Retenção Varejo</t>
  </si>
  <si>
    <t>Ilha de MigraçãoIlha de Migração OCTOS pendenteBO Blindagem Móvel Pós/OCT/3G</t>
  </si>
  <si>
    <t>Consultoria FibraAplicação de OfertaCliente inadimplenteBO Retenção Oi Total</t>
  </si>
  <si>
    <t>Retenção MÓVELMigração PRÉ PAGOErro SistêmicoBO Retenção Varejo</t>
  </si>
  <si>
    <t>Troca de OfertaDiferente da solicitadaMIgração para 3PBO Blindagem Móvel Pós/OCT/3G</t>
  </si>
  <si>
    <t>Migração Oi TotalMigração entre planosNão Alterar ServiçosBO Retenção Oi Total</t>
  </si>
  <si>
    <t>Retenção MÓVELMigração entre planosErro SistêmicoBO Retenção Varejo</t>
  </si>
  <si>
    <t>Troca de OfertaDiferente da solicitadaBO Blindagem Móvel Pós/OCT/3G</t>
  </si>
  <si>
    <t>Retenção Oi TotalAplicação de OfertaBO Retenção Oi Total</t>
  </si>
  <si>
    <t>Retenção MÓVELAplicação de OfertaPerda de AlçadaBO Retenção Varejo</t>
  </si>
  <si>
    <t>Ilha de MigraçãoIlha de Migração OCTOi LojaBO Blindagem Móvel Pós/OCT/3G</t>
  </si>
  <si>
    <t>Migração Oi TotalIncluir ServiçosMesmo planoBO Retenção Oi Total</t>
  </si>
  <si>
    <t>Retenção MÓVELAplicação de OfertaOS abertoBO Retenção Varejo</t>
  </si>
  <si>
    <t>Ativo BlindagemPropensão PósCampanha indisp. no SiebelBO Blindagem Móvel Pós/OCT/3G</t>
  </si>
  <si>
    <t>Retenção Oi TotalAtivo ReversãoBO Retenção Oi Total</t>
  </si>
  <si>
    <t>RetençãoDowngradeNão deseja a transferênciaBO Retenção Varejo</t>
  </si>
  <si>
    <t>Ativo BlindagemPropensão PósIsenção de MultaBO Blindagem Móvel Pós/OCT/3G</t>
  </si>
  <si>
    <t>Retenção Oi TotalCliente Fibra-SAC FibraCancelamentoBO Retenção Oi Total</t>
  </si>
  <si>
    <t>Retenção LojaAplicação de Oferta MÓVELErro SistêmicoBO Retenção Varejo</t>
  </si>
  <si>
    <t>Ativo BlindagemPropensão PósInviab. de inst. - Data CorteBO Blindagem Móvel Pós/OCT/3G</t>
  </si>
  <si>
    <t>Retenção Oi TotalBO Contas p/ BO RetençãoPendente CancelamentoBO Retenção Oi Total</t>
  </si>
  <si>
    <t>Retenção LojaMigração MÓVEL entre planosErro SistêmicoBO Retenção Varejo</t>
  </si>
  <si>
    <t>Ativo BlindagemEmpacotamentoBO Blindagem Móvel Pós/OCT/3G</t>
  </si>
  <si>
    <t>Retenção Oi TotalAplicação de OfertaPerda de AlçadaBO Retenção Oi Total</t>
  </si>
  <si>
    <t>Retenção OCTAplicação de OfertaErro SistêmicoBO Retenção Varejo</t>
  </si>
  <si>
    <t>Ativo BlindagemPropensão PósBO Blindagem Móvel Pós/OCT/3G</t>
  </si>
  <si>
    <t>Retenção Oi TotalAplicação de OfertaMigra Fibra Inadimplente OITBO Retenção Oi Total</t>
  </si>
  <si>
    <t>BO FaturamentoAplicação de OfertaPósBO Retenção Varejo</t>
  </si>
  <si>
    <t>Ativo BlindagemOCT Oferta Oi TotalCampanha indisponível no SiebeBO Blindagem Móvel Pós/OCT/3G</t>
  </si>
  <si>
    <t>Retenção Oi TotalTroca de móvel titularCombo Oi TotalBO Retenção Oi Total</t>
  </si>
  <si>
    <t>Retenção PósPesquisa NotaCancelamento/Migração préBO Retenção Varejo</t>
  </si>
  <si>
    <t>Ativo BlindagemPropensão OCTIndisponib. do SiebelBO Blindagem Móvel Pós/OCT/3G</t>
  </si>
  <si>
    <t>Retenção Oi TotalTroca de móvel titularBO Retenção Oi Total</t>
  </si>
  <si>
    <t>Retenção MÓVELMigração PRÉ PAGOData de CorteBO Retenção Varejo</t>
  </si>
  <si>
    <t>Ativo BlindagemPropensão OCTCampanha indisp. no SiebelBO Blindagem Móvel Pós/OCT/3G</t>
  </si>
  <si>
    <t>Retenção Oi TotalAcompanhamento BOCati de Erro / ARSBO Retenção Oi Total</t>
  </si>
  <si>
    <t>Retenção MÓVELMigração PRÉ PAGORetirada de flagBO Retenção Varejo</t>
  </si>
  <si>
    <t>Ativo BlindagemPropensão PósDisparo de MultaBO Blindagem Móvel Pós/OCT/3G</t>
  </si>
  <si>
    <t>Retenção Oi TotalAcompanhamento BOTT PAIBO Retenção Oi Total</t>
  </si>
  <si>
    <t>Retenção MÓVELAplicação de OfertaBO Retenção Varejo</t>
  </si>
  <si>
    <t>Ilha de MigraçãoAuditoriaBO Blindagem Móvel Pós/OCT/3G</t>
  </si>
  <si>
    <t>Retenção Oi TotalAcompanhamento BOOS PendenteBO Retenção Oi Total</t>
  </si>
  <si>
    <t>Retenção OCTAplicação de OfertaPerda de AlçadaBO Retenção Varejo</t>
  </si>
  <si>
    <t>Ativo BlindagemPropensão PósDowngrade de DadosBO Blindagem Móvel Pós/OCT/3G</t>
  </si>
  <si>
    <t>Retenção Oi TotalAcompanhamento BOEm ativaçãoBO Retenção Oi Total</t>
  </si>
  <si>
    <t>Retenção MÓVELMigração entre planosPerda de AlçadaBO Retenção Varejo</t>
  </si>
  <si>
    <t>Ilha de MigraçãoIlha de Migração OCTBO Blindagem Móvel Pós/OCT/3G</t>
  </si>
  <si>
    <t>Retenção Oi TotalAcompanhamento BOPendência de Tratamento UTCBO Retenção Oi Total</t>
  </si>
  <si>
    <t>Retenção MÓVELMigração entre planosRetirada de flagBO Retenção Varejo</t>
  </si>
  <si>
    <t>Ilha de MigraçãoIlha de ContestaçãoBO Blindagem Móvel Pós/OCT/3G</t>
  </si>
  <si>
    <t>Retenção Oi TotalAcompanhamento BOPendência de ContatoBO Retenção Oi Total</t>
  </si>
  <si>
    <t>Retenção MÓVELMigração entre planosData de CorteBO Retenção Varejo</t>
  </si>
  <si>
    <t>Ativo BlindagemPropensão OCTInviab. de inst. - Data CorteBO Blindagem Móvel Pós/OCT/3G</t>
  </si>
  <si>
    <t>Retenção Oi TotalAcompanhamento BOAnálise de CréditoBO Retenção Oi Total</t>
  </si>
  <si>
    <t>Retenção MÓVELMigração entre planosBO Retenção Varejo</t>
  </si>
  <si>
    <t>Ativo BlindagemPropensão OCTCamp. necessita 2 OSsBO Blindagem Móvel Pós/OCT/3G</t>
  </si>
  <si>
    <t>Retenção Oi TotalAcompanhamento BOAcomp Fraude - RetençõesBO Retenção Oi Total</t>
  </si>
  <si>
    <t>Retenção MÓVELCorreção de ofertaErro de faturamentoBO Retenção Varejo</t>
  </si>
  <si>
    <t>Ativo BlindagemPropensão OCTIsenção de MultaBO Blindagem Móvel Pós/OCT/3G</t>
  </si>
  <si>
    <t>Retenção Oi TotalAcompanhamento BOCanc com bloq de portabilidadeBO Retenção Oi Total</t>
  </si>
  <si>
    <t>Retenção MÓVELAplicação de OfertaSuspensãoBO Retenção Varejo</t>
  </si>
  <si>
    <t>Ativo BlindagemPropensão 3GOS PendenteBO Blindagem Móvel Pós/OCT/3G</t>
  </si>
  <si>
    <t>Retenção Oi TotalAcompanhamento BOPendência de Tratamento FraudeBO Retenção Oi Total</t>
  </si>
  <si>
    <t>Retenção MÓVELAplicação de OfertaTT aberto fora do prazoBO Retenção Varejo</t>
  </si>
  <si>
    <t>Ilha de MigraçãoIlha Oi Total 3PCampanha indisponível no SiebeBO Blindagem Móvel Pós/OCT/3G</t>
  </si>
  <si>
    <t>Retenção Oi TotalAcompanhamento BOCampanha IndisponívelBO Retenção Oi Total</t>
  </si>
  <si>
    <t>Ilha de ContestaçãoAplicação de OfertaBO Retenção Varejo</t>
  </si>
  <si>
    <t>Ilha de MigraçãoIlha de Migração OCTInviab. Inst. - Data CorteBO Blindagem Móvel Pós/OCT/3G</t>
  </si>
  <si>
    <t>Retenção Oi TotalAcompanhamento BOSuspensãoBO Retenção Oi Total</t>
  </si>
  <si>
    <t>Retenção OCTMigração PRÉ PAGOSuspensãoBO Retenção Varejo</t>
  </si>
  <si>
    <t>Ilha de MigraçãoIlha Oi Total 3POi LojaBO Blindagem Móvel Pós/OCT/3G</t>
  </si>
  <si>
    <t>Retenção Oi TotalAcompanhamento BOMigração Móvel Pós para PréBO Retenção Oi Total</t>
  </si>
  <si>
    <t>Ilha de ContestaçãoAplicação de OfertaOCTBO Retenção Varejo</t>
  </si>
  <si>
    <t>Ilha de MigraçãoIlha Oi Total 3PBO Blindagem Móvel Pós/OCT/3G</t>
  </si>
  <si>
    <t>Retenção Oi TotalAcompanhamento BOBO Retenção Oi Total</t>
  </si>
  <si>
    <t>Retenção LojaMigração MÓVEL PRÉRetirada de flagBO Retenção Varejo</t>
  </si>
  <si>
    <t>Retenção Oi TotalAcompanhamento BOSolicitação IndevidaBO Retenção Oi Total</t>
  </si>
  <si>
    <t>Retenção MÓVELAplicação de OfertaRetirada de flagBO Retenção Varejo</t>
  </si>
  <si>
    <t>Retenção Oi TotalCliente FibraCancelamentoBO Retenção Oi Total</t>
  </si>
  <si>
    <t>Retenção MÓVELAtivo ReversãoMigração POS_PREBO Retenção Varejo</t>
  </si>
  <si>
    <t>Retenção Oi TotalCancelamento FibraPossui flag inadimplênciaBO Retenção Oi Total</t>
  </si>
  <si>
    <t>Retenção LojaAtivo ReversãoMigração POS_PREBO Retenção Varejo</t>
  </si>
  <si>
    <t>Retenção Oi TotalFibra Cartão de CréditoCancelamentoBO Retenção Oi Total</t>
  </si>
  <si>
    <t>Retenção OCTAtivo ReversãoMigração OCT_PREBO Retenção Varejo</t>
  </si>
  <si>
    <t>Retenção Oi TotalCancelamento/DowngradeBO Retenção Oi Total</t>
  </si>
  <si>
    <t>Retenção MÓVELAtivo de ReversãoCancelarBO Retenção Varejo</t>
  </si>
  <si>
    <t>Retenção Oi TotalCancelamento TLVErro de Venda/FraudeBO Retenção Oi Total</t>
  </si>
  <si>
    <t>Retenção MÓVELAtivo ReversãoBO Retenção Varejo</t>
  </si>
  <si>
    <t>Retenção Oi TotalCancelamento BO ExternoFora da AlçadaBO Retenção Oi Total</t>
  </si>
  <si>
    <t>Retenção MÓVELAtivo de ReversãoBO Retenção Varejo</t>
  </si>
  <si>
    <t>Retenção Oi TotalDesistência Cancelamento CallPedido via Call CenterBO Retenção Oi Total</t>
  </si>
  <si>
    <t>Desistência Cancelamento CallCancelamento</t>
  </si>
  <si>
    <t>Retenção LojaAtivo ReversãoMigração OCT_PREBO Retenção Varejo</t>
  </si>
  <si>
    <t>Retenção Oi TotalCancelamentoReativação de linhaBO Retenção Oi Total</t>
  </si>
  <si>
    <t>RetençãoCancelamentoBO Retenção Varejo</t>
  </si>
  <si>
    <t>Retenção Oi TotalCancelamentoData de CorteBO Retenção Oi Total</t>
  </si>
  <si>
    <t>Retenção MÓVELCancelamentoPerda de AlçadaBO Retenção Varejo</t>
  </si>
  <si>
    <t>Retenção Oi TotalIsenção de MultaDowngrade Combo Oi TotalBO Retenção Oi Total</t>
  </si>
  <si>
    <t>Retenção MÓVELCancelamentoCHAT ONLINE CANCELBO Retenção Varejo</t>
  </si>
  <si>
    <t>Retenção Oi TotalCancelamentoReativação POS migrando PREBO Retenção Oi Total</t>
  </si>
  <si>
    <t>Retenção MÓVELIsenção de MultaAté 7 dias_Canal Remoto_PÓSBO Retenção Varejo</t>
  </si>
  <si>
    <t>Retenção Oi TotalCancelamento DesempregoIsenção Multa RJ, AC, PBBO Retenção Oi Total</t>
  </si>
  <si>
    <t>Retenção LojaIsenção de MultaAté 7 dias_Canal Remoto_PÓSBO Retenção Varejo</t>
  </si>
  <si>
    <t>Retenção Oi TotalCancelamento TLVCancelamento linha ativaBO Retenção Oi Total</t>
  </si>
  <si>
    <t>Retenção MÓVELCancelamentoSuspensãoBO Retenção Varejo</t>
  </si>
  <si>
    <t>CobrançaCancelamentoVenda IndevidaBO Retenção Oi Total</t>
  </si>
  <si>
    <t>Retenção LojaCancelamento MÓVELSuspensãoBO Retenção Varejo</t>
  </si>
  <si>
    <t>Retenção Oi TotalIsenção de MultaDesistência da compraBO Retenção Oi Total</t>
  </si>
  <si>
    <t>Retenção OCTTratamento FIXO/VELOXCancelamentoBO Retenção Varejo</t>
  </si>
  <si>
    <t>Retenção Oi TotalCancelamento VeloxBO Retenção Oi Total</t>
  </si>
  <si>
    <t>RetençãoCancelamentoNão deseja a transferênciaBO Retenção Varejo</t>
  </si>
  <si>
    <t>Retenção Oi TotalIsenção de MultaDesconhece ser Oi TotalBO Retenção Oi Total</t>
  </si>
  <si>
    <t>Retenção MÓVELCancelamentoErro SistêmicoBO Retenção Varejo</t>
  </si>
  <si>
    <t>Retenção Oi TotalAcompanhamento BOData de CorteBO Retenção Oi Total</t>
  </si>
  <si>
    <t>Retenção MÓVELCancelamento TLVCancelamento linha ativaBO Retenção Varejo</t>
  </si>
  <si>
    <t>Retenção Oi TotalCancelamento FibraBO Retenção Oi Total</t>
  </si>
  <si>
    <t>Retenção MÓVELCancelamentoBO Retenção Varejo</t>
  </si>
  <si>
    <t>Retenção Oi TotalCliente FibraBO Retenção Oi Total</t>
  </si>
  <si>
    <t>Retenção LojaCancelamento MÓVELErro SistêmicoBO Retenção Varejo</t>
  </si>
  <si>
    <t>Retenção Oi TotalAcompanhamento BOExtravio TV DTHBO Retenção Oi Total</t>
  </si>
  <si>
    <t>Retenção MÓVELCancelamentoReativação POS migrando PREBO Retenção Varejo</t>
  </si>
  <si>
    <t>Retenção Oi TotalCliente FibraDesmembramento CobreBO Retenção Oi Total</t>
  </si>
  <si>
    <t>Retenção MÓVELCancelamentoRetirada de flagBO Retenção Varejo</t>
  </si>
  <si>
    <t>RetençãoCancelamentoNão há viabilidade veloxBO Retenção Varejo</t>
  </si>
  <si>
    <t>Retenção MÓVELCancelamentoReativação de linhaBO Retenção Varejo</t>
  </si>
  <si>
    <t>Retenção Oi TotalCancelamentoDesistência do cancelamentoBO Retenção Oi Total</t>
  </si>
  <si>
    <t>Retenção OCTCancelamentoCancelamento 3GBO Retenção Varejo</t>
  </si>
  <si>
    <t>Migração Oi TotalCancelar ServiçosBO Retenção Oi Total</t>
  </si>
  <si>
    <t>Retenção MÓVELIsenção de MultaDowgrade plano fidelizadoBO Retenção Varejo</t>
  </si>
  <si>
    <t>Retenção OCTTratamento VELOXProcesso de DesqualificaçãoBO Retenção Varejo</t>
  </si>
  <si>
    <t>Retenção Oi TotalCancelamento TLVBO Retenção Oi Total</t>
  </si>
  <si>
    <t>Retenção MÓVELCancelamento TLVBloqueio de AtivaçãoBO Retenção Varejo</t>
  </si>
  <si>
    <t>Retenção Oi TotalCancelamento TLVDesconhece produtoBO Retenção Oi Total</t>
  </si>
  <si>
    <t>Retenção OCTCancelamentoPerda de AlçadaBO Retenção Varejo</t>
  </si>
  <si>
    <t>Retenção Oi TotalIsenção de MultaProduto não instaladoBO Retenção Oi Total</t>
  </si>
  <si>
    <t>Retenção MÓVELCancelamentoPacote de DadosBO Retenção Varejo</t>
  </si>
  <si>
    <t>Retenção MÓVELCancelamentoData de CorteBO Retenção Varejo</t>
  </si>
  <si>
    <t>Cancelamento TLVAplicação Oferta</t>
  </si>
  <si>
    <t>Retenção OCTCancelamentoErro SistêmicoBO Retenção Varejo</t>
  </si>
  <si>
    <t>Cancelamento/DowngradeAplicação Oferta</t>
  </si>
  <si>
    <t>BO FaturamentoMigração para PréPósBO Retenção Varejo</t>
  </si>
  <si>
    <t>Migração Oi TotalFibraMigrar para FibraBO Retenção Oi Total</t>
  </si>
  <si>
    <t>Retenção MÓVELCancelamento TLACancelamento linha ativaBO Retenção Varejo</t>
  </si>
  <si>
    <t>FibraAplicação Oferta</t>
  </si>
  <si>
    <t>Retenção LojaCancelamento MÓVELPerda de AlçadaBO Retenção Varejo</t>
  </si>
  <si>
    <t>Retenção Oi TotalBO Contas p/ BO RetençãoBO Retenção Oi Total</t>
  </si>
  <si>
    <t>Cancelamento BO ExternoAplicação Oferta</t>
  </si>
  <si>
    <t>Retenção OCTTratamento FIXO/VELOXAplicação de CampanhaBO Retenção Varejo</t>
  </si>
  <si>
    <t>Migração Oi TotalMigração entre planosBO Retenção Oi Total</t>
  </si>
  <si>
    <t>Retenção OCTCancelamentoSuspensãoBO Retenção Varejo</t>
  </si>
  <si>
    <t>Retenção Oi TotalOferta BO ExternoFora da AlçadaBO Retenção Oi Total</t>
  </si>
  <si>
    <t>Retenção MÓVELCancelamentoTT aberto fora do prazoBO Retenção Varejo</t>
  </si>
  <si>
    <t>Migração Oi TotalFibraMigração de planoBO Retenção Oi Total</t>
  </si>
  <si>
    <t>Retenção LojaCancelamento MÓVELRetirada de flagBO Retenção Varejo</t>
  </si>
  <si>
    <t>Retenção Oi TotalAplicação de Oferta0BO Retenção Oi Total</t>
  </si>
  <si>
    <t>Retenção 3GCancelamentoErro SistêmicoBO Retenção Varejo</t>
  </si>
  <si>
    <t>Retenção MÓVELDESISTÊNCIA DE CANCELAMENTO RAPEDIDO (URA/WEB/MINHA OI)BO Retenção Varejo</t>
  </si>
  <si>
    <t>DESISTÊNCIA DE CANCELAMENTO RACancelamento</t>
  </si>
  <si>
    <t>Migração Oi TotalIncluir ServiçosBO Retenção Oi Total</t>
  </si>
  <si>
    <t>Retenção LojaCancelamento MÓVELData de CorteBO Retenção Varejo</t>
  </si>
  <si>
    <t>Retenção 3GCancelamentoPerda de AlçadaBO Retenção Varejo</t>
  </si>
  <si>
    <t>Retenção Oi TotalIsenção de MultaValores Beneficios divergenteBO Retenção Oi Total</t>
  </si>
  <si>
    <t>Retenção MóvelIsenção de MultaErro ativação portabilidadeBO Retenção Varejo</t>
  </si>
  <si>
    <t>Retenção Oi TotalIsenção de MultaDesconhece produto do ComboBO Retenção Oi Total</t>
  </si>
  <si>
    <t>Retenção MóvelAcompanhamentoCorreção NRES p/RESBO Retenção Varejo</t>
  </si>
  <si>
    <t>Retenção Oi TotalDesistência CancelamentoPedido(URA/Web/Minha Oi)BO Retenção Oi Total</t>
  </si>
  <si>
    <t>Retenção MóvelAcompanhamento BOLogradouro não cadastradoBO Retenção Varejo</t>
  </si>
  <si>
    <t>Desistência CancelamentoCancelamento</t>
  </si>
  <si>
    <t>Retenção OCTAtivo ReversãoRetirar todosBO Retenção Varejo</t>
  </si>
  <si>
    <t>Retenção Oi TotalCancelamento/Downgrade0BO Retenção Oi Total</t>
  </si>
  <si>
    <t>Cancelamento FibraCancelamento</t>
  </si>
  <si>
    <t>Retenção LojaAtivo ReversãoBO Retenção Varejo</t>
  </si>
  <si>
    <t>Retenção Oi TotalDesmembramento combo FraudeBO Retenção Oi Total</t>
  </si>
  <si>
    <t>Retenção PortabilidadeAplicar ofertaOS canceladaBO Retenção Varejo</t>
  </si>
  <si>
    <t>Aplicar ofertaPortabilidade</t>
  </si>
  <si>
    <t>Retenção Oi TotalDesmembramento SAVCancelamento linha ativaBO Retenção Oi Total</t>
  </si>
  <si>
    <t>Retenção Oi TotalCancelamento BO ExternoBO Retenção Oi Total</t>
  </si>
  <si>
    <t>Desmembramento SAVAplicação Oferta</t>
  </si>
  <si>
    <t>Migração Oi TotalAlterar ServiçosBO Retenção Oi Total</t>
  </si>
  <si>
    <t>Retenção Oi TotalCancelamento - Ação AverageCancel total ou Retira ProdutoBO Retenção Oi Total</t>
  </si>
  <si>
    <t>Retenção Oi TotalCancelamento - Ação AverageBO Retenção Oi Total</t>
  </si>
  <si>
    <t>Instalar Oferta OI+Alegria</t>
  </si>
  <si>
    <t>Inadimplente_Venda/Migração</t>
  </si>
  <si>
    <t>Desistência Cancelamento RACO</t>
  </si>
  <si>
    <t>x</t>
  </si>
  <si>
    <t>VAREJO -POS OCT / Mailings</t>
  </si>
  <si>
    <t>Retenção móvel</t>
  </si>
  <si>
    <t>\\naspc31\bo_oct$\02_Staff\BO_MACRO\09_BO MOBILIDADE\Distribuicao\</t>
  </si>
  <si>
    <t>NOVO LOCAL DE REDE DA MACRO</t>
  </si>
  <si>
    <t>URL_DISTRIBUICAO</t>
  </si>
  <si>
    <t>\\naspc31\bo_oct$\02_Staff\BO_MACRO\09_BO MOBILIDADE\Desktop\</t>
  </si>
  <si>
    <t>URL_DESKTOP</t>
  </si>
  <si>
    <t>\\naspc31\bo_oct$\02_Staff\BO_MACRO\09_BO MOBILIDADE\</t>
  </si>
  <si>
    <t>URL_BOLETIM</t>
  </si>
  <si>
    <t>MACRO DA REDE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</si>
</sst>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31708F"/>
      <name val="Arial"/>
      <family val="2"/>
    </font>
    <font>
      <b/>
      <sz val="14"/>
      <color theme="0"/>
      <name val="Arial Black"/>
      <family val="2"/>
    </font>
    <font>
      <b/>
      <sz val="16"/>
      <color theme="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-0.499984740745262"/>
        <bgColor indexed="64"/>
      </patternFill>
    </fill>
  </fills>
  <borders count="26">
    <border>
      <left/>
      <right/>
      <top/>
      <bottom/>
      <diagonal/>
    </border>
    <border>
      <left style="thin">
        <color theme="6"/>
      </left>
      <right/>
      <top style="thin">
        <color theme="6"/>
      </top>
      <bottom style="hair">
        <color theme="6"/>
      </bottom>
      <diagonal/>
    </border>
    <border>
      <left/>
      <right style="thin">
        <color theme="6"/>
      </right>
      <top style="thin">
        <color theme="6"/>
      </top>
      <bottom style="hair">
        <color theme="6"/>
      </bottom>
      <diagonal/>
    </border>
    <border>
      <left style="thin">
        <color theme="6"/>
      </left>
      <right/>
      <top style="hair">
        <color theme="6"/>
      </top>
      <bottom style="hair">
        <color theme="6"/>
      </bottom>
      <diagonal/>
    </border>
    <border>
      <left/>
      <right style="thin">
        <color theme="6"/>
      </right>
      <top style="hair">
        <color theme="6"/>
      </top>
      <bottom style="hair">
        <color theme="6"/>
      </bottom>
      <diagonal/>
    </border>
    <border>
      <left style="thin">
        <color theme="6"/>
      </left>
      <right/>
      <top style="hair">
        <color theme="6"/>
      </top>
      <bottom style="thin">
        <color theme="6"/>
      </bottom>
      <diagonal/>
    </border>
    <border>
      <left/>
      <right style="thin">
        <color theme="6"/>
      </right>
      <top style="hair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6"/>
      </right>
      <top/>
      <bottom/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86">
    <xf numFmtId="0" fontId="0" fillId="0" borderId="0" xfId="0"/>
    <xf numFmtId="0" fontId="0" fillId="2" borderId="7" xfId="0" applyFill="1" applyBorder="1"/>
    <xf numFmtId="0" fontId="1" fillId="0" borderId="0" xfId="0" applyFont="1" applyBorder="1" applyAlignment="1">
      <alignment horizontal="left" vertical="center" wrapText="1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" fillId="0" borderId="15" xfId="0" applyFont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49" fontId="1" fillId="0" borderId="17" xfId="0" applyNumberFormat="1" applyFont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14" fontId="0" fillId="0" borderId="18" xfId="0" applyNumberFormat="1" applyBorder="1"/>
    <xf numFmtId="1" fontId="0" fillId="0" borderId="18" xfId="0" applyNumberFormat="1" applyBorder="1" applyAlignment="1">
      <alignment horizontal="center" vertical="center"/>
    </xf>
    <xf numFmtId="164" fontId="0" fillId="0" borderId="18" xfId="0" applyNumberFormat="1" applyBorder="1" applyAlignment="1">
      <alignment horizontal="left" vertical="center"/>
    </xf>
    <xf numFmtId="14" fontId="0" fillId="0" borderId="18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4" fontId="0" fillId="0" borderId="19" xfId="0" applyNumberFormat="1" applyBorder="1"/>
    <xf numFmtId="1" fontId="0" fillId="0" borderId="19" xfId="0" applyNumberFormat="1" applyBorder="1" applyAlignment="1">
      <alignment horizontal="center" vertical="center"/>
    </xf>
    <xf numFmtId="164" fontId="0" fillId="0" borderId="19" xfId="0" applyNumberFormat="1" applyBorder="1" applyAlignment="1">
      <alignment horizontal="left" vertical="center"/>
    </xf>
    <xf numFmtId="14" fontId="0" fillId="0" borderId="1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0" xfId="0" applyBorder="1"/>
    <xf numFmtId="0" fontId="0" fillId="4" borderId="12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1" fillId="0" borderId="12" xfId="0" applyFont="1" applyBorder="1" applyAlignment="1">
      <alignment horizontal="left" vertical="center" wrapText="1"/>
    </xf>
    <xf numFmtId="0" fontId="0" fillId="2" borderId="7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6" borderId="0" xfId="0" applyFill="1"/>
    <xf numFmtId="0" fontId="1" fillId="0" borderId="21" xfId="0" applyFont="1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1" fillId="3" borderId="14" xfId="0" applyFont="1" applyFill="1" applyBorder="1" applyAlignment="1">
      <alignment horizontal="left" vertical="center" wrapText="1"/>
    </xf>
    <xf numFmtId="1" fontId="0" fillId="6" borderId="0" xfId="0" applyNumberFormat="1" applyFill="1"/>
    <xf numFmtId="1" fontId="0" fillId="0" borderId="0" xfId="0" applyNumberFormat="1"/>
    <xf numFmtId="0" fontId="0" fillId="0" borderId="16" xfId="0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4" fillId="7" borderId="22" xfId="0" applyFont="1" applyFill="1" applyBorder="1" applyAlignment="1">
      <alignment vertical="center"/>
    </xf>
    <xf numFmtId="14" fontId="5" fillId="8" borderId="12" xfId="0" applyNumberFormat="1" applyFont="1" applyFill="1" applyBorder="1" applyAlignment="1">
      <alignment horizontal="left" vertical="center"/>
    </xf>
    <xf numFmtId="14" fontId="6" fillId="8" borderId="12" xfId="0" applyNumberFormat="1" applyFont="1" applyFill="1" applyBorder="1" applyAlignment="1">
      <alignment horizontal="left" vertical="center"/>
    </xf>
    <xf numFmtId="0" fontId="5" fillId="8" borderId="0" xfId="0" applyFont="1" applyFill="1"/>
    <xf numFmtId="14" fontId="6" fillId="0" borderId="12" xfId="0" applyNumberFormat="1" applyFont="1" applyBorder="1" applyAlignment="1">
      <alignment horizontal="left" vertical="center"/>
    </xf>
    <xf numFmtId="0" fontId="7" fillId="0" borderId="0" xfId="0" applyFont="1"/>
    <xf numFmtId="0" fontId="8" fillId="9" borderId="17" xfId="0" applyFont="1" applyFill="1" applyBorder="1" applyAlignment="1">
      <alignment horizontal="left" vertical="center" wrapText="1"/>
    </xf>
    <xf numFmtId="0" fontId="2" fillId="10" borderId="17" xfId="0" applyFont="1" applyFill="1" applyBorder="1" applyAlignment="1">
      <alignment horizontal="left" vertical="center" wrapText="1"/>
    </xf>
    <xf numFmtId="0" fontId="2" fillId="10" borderId="17" xfId="0" applyFont="1" applyFill="1" applyBorder="1"/>
    <xf numFmtId="0" fontId="3" fillId="0" borderId="0" xfId="0" applyFont="1" applyFill="1"/>
    <xf numFmtId="0" fontId="2" fillId="11" borderId="0" xfId="0" applyFont="1" applyFill="1"/>
    <xf numFmtId="0" fontId="9" fillId="12" borderId="17" xfId="0" applyFont="1" applyFill="1" applyBorder="1" applyAlignment="1">
      <alignment horizontal="left" vertical="center" wrapText="1"/>
    </xf>
    <xf numFmtId="0" fontId="10" fillId="3" borderId="17" xfId="0" applyFont="1" applyFill="1" applyBorder="1" applyAlignment="1">
      <alignment horizontal="left" vertical="center" wrapText="1"/>
    </xf>
    <xf numFmtId="0" fontId="1" fillId="3" borderId="17" xfId="0" applyFont="1" applyFill="1" applyBorder="1"/>
    <xf numFmtId="0" fontId="0" fillId="0" borderId="17" xfId="0" applyBorder="1"/>
    <xf numFmtId="0" fontId="0" fillId="13" borderId="17" xfId="0" applyFill="1" applyBorder="1"/>
    <xf numFmtId="0" fontId="0" fillId="13" borderId="0" xfId="0" applyFill="1"/>
    <xf numFmtId="0" fontId="0" fillId="0" borderId="21" xfId="0" applyBorder="1"/>
    <xf numFmtId="0" fontId="0" fillId="0" borderId="21" xfId="0" applyFill="1" applyBorder="1"/>
    <xf numFmtId="0" fontId="4" fillId="11" borderId="22" xfId="0" applyFont="1" applyFill="1" applyBorder="1" applyAlignment="1">
      <alignment vertical="center"/>
    </xf>
    <xf numFmtId="0" fontId="4" fillId="14" borderId="22" xfId="0" applyFont="1" applyFill="1" applyBorder="1" applyAlignment="1">
      <alignment vertical="center"/>
    </xf>
    <xf numFmtId="0" fontId="5" fillId="13" borderId="10" xfId="0" applyFont="1" applyFill="1" applyBorder="1" applyAlignment="1">
      <alignment horizontal="center" vertical="center"/>
    </xf>
    <xf numFmtId="14" fontId="6" fillId="3" borderId="12" xfId="0" applyNumberFormat="1" applyFont="1" applyFill="1" applyBorder="1" applyAlignment="1">
      <alignment horizontal="left" vertical="center"/>
    </xf>
    <xf numFmtId="16" fontId="0" fillId="0" borderId="0" xfId="0" applyNumberFormat="1"/>
    <xf numFmtId="0" fontId="4" fillId="15" borderId="22" xfId="0" applyFont="1" applyFill="1" applyBorder="1" applyAlignment="1">
      <alignment vertical="center"/>
    </xf>
    <xf numFmtId="14" fontId="5" fillId="5" borderId="12" xfId="0" applyNumberFormat="1" applyFont="1" applyFill="1" applyBorder="1" applyAlignment="1">
      <alignment horizontal="left" vertical="center"/>
    </xf>
    <xf numFmtId="14" fontId="6" fillId="5" borderId="12" xfId="0" applyNumberFormat="1" applyFont="1" applyFill="1" applyBorder="1" applyAlignment="1">
      <alignment horizontal="left" vertical="center"/>
    </xf>
    <xf numFmtId="14" fontId="0" fillId="5" borderId="19" xfId="0" applyNumberFormat="1" applyFill="1" applyBorder="1"/>
    <xf numFmtId="0" fontId="12" fillId="0" borderId="12" xfId="0" applyFont="1" applyBorder="1" applyAlignment="1">
      <alignment horizontal="left" vertical="center" wrapText="1"/>
    </xf>
    <xf numFmtId="0" fontId="11" fillId="0" borderId="12" xfId="0" applyFont="1" applyBorder="1" applyAlignment="1">
      <alignment horizontal="center" vertical="center"/>
    </xf>
    <xf numFmtId="1" fontId="0" fillId="0" borderId="17" xfId="0" applyNumberFormat="1" applyBorder="1"/>
    <xf numFmtId="0" fontId="0" fillId="0" borderId="17" xfId="0" applyBorder="1" applyAlignment="1">
      <alignment horizontal="center"/>
    </xf>
    <xf numFmtId="1" fontId="2" fillId="16" borderId="23" xfId="0" applyNumberFormat="1" applyFont="1" applyFill="1" applyBorder="1" applyAlignment="1">
      <alignment horizontal="center"/>
    </xf>
    <xf numFmtId="1" fontId="2" fillId="16" borderId="24" xfId="0" applyNumberFormat="1" applyFont="1" applyFill="1" applyBorder="1" applyAlignment="1">
      <alignment horizontal="center"/>
    </xf>
    <xf numFmtId="1" fontId="2" fillId="16" borderId="25" xfId="0" applyNumberFormat="1" applyFont="1" applyFill="1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 textRotation="90"/>
    </xf>
    <xf numFmtId="0" fontId="1" fillId="2" borderId="11" xfId="0" applyFont="1" applyFill="1" applyBorder="1" applyAlignment="1">
      <alignment horizontal="center" vertical="center" textRotation="90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3" fillId="3" borderId="3" xfId="1" applyFill="1" applyBorder="1" applyAlignment="1" applyProtection="1">
      <alignment horizontal="center"/>
      <protection locked="0"/>
    </xf>
    <xf numFmtId="0" fontId="0" fillId="3" borderId="4" xfId="0" applyFont="1" applyFill="1" applyBorder="1" applyAlignment="1" applyProtection="1">
      <alignment horizontal="center"/>
      <protection locked="0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69850</xdr:colOff>
      <xdr:row>0</xdr:row>
      <xdr:rowOff>190499</xdr:rowOff>
    </xdr:from>
    <xdr:to>
      <xdr:col>3</xdr:col>
      <xdr:colOff>41050</xdr:colOff>
      <xdr:row>5</xdr:row>
      <xdr:rowOff>54428</xdr:rowOff>
    </xdr:to>
    <xdr:sp macro="[0]!BaseBlindagem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9850" y="190499"/>
          <a:ext cx="1808164" cy="816429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Base Blindagem</a:t>
          </a:r>
        </a:p>
      </xdr:txBody>
    </xdr:sp>
    <xdr:clientData/>
  </xdr:twoCellAnchor>
  <xdr:twoCellAnchor>
    <xdr:from>
      <xdr:col>0</xdr:col>
      <xdr:colOff>69850</xdr:colOff>
      <xdr:row>5</xdr:row>
      <xdr:rowOff>149679</xdr:rowOff>
    </xdr:from>
    <xdr:to>
      <xdr:col>3</xdr:col>
      <xdr:colOff>41050</xdr:colOff>
      <xdr:row>10</xdr:row>
      <xdr:rowOff>19467</xdr:rowOff>
    </xdr:to>
    <xdr:sp macro="[0]!BaseControle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9850" y="1102179"/>
          <a:ext cx="1808164" cy="822288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Base Controle</a:t>
          </a:r>
        </a:p>
      </xdr:txBody>
    </xdr:sp>
    <xdr:clientData/>
  </xdr:twoCellAnchor>
  <xdr:twoCellAnchor>
    <xdr:from>
      <xdr:col>0</xdr:col>
      <xdr:colOff>69850</xdr:colOff>
      <xdr:row>10</xdr:row>
      <xdr:rowOff>86784</xdr:rowOff>
    </xdr:from>
    <xdr:to>
      <xdr:col>3</xdr:col>
      <xdr:colOff>41050</xdr:colOff>
      <xdr:row>15</xdr:row>
      <xdr:rowOff>34284</xdr:rowOff>
    </xdr:to>
    <xdr:sp macro="[0]!BasePOSOCT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9850" y="1991784"/>
          <a:ext cx="1800000" cy="900000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Base POS/OCT</a:t>
          </a:r>
        </a:p>
      </xdr:txBody>
    </xdr:sp>
    <xdr:clientData/>
  </xdr:twoCellAnchor>
  <xdr:twoCellAnchor>
    <xdr:from>
      <xdr:col>0</xdr:col>
      <xdr:colOff>69850</xdr:colOff>
      <xdr:row>15</xdr:row>
      <xdr:rowOff>127000</xdr:rowOff>
    </xdr:from>
    <xdr:to>
      <xdr:col>3</xdr:col>
      <xdr:colOff>41050</xdr:colOff>
      <xdr:row>20</xdr:row>
      <xdr:rowOff>74500</xdr:rowOff>
    </xdr:to>
    <xdr:sp macro="[0]!BaseOIT" textlink="">
      <xdr:nvSpPr>
        <xdr:cNvPr id="6" name="Retângulo de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850" y="2984500"/>
          <a:ext cx="1800000" cy="900000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Base Oi Total</a:t>
          </a:r>
        </a:p>
      </xdr:txBody>
    </xdr:sp>
    <xdr:clientData/>
  </xdr:twoCellAnchor>
  <xdr:twoCellAnchor>
    <xdr:from>
      <xdr:col>6</xdr:col>
      <xdr:colOff>228600</xdr:colOff>
      <xdr:row>4</xdr:row>
      <xdr:rowOff>59265</xdr:rowOff>
    </xdr:from>
    <xdr:to>
      <xdr:col>9</xdr:col>
      <xdr:colOff>15400</xdr:colOff>
      <xdr:row>9</xdr:row>
      <xdr:rowOff>186765</xdr:rowOff>
    </xdr:to>
    <xdr:sp macro="[0]!Boletim" textlink="">
      <xdr:nvSpPr>
        <xdr:cNvPr id="7" name="Retângulo de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886200" y="821265"/>
          <a:ext cx="1260000" cy="1080000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Atualizar Boletim</a:t>
          </a:r>
          <a:r>
            <a:rPr lang="pt-BR" sz="18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Volumes</a:t>
          </a:r>
          <a:endParaRPr lang="pt-BR" sz="18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NASPC31\BO_OCT$\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B5717"/>
  <sheetViews>
    <sheetView showGridLines="0" tabSelected="1" zoomScaleNormal="100" workbookViewId="0">
      <selection activeCell="I14" sqref="I14"/>
    </sheetView>
  </sheetViews>
  <sheetFormatPr defaultColWidth="0" defaultRowHeight="15" zeroHeight="1" x14ac:dyDescent="0.25"/>
  <cols>
    <col min="1" max="1" width="18" style="37" bestFit="1" customWidth="1"/>
    <col min="2" max="6" width="9.140625" customWidth="1"/>
    <col min="7" max="7" width="3.7109375" customWidth="1"/>
    <col min="8" max="8" width="11.5703125" customWidth="1"/>
    <col min="9" max="9" width="12.85546875" customWidth="1"/>
    <col min="10" max="10" width="4.5703125" customWidth="1"/>
    <col min="11" max="11" width="9" style="9" hidden="1" customWidth="1"/>
    <col min="12" max="12" width="26.85546875" style="9" hidden="1" customWidth="1"/>
    <col min="13" max="13" width="106.85546875" style="9" hidden="1" customWidth="1"/>
    <col min="14" max="14" width="2.7109375" hidden="1" customWidth="1"/>
    <col min="15" max="15" width="18.42578125" style="4" hidden="1" customWidth="1"/>
    <col min="16" max="16" width="14.5703125" style="9" hidden="1" customWidth="1"/>
    <col min="17" max="17" width="6.85546875" hidden="1" customWidth="1"/>
    <col min="18" max="25" width="9.140625" hidden="1" customWidth="1"/>
    <col min="26" max="26" width="2.7109375" hidden="1" customWidth="1"/>
    <col min="27" max="27" width="12.42578125" hidden="1" customWidth="1"/>
    <col min="28" max="28" width="30.28515625" hidden="1" customWidth="1"/>
    <col min="29" max="29" width="18.85546875" hidden="1" customWidth="1"/>
    <col min="30" max="30" width="12.5703125" hidden="1" customWidth="1"/>
    <col min="31" max="31" width="12.42578125" hidden="1" customWidth="1"/>
    <col min="32" max="32" width="3.42578125" hidden="1" customWidth="1"/>
    <col min="33" max="33" width="13.140625" hidden="1" customWidth="1"/>
    <col min="34" max="34" width="13.5703125" hidden="1" customWidth="1"/>
    <col min="35" max="35" width="12" hidden="1" customWidth="1"/>
    <col min="36" max="36" width="11.5703125" hidden="1" customWidth="1"/>
    <col min="37" max="43" width="9.140625" hidden="1" customWidth="1"/>
    <col min="44" max="44" width="19.85546875" hidden="1" customWidth="1"/>
    <col min="45" max="45" width="20.28515625" hidden="1" customWidth="1"/>
    <col min="46" max="46" width="25" hidden="1" customWidth="1"/>
    <col min="47" max="47" width="22.5703125" hidden="1" customWidth="1"/>
    <col min="48" max="48" width="56.5703125" hidden="1" customWidth="1"/>
    <col min="49" max="49" width="25.5703125" hidden="1" customWidth="1"/>
    <col min="50" max="50" width="37.28515625" hidden="1" customWidth="1"/>
    <col min="51" max="53" width="9.140625" hidden="1" customWidth="1"/>
    <col min="54" max="54" width="21.7109375" hidden="1" customWidth="1"/>
    <col min="55" max="55" width="30.42578125" hidden="1" customWidth="1"/>
    <col min="56" max="56" width="26.85546875" hidden="1" customWidth="1"/>
    <col min="57" max="57" width="18.85546875" hidden="1" customWidth="1"/>
    <col min="58" max="58" width="62.28515625" hidden="1" customWidth="1"/>
    <col min="59" max="59" width="21.140625" hidden="1" customWidth="1"/>
    <col min="60" max="60" width="24.5703125" hidden="1" customWidth="1"/>
    <col min="61" max="63" width="9.140625" hidden="1" customWidth="1"/>
    <col min="64" max="64" width="17.7109375" hidden="1" customWidth="1"/>
    <col min="65" max="65" width="12.85546875" hidden="1" customWidth="1"/>
    <col min="66" max="66" width="7.5703125" hidden="1" customWidth="1"/>
    <col min="67" max="67" width="15.7109375" hidden="1" customWidth="1"/>
    <col min="68" max="68" width="12.140625" hidden="1" customWidth="1"/>
    <col min="69" max="69" width="9.42578125" hidden="1" customWidth="1"/>
    <col min="70" max="70" width="12.28515625" hidden="1" customWidth="1"/>
    <col min="71" max="73" width="9.140625" hidden="1" customWidth="1"/>
    <col min="74" max="74" width="17.7109375" hidden="1" customWidth="1"/>
    <col min="75" max="75" width="26.85546875" hidden="1" customWidth="1"/>
    <col min="76" max="76" width="23.28515625" hidden="1" customWidth="1"/>
    <col min="77" max="77" width="20.28515625" hidden="1" customWidth="1"/>
    <col min="78" max="78" width="66.42578125" hidden="1" customWidth="1"/>
    <col min="79" max="79" width="26.85546875" hidden="1" customWidth="1"/>
    <col min="80" max="80" width="44.140625" hidden="1" customWidth="1"/>
    <col min="81" max="16384" width="9.140625" hidden="1"/>
  </cols>
  <sheetData>
    <row r="1" spans="1:80" x14ac:dyDescent="0.25">
      <c r="O1" s="38"/>
      <c r="AR1" t="s">
        <v>4664</v>
      </c>
      <c r="BB1" t="s">
        <v>4664</v>
      </c>
      <c r="BL1" t="s">
        <v>4664</v>
      </c>
      <c r="BV1" t="s">
        <v>4664</v>
      </c>
    </row>
    <row r="2" spans="1:80" x14ac:dyDescent="0.25">
      <c r="A2" s="36"/>
      <c r="B2" s="32"/>
      <c r="C2" s="32"/>
      <c r="D2" s="32"/>
      <c r="E2" s="32"/>
      <c r="F2" s="32"/>
      <c r="G2" s="32"/>
      <c r="H2" s="78" t="s">
        <v>0</v>
      </c>
      <c r="I2" s="79"/>
      <c r="J2" s="32"/>
      <c r="K2" s="1"/>
      <c r="L2" s="84" t="s">
        <v>2</v>
      </c>
      <c r="M2" s="85"/>
      <c r="O2" s="10" t="s">
        <v>11</v>
      </c>
      <c r="P2" s="10" t="s">
        <v>12</v>
      </c>
      <c r="Q2" t="str">
        <f ca="1">IF(AND(P2&lt;&gt;"Ativo de reversão",P2&lt;&gt;"Categoria Nova"),"Tratar",IF(AND($R$2=3,P2="Ativo de reversão",C2&lt;=TODAY()-4),"Tratar",IF(AND($R$2&lt;&gt;3, P2="Ativo de reversão",C2&lt;=TODAY()-3),"Tratar","Não Tratar")))</f>
        <v>Tratar</v>
      </c>
      <c r="AA2" s="11" t="s">
        <v>13</v>
      </c>
      <c r="AB2" s="11" t="s">
        <v>14</v>
      </c>
      <c r="AC2" s="11" t="s">
        <v>15</v>
      </c>
      <c r="AD2" s="11" t="s">
        <v>16</v>
      </c>
      <c r="AE2" s="12" t="s">
        <v>17</v>
      </c>
      <c r="AF2" s="75" t="s">
        <v>18</v>
      </c>
      <c r="AG2" s="75"/>
      <c r="AH2" s="11" t="s">
        <v>19</v>
      </c>
      <c r="AI2" s="11" t="s">
        <v>20</v>
      </c>
      <c r="AJ2" s="33" t="s">
        <v>3982</v>
      </c>
      <c r="AR2" s="64" t="s">
        <v>3985</v>
      </c>
      <c r="BB2" s="40" t="s">
        <v>4665</v>
      </c>
      <c r="BL2" s="59" t="s">
        <v>4154</v>
      </c>
      <c r="BV2" s="60" t="s">
        <v>4155</v>
      </c>
    </row>
    <row r="3" spans="1:80" x14ac:dyDescent="0.25">
      <c r="A3" s="36"/>
      <c r="B3" s="32"/>
      <c r="C3" s="32"/>
      <c r="D3" s="32"/>
      <c r="E3" s="32"/>
      <c r="F3" s="32"/>
      <c r="G3" s="32"/>
      <c r="H3" s="80" t="s">
        <v>4674</v>
      </c>
      <c r="I3" s="81"/>
      <c r="J3" s="32"/>
      <c r="K3" s="76" t="s">
        <v>3</v>
      </c>
      <c r="L3" s="2" t="s">
        <v>4</v>
      </c>
      <c r="M3" s="3" t="str">
        <f ca="1">"\\naspc31\bo_oct$\22-Extração\BO BLINDAGEM\ABERTO\"&amp;$AI$3&amp;"\BO BLINDAGEM ABERTOS "&amp;$AH$4&amp;".xlsx"</f>
        <v>\\naspc31\bo_oct$\22-Extração\BO BLINDAGEM\ABERTO\DEZEMBRO\BO BLINDAGEM ABERTOS 11-12.xlsx</v>
      </c>
      <c r="O3" s="13" t="s">
        <v>21</v>
      </c>
      <c r="P3" s="13" t="s">
        <v>22</v>
      </c>
      <c r="AA3" s="14">
        <v>43101</v>
      </c>
      <c r="AB3" s="15">
        <f t="shared" ref="AB3:AB66" si="0">AC3</f>
        <v>2</v>
      </c>
      <c r="AC3" s="16">
        <f t="shared" ref="AC3:AC66" si="1">WEEKDAY(AA3)</f>
        <v>2</v>
      </c>
      <c r="AD3" s="17" t="str">
        <f t="shared" ref="AD3:AD66" si="2">IF(WORKDAY(AA3-1,1,$AE$3:$AE$14)=AA3,"ÚTIL","NÃO ÚTIL")</f>
        <v>NÃO ÚTIL</v>
      </c>
      <c r="AE3" s="14">
        <v>43101</v>
      </c>
      <c r="AF3" s="15">
        <v>1</v>
      </c>
      <c r="AG3" s="17" t="s">
        <v>23</v>
      </c>
      <c r="AH3" s="18" t="str">
        <f ca="1">TEXT(TODAY(),"DD MM AAAA")</f>
        <v>11 12 2021</v>
      </c>
      <c r="AI3" s="18" t="str">
        <f ca="1">VLOOKUP(MONTH(TODAY()),$AF$2:$AG$1098,2,0)</f>
        <v>DEZEMBRO</v>
      </c>
      <c r="AJ3" s="25">
        <f ca="1">TODAY()</f>
        <v>44541</v>
      </c>
      <c r="AR3" s="64" t="s">
        <v>3987</v>
      </c>
      <c r="AS3" s="64" t="s">
        <v>3988</v>
      </c>
      <c r="AT3" s="64" t="s">
        <v>3989</v>
      </c>
      <c r="AU3" s="64" t="s">
        <v>3990</v>
      </c>
      <c r="AV3" s="64" t="s">
        <v>3991</v>
      </c>
      <c r="AW3" s="64" t="s">
        <v>3992</v>
      </c>
      <c r="AX3" s="64" t="s">
        <v>3993</v>
      </c>
      <c r="BB3" s="40" t="s">
        <v>3987</v>
      </c>
      <c r="BC3" s="40" t="s">
        <v>3988</v>
      </c>
      <c r="BD3" s="40" t="s">
        <v>3989</v>
      </c>
      <c r="BE3" s="40" t="s">
        <v>3990</v>
      </c>
      <c r="BF3" s="40" t="s">
        <v>3991</v>
      </c>
      <c r="BG3" s="40" t="s">
        <v>3992</v>
      </c>
      <c r="BH3" s="40" t="s">
        <v>3993</v>
      </c>
      <c r="BL3" s="59" t="s">
        <v>3987</v>
      </c>
      <c r="BM3" s="59" t="s">
        <v>3988</v>
      </c>
      <c r="BN3" s="59" t="s">
        <v>3989</v>
      </c>
      <c r="BO3" s="59" t="s">
        <v>3990</v>
      </c>
      <c r="BP3" s="59" t="s">
        <v>3991</v>
      </c>
      <c r="BQ3" s="59" t="s">
        <v>3992</v>
      </c>
      <c r="BR3" s="59" t="s">
        <v>3993</v>
      </c>
      <c r="BV3" s="60" t="s">
        <v>3987</v>
      </c>
      <c r="BW3" s="60" t="s">
        <v>3988</v>
      </c>
      <c r="BX3" s="60" t="s">
        <v>3989</v>
      </c>
      <c r="BY3" s="60" t="s">
        <v>3990</v>
      </c>
      <c r="BZ3" s="60" t="s">
        <v>3991</v>
      </c>
      <c r="CA3" s="60" t="s">
        <v>3992</v>
      </c>
      <c r="CB3" s="60" t="s">
        <v>3993</v>
      </c>
    </row>
    <row r="4" spans="1:80" x14ac:dyDescent="0.25">
      <c r="A4" s="36"/>
      <c r="B4" s="32"/>
      <c r="C4" s="32"/>
      <c r="D4" s="32"/>
      <c r="E4" s="32"/>
      <c r="F4" s="32"/>
      <c r="G4" s="32"/>
      <c r="H4" s="82" t="s">
        <v>1</v>
      </c>
      <c r="I4" s="83"/>
      <c r="J4" s="32"/>
      <c r="K4" s="76"/>
      <c r="L4" s="2" t="s">
        <v>5</v>
      </c>
      <c r="M4" s="4" t="str">
        <f ca="1">RIGHT(M3,31)</f>
        <v>BO BLINDAGEM ABERTOS 11-12.xlsx</v>
      </c>
      <c r="O4" s="4" t="s">
        <v>24</v>
      </c>
      <c r="P4" s="4" t="s">
        <v>307</v>
      </c>
      <c r="AA4" s="19">
        <f t="shared" ref="AA4:AA67" si="3">AA3+1</f>
        <v>43102</v>
      </c>
      <c r="AB4" s="20">
        <f t="shared" si="0"/>
        <v>3</v>
      </c>
      <c r="AC4" s="21">
        <f t="shared" si="1"/>
        <v>3</v>
      </c>
      <c r="AD4" s="22" t="str">
        <f t="shared" si="2"/>
        <v>ÚTIL</v>
      </c>
      <c r="AE4" s="19">
        <v>43189</v>
      </c>
      <c r="AF4" s="20">
        <v>2</v>
      </c>
      <c r="AG4" s="22" t="s">
        <v>26</v>
      </c>
      <c r="AH4" s="23" t="str">
        <f ca="1">TEXT(TODAY(),"DD-MM")</f>
        <v>11-12</v>
      </c>
      <c r="AI4" s="18" t="s">
        <v>27</v>
      </c>
      <c r="AR4" s="65" t="s">
        <v>3994</v>
      </c>
      <c r="AS4" s="65" t="s">
        <v>3995</v>
      </c>
      <c r="AT4" s="65" t="s">
        <v>3996</v>
      </c>
      <c r="AU4" s="66" t="s">
        <v>3997</v>
      </c>
      <c r="AV4" s="66" t="str">
        <f>CONCATENATE(AR4,AS4,AT4)</f>
        <v>Retenção Oi TotalAplicação de OfertaCliente inadimplente</v>
      </c>
      <c r="AW4" s="65" t="s">
        <v>3998</v>
      </c>
      <c r="AX4" s="65" t="s">
        <v>3983</v>
      </c>
      <c r="BB4" s="44" t="s">
        <v>3999</v>
      </c>
      <c r="BC4" s="44" t="s">
        <v>3995</v>
      </c>
      <c r="BD4" s="44" t="s">
        <v>3996</v>
      </c>
      <c r="BE4" s="44" t="s">
        <v>4000</v>
      </c>
      <c r="BF4" s="44" t="str">
        <f>CONCATENATE(BB4,BC4,BD4)</f>
        <v>Retenção MóvelAplicação de OfertaCliente inadimplente</v>
      </c>
      <c r="BG4" s="44" t="s">
        <v>4001</v>
      </c>
      <c r="BH4" s="44" t="s">
        <v>3984</v>
      </c>
      <c r="BL4" s="44"/>
      <c r="BM4" s="44"/>
      <c r="BN4" s="44"/>
      <c r="BO4" s="44"/>
      <c r="BP4" s="44"/>
      <c r="BQ4" s="44"/>
      <c r="BR4" s="44"/>
      <c r="BV4" s="44" t="s">
        <v>4161</v>
      </c>
      <c r="BW4" s="44" t="s">
        <v>4663</v>
      </c>
      <c r="BX4" s="44" t="s">
        <v>4297</v>
      </c>
      <c r="BY4" s="44" t="s">
        <v>4163</v>
      </c>
      <c r="BZ4" s="44" t="str">
        <f t="shared" ref="BZ4" si="4">BV4&amp;BW4&amp;BX4</f>
        <v>Retenção Oi ControleDesistência Cancelamento RACOPedido(URA/Web/Minha Oi)</v>
      </c>
      <c r="CA4" s="44"/>
      <c r="CB4" s="44"/>
    </row>
    <row r="5" spans="1:80" x14ac:dyDescent="0.25">
      <c r="A5" s="36"/>
      <c r="B5" s="32"/>
      <c r="C5" s="32"/>
      <c r="D5" s="32"/>
      <c r="E5" s="32"/>
      <c r="F5" s="32"/>
      <c r="G5" s="32"/>
      <c r="H5" s="32"/>
      <c r="I5" s="32"/>
      <c r="J5" s="32"/>
      <c r="K5" s="76"/>
      <c r="L5" s="2" t="s">
        <v>6</v>
      </c>
      <c r="M5" s="4" t="str">
        <f ca="1">"\\naspc31\bo_oct$\02_Staff\BO_MACRO\09_BO MOBILIDADE\Desktop\"&amp;M4</f>
        <v>\\naspc31\bo_oct$\02_Staff\BO_MACRO\09_BO MOBILIDADE\Desktop\BO BLINDAGEM ABERTOS 11-12.xlsx</v>
      </c>
      <c r="O5" s="4" t="s">
        <v>28</v>
      </c>
      <c r="P5" s="4" t="s">
        <v>74</v>
      </c>
      <c r="AA5" s="19">
        <f t="shared" si="3"/>
        <v>43103</v>
      </c>
      <c r="AB5" s="20">
        <f t="shared" si="0"/>
        <v>4</v>
      </c>
      <c r="AC5" s="21">
        <f t="shared" si="1"/>
        <v>4</v>
      </c>
      <c r="AD5" s="22" t="str">
        <f t="shared" si="2"/>
        <v>ÚTIL</v>
      </c>
      <c r="AE5" s="19">
        <v>43191</v>
      </c>
      <c r="AF5" s="20">
        <v>3</v>
      </c>
      <c r="AG5" s="22" t="s">
        <v>30</v>
      </c>
      <c r="AH5" s="23" t="str">
        <f ca="1">TEXT(TODAY(),"DD")</f>
        <v>11</v>
      </c>
      <c r="AR5" s="65" t="s">
        <v>3994</v>
      </c>
      <c r="AS5" s="65" t="s">
        <v>3995</v>
      </c>
      <c r="AT5" s="65" t="s">
        <v>4002</v>
      </c>
      <c r="AU5" s="66" t="s">
        <v>3997</v>
      </c>
      <c r="AV5" s="66" t="str">
        <f>CONCATENATE(AR5,AS5,AT5)</f>
        <v>Retenção Oi TotalAplicação de OfertaCliente inadimplente - Fibra</v>
      </c>
      <c r="AW5" s="65" t="s">
        <v>4003</v>
      </c>
      <c r="AX5" s="65" t="s">
        <v>4004</v>
      </c>
      <c r="BB5" s="44" t="s">
        <v>4170</v>
      </c>
      <c r="BC5" s="44" t="s">
        <v>3995</v>
      </c>
      <c r="BD5" s="44" t="s">
        <v>4662</v>
      </c>
      <c r="BE5" s="44" t="s">
        <v>4000</v>
      </c>
      <c r="BF5" s="44" t="str">
        <f>CONCATENATE(BB5,BC5,BD5)</f>
        <v>Retenção MÓVELAplicação de OfertaInadimplente_Venda/Migração</v>
      </c>
      <c r="BG5" s="44" t="s">
        <v>4001</v>
      </c>
      <c r="BH5" s="44" t="s">
        <v>3984</v>
      </c>
      <c r="BL5" s="44"/>
      <c r="BM5" s="44"/>
      <c r="BN5" s="44"/>
      <c r="BO5" s="44"/>
      <c r="BP5" s="44"/>
      <c r="BQ5" s="44"/>
      <c r="BR5" s="44"/>
      <c r="BV5" s="44"/>
      <c r="BW5" s="44"/>
      <c r="BX5" s="44"/>
      <c r="BY5" s="44"/>
      <c r="BZ5" s="44"/>
      <c r="CA5" s="44"/>
      <c r="CB5" s="44"/>
    </row>
    <row r="6" spans="1:80" x14ac:dyDescent="0.25">
      <c r="A6" s="36"/>
      <c r="B6" s="32"/>
      <c r="C6" s="32"/>
      <c r="D6" s="32"/>
      <c r="E6" s="32"/>
      <c r="F6" s="32"/>
      <c r="G6" s="32"/>
      <c r="H6" s="32"/>
      <c r="I6" s="32"/>
      <c r="J6" s="32"/>
      <c r="K6" s="5"/>
      <c r="L6" s="6"/>
      <c r="M6" s="7"/>
      <c r="O6" s="4" t="s">
        <v>31</v>
      </c>
      <c r="P6" s="4" t="s">
        <v>159</v>
      </c>
      <c r="AA6" s="19">
        <f t="shared" si="3"/>
        <v>43104</v>
      </c>
      <c r="AB6" s="20">
        <f t="shared" si="0"/>
        <v>5</v>
      </c>
      <c r="AC6" s="21">
        <f t="shared" si="1"/>
        <v>5</v>
      </c>
      <c r="AD6" s="22" t="str">
        <f t="shared" si="2"/>
        <v>ÚTIL</v>
      </c>
      <c r="AE6" s="19">
        <v>43211</v>
      </c>
      <c r="AF6" s="20">
        <v>4</v>
      </c>
      <c r="AG6" s="22" t="s">
        <v>33</v>
      </c>
      <c r="AH6" s="9"/>
      <c r="AR6" s="65" t="s">
        <v>4100</v>
      </c>
      <c r="AS6" s="65" t="s">
        <v>3995</v>
      </c>
      <c r="AT6" s="65" t="s">
        <v>4661</v>
      </c>
      <c r="AU6" s="66" t="s">
        <v>3997</v>
      </c>
      <c r="AV6" s="66" t="str">
        <f>CONCATENATE(AR6,AS6,AT6)</f>
        <v>Retenção Invol Oi TotalAplicação de OfertaInstalar Oferta OI+Alegria</v>
      </c>
      <c r="AW6" s="65" t="s">
        <v>4102</v>
      </c>
      <c r="AX6" s="65" t="s">
        <v>3971</v>
      </c>
      <c r="BB6" s="44" t="s">
        <v>4666</v>
      </c>
      <c r="BC6" s="44" t="s">
        <v>4663</v>
      </c>
      <c r="BD6" s="44" t="s">
        <v>4297</v>
      </c>
      <c r="BE6" s="44" t="s">
        <v>4000</v>
      </c>
      <c r="BF6" s="44" t="str">
        <f>CONCATENATE(BB6,BC6,BD6)</f>
        <v>Retenção móvelDesistência Cancelamento RACOPedido(URA/Web/Minha Oi)</v>
      </c>
      <c r="BG6" s="44"/>
      <c r="BH6" s="44"/>
      <c r="BL6" s="44"/>
      <c r="BM6" s="44"/>
      <c r="BN6" s="44"/>
      <c r="BO6" s="44"/>
      <c r="BP6" s="44"/>
      <c r="BQ6" s="44"/>
      <c r="BR6" s="44"/>
      <c r="BV6" s="44"/>
      <c r="BW6" s="44"/>
      <c r="BX6" s="44"/>
      <c r="BY6" s="44"/>
      <c r="BZ6" s="44"/>
      <c r="CA6" s="44"/>
      <c r="CB6" s="44"/>
    </row>
    <row r="7" spans="1:80" x14ac:dyDescent="0.25">
      <c r="A7" s="36"/>
      <c r="B7" s="32"/>
      <c r="C7" s="32"/>
      <c r="D7" s="32"/>
      <c r="E7" s="32"/>
      <c r="F7" s="32"/>
      <c r="G7" s="32"/>
      <c r="H7" s="32"/>
      <c r="I7" s="32"/>
      <c r="J7" s="32"/>
      <c r="K7" s="76" t="s">
        <v>7</v>
      </c>
      <c r="L7" s="2" t="s">
        <v>8</v>
      </c>
      <c r="M7" s="4" t="s">
        <v>3819</v>
      </c>
      <c r="O7" s="4" t="s">
        <v>34</v>
      </c>
      <c r="P7" s="4" t="s">
        <v>267</v>
      </c>
      <c r="AA7" s="19">
        <f t="shared" si="3"/>
        <v>43105</v>
      </c>
      <c r="AB7" s="20">
        <f t="shared" si="0"/>
        <v>6</v>
      </c>
      <c r="AC7" s="21">
        <f t="shared" si="1"/>
        <v>6</v>
      </c>
      <c r="AD7" s="22" t="str">
        <f t="shared" si="2"/>
        <v>ÚTIL</v>
      </c>
      <c r="AE7" s="19">
        <v>43221</v>
      </c>
      <c r="AF7" s="20">
        <v>5</v>
      </c>
      <c r="AG7" s="22" t="s">
        <v>36</v>
      </c>
      <c r="AH7" s="9"/>
      <c r="AR7" s="65"/>
      <c r="AS7" s="65"/>
      <c r="AT7" s="65"/>
      <c r="AU7" s="66"/>
      <c r="AV7" s="66"/>
      <c r="AW7" s="65"/>
      <c r="AX7" s="65"/>
      <c r="BB7" s="44"/>
      <c r="BC7" s="44"/>
      <c r="BD7" s="44"/>
      <c r="BE7" s="44"/>
      <c r="BF7" s="44"/>
      <c r="BG7" s="44"/>
      <c r="BH7" s="44"/>
      <c r="BL7" s="44"/>
      <c r="BM7" s="44"/>
      <c r="BN7" s="44"/>
      <c r="BO7" s="44"/>
      <c r="BP7" s="44"/>
      <c r="BQ7" s="44"/>
      <c r="BR7" s="44"/>
      <c r="BV7" s="44"/>
      <c r="BW7" s="44"/>
      <c r="BX7" s="44"/>
      <c r="BY7" s="44"/>
      <c r="BZ7" s="44"/>
      <c r="CA7" s="44"/>
      <c r="CB7" s="44"/>
    </row>
    <row r="8" spans="1:80" x14ac:dyDescent="0.25">
      <c r="A8" s="36"/>
      <c r="B8" s="32"/>
      <c r="C8" s="32"/>
      <c r="D8" s="32"/>
      <c r="E8" s="32"/>
      <c r="F8" s="32"/>
      <c r="G8" s="32"/>
      <c r="H8" s="32"/>
      <c r="I8" s="32"/>
      <c r="J8" s="32"/>
      <c r="K8" s="76"/>
      <c r="L8" s="2" t="s">
        <v>9</v>
      </c>
      <c r="M8" s="4" t="s">
        <v>3818</v>
      </c>
      <c r="O8" s="4" t="s">
        <v>37</v>
      </c>
      <c r="P8" s="4" t="s">
        <v>305</v>
      </c>
      <c r="AA8" s="19">
        <f t="shared" si="3"/>
        <v>43106</v>
      </c>
      <c r="AB8" s="20">
        <f t="shared" si="0"/>
        <v>7</v>
      </c>
      <c r="AC8" s="21">
        <f t="shared" si="1"/>
        <v>7</v>
      </c>
      <c r="AD8" s="22" t="str">
        <f t="shared" si="2"/>
        <v>NÃO ÚTIL</v>
      </c>
      <c r="AE8" s="19">
        <v>43251</v>
      </c>
      <c r="AF8" s="20">
        <v>6</v>
      </c>
      <c r="AG8" s="22" t="s">
        <v>39</v>
      </c>
      <c r="AH8" s="9"/>
      <c r="AR8" s="65"/>
      <c r="AS8" s="65"/>
      <c r="AT8" s="65"/>
      <c r="AU8" s="66"/>
      <c r="AV8" s="66"/>
      <c r="AW8" s="65"/>
      <c r="AX8" s="65"/>
      <c r="BB8" s="44"/>
      <c r="BC8" s="44"/>
      <c r="BD8" s="44"/>
      <c r="BE8" s="44"/>
      <c r="BF8" s="44"/>
      <c r="BG8" s="44"/>
      <c r="BH8" s="44"/>
      <c r="BL8" s="44"/>
      <c r="BM8" s="44"/>
      <c r="BN8" s="44"/>
      <c r="BO8" s="44"/>
      <c r="BP8" s="44"/>
      <c r="BQ8" s="44"/>
      <c r="BR8" s="44"/>
      <c r="BV8" s="44"/>
      <c r="BW8" s="44"/>
      <c r="BX8" s="44"/>
      <c r="BY8" s="44"/>
      <c r="BZ8" s="44"/>
      <c r="CA8" s="44"/>
      <c r="CB8" s="44"/>
    </row>
    <row r="9" spans="1:80" x14ac:dyDescent="0.25">
      <c r="A9" s="36"/>
      <c r="B9" s="32"/>
      <c r="C9" s="32"/>
      <c r="D9" s="32"/>
      <c r="E9" s="32"/>
      <c r="F9" s="32"/>
      <c r="G9" s="32"/>
      <c r="H9" s="32"/>
      <c r="I9" s="32"/>
      <c r="J9" s="32"/>
      <c r="K9" s="77"/>
      <c r="L9" s="8" t="s">
        <v>10</v>
      </c>
      <c r="M9" s="4" t="s">
        <v>3820</v>
      </c>
      <c r="O9" s="4" t="s">
        <v>40</v>
      </c>
      <c r="P9" s="4" t="s">
        <v>309</v>
      </c>
      <c r="AA9" s="19">
        <f t="shared" si="3"/>
        <v>43107</v>
      </c>
      <c r="AB9" s="20">
        <f t="shared" si="0"/>
        <v>1</v>
      </c>
      <c r="AC9" s="21">
        <f t="shared" si="1"/>
        <v>1</v>
      </c>
      <c r="AD9" s="22" t="str">
        <f t="shared" si="2"/>
        <v>NÃO ÚTIL</v>
      </c>
      <c r="AE9" s="19">
        <v>43350</v>
      </c>
      <c r="AF9" s="20">
        <v>7</v>
      </c>
      <c r="AG9" s="22" t="s">
        <v>42</v>
      </c>
      <c r="AH9" s="9"/>
      <c r="AR9" s="65"/>
      <c r="AS9" s="65"/>
      <c r="AT9" s="65"/>
      <c r="AU9" s="66"/>
      <c r="AV9" s="66"/>
      <c r="AW9" s="65"/>
      <c r="AX9" s="65"/>
      <c r="BB9" s="44"/>
      <c r="BC9" s="44"/>
      <c r="BD9" s="44"/>
      <c r="BE9" s="44"/>
      <c r="BF9" s="44"/>
      <c r="BG9" s="44"/>
      <c r="BH9" s="44"/>
      <c r="BL9" s="44"/>
      <c r="BM9" s="44"/>
      <c r="BN9" s="44"/>
      <c r="BO9" s="44"/>
      <c r="BP9" s="44"/>
      <c r="BQ9" s="44"/>
      <c r="BR9" s="44"/>
      <c r="BV9" s="44"/>
      <c r="BW9" s="44"/>
      <c r="BX9" s="44"/>
      <c r="BY9" s="44"/>
      <c r="BZ9" s="44"/>
      <c r="CA9" s="44"/>
      <c r="CB9" s="44"/>
    </row>
    <row r="10" spans="1:80" x14ac:dyDescent="0.25">
      <c r="A10" s="36"/>
      <c r="B10" s="32"/>
      <c r="C10" s="32"/>
      <c r="D10" s="32"/>
      <c r="E10" s="32"/>
      <c r="F10" s="32"/>
      <c r="G10" s="32"/>
      <c r="H10" s="32"/>
      <c r="I10" s="32"/>
      <c r="J10" s="32"/>
      <c r="O10" s="4" t="s">
        <v>43</v>
      </c>
      <c r="P10" s="4" t="s">
        <v>547</v>
      </c>
      <c r="AA10" s="19">
        <f t="shared" si="3"/>
        <v>43108</v>
      </c>
      <c r="AB10" s="20">
        <f t="shared" si="0"/>
        <v>2</v>
      </c>
      <c r="AC10" s="21">
        <f t="shared" si="1"/>
        <v>2</v>
      </c>
      <c r="AD10" s="22" t="str">
        <f t="shared" si="2"/>
        <v>ÚTIL</v>
      </c>
      <c r="AE10" s="19">
        <v>43385</v>
      </c>
      <c r="AF10" s="20">
        <v>8</v>
      </c>
      <c r="AG10" s="22" t="s">
        <v>45</v>
      </c>
      <c r="AH10" s="9"/>
      <c r="AR10" s="65"/>
      <c r="AS10" s="65"/>
      <c r="AT10" s="65"/>
      <c r="AU10" s="66"/>
      <c r="AV10" s="66"/>
      <c r="AW10" s="65"/>
      <c r="AX10" s="65"/>
      <c r="BB10" s="44"/>
      <c r="BC10" s="44"/>
      <c r="BD10" s="44"/>
      <c r="BE10" s="44"/>
      <c r="BF10" s="44"/>
      <c r="BG10" s="44"/>
      <c r="BH10" s="44"/>
      <c r="BL10" s="44"/>
      <c r="BM10" s="44"/>
      <c r="BN10" s="44"/>
      <c r="BO10" s="44"/>
      <c r="BP10" s="44"/>
      <c r="BQ10" s="44"/>
      <c r="BR10" s="44"/>
      <c r="BV10" s="44"/>
      <c r="BW10" s="44"/>
      <c r="BX10" s="44"/>
      <c r="BY10" s="44"/>
      <c r="BZ10" s="44"/>
      <c r="CA10" s="44"/>
      <c r="CB10" s="44"/>
    </row>
    <row r="11" spans="1:80" x14ac:dyDescent="0.25">
      <c r="A11" s="36"/>
      <c r="B11" s="32"/>
      <c r="C11" s="32"/>
      <c r="D11" s="32"/>
      <c r="E11" s="32"/>
      <c r="F11" s="32"/>
      <c r="G11" s="32"/>
      <c r="H11" s="32"/>
      <c r="I11" s="32"/>
      <c r="J11" s="32"/>
      <c r="K11" s="1"/>
      <c r="L11" s="84" t="s">
        <v>46</v>
      </c>
      <c r="M11" s="85"/>
      <c r="O11" s="4" t="s">
        <v>47</v>
      </c>
      <c r="P11" s="4" t="s">
        <v>511</v>
      </c>
      <c r="AA11" s="19">
        <f t="shared" si="3"/>
        <v>43109</v>
      </c>
      <c r="AB11" s="20">
        <f t="shared" si="0"/>
        <v>3</v>
      </c>
      <c r="AC11" s="21">
        <f t="shared" si="1"/>
        <v>3</v>
      </c>
      <c r="AD11" s="22" t="str">
        <f t="shared" si="2"/>
        <v>ÚTIL</v>
      </c>
      <c r="AE11" s="19">
        <v>43397</v>
      </c>
      <c r="AF11" s="20">
        <v>9</v>
      </c>
      <c r="AG11" s="22" t="s">
        <v>49</v>
      </c>
      <c r="AH11" s="9"/>
      <c r="AR11" s="65"/>
      <c r="AS11" s="65"/>
      <c r="AT11" s="65"/>
      <c r="AU11" s="66"/>
      <c r="AV11" s="66"/>
      <c r="AW11" s="65"/>
      <c r="AX11" s="65"/>
      <c r="BB11" s="44"/>
      <c r="BC11" s="44"/>
      <c r="BD11" s="44"/>
      <c r="BE11" s="44"/>
      <c r="BF11" s="44"/>
      <c r="BG11" s="44"/>
      <c r="BH11" s="44"/>
      <c r="BL11" s="44"/>
      <c r="BM11" s="44"/>
      <c r="BN11" s="44"/>
      <c r="BO11" s="44"/>
      <c r="BP11" s="44"/>
      <c r="BQ11" s="44"/>
      <c r="BR11" s="44"/>
      <c r="BV11" s="44"/>
      <c r="BW11" s="44"/>
      <c r="BX11" s="44"/>
      <c r="BY11" s="44"/>
      <c r="BZ11" s="44"/>
      <c r="CA11" s="44"/>
      <c r="CB11" s="44"/>
    </row>
    <row r="12" spans="1:80" x14ac:dyDescent="0.25">
      <c r="A12" s="36"/>
      <c r="B12" s="32"/>
      <c r="C12" s="32"/>
      <c r="D12" s="32"/>
      <c r="E12" s="32"/>
      <c r="F12" s="32"/>
      <c r="G12" s="32"/>
      <c r="H12" s="32"/>
      <c r="I12" s="32"/>
      <c r="J12" s="32"/>
      <c r="K12" s="76" t="s">
        <v>3</v>
      </c>
      <c r="L12" s="2" t="s">
        <v>4</v>
      </c>
      <c r="M12" s="3" t="str">
        <f ca="1">"\\naspc31\bo_oct$\22-Extração\BO CONTROLE\ABERTO\"&amp;$AI$3&amp;"\BO CONTROLE ABERTOS "&amp;$AH$4&amp;".xlsx"</f>
        <v>\\naspc31\bo_oct$\22-Extração\BO CONTROLE\ABERTO\DEZEMBRO\BO CONTROLE ABERTOS 11-12.xlsx</v>
      </c>
      <c r="O12" s="4" t="s">
        <v>50</v>
      </c>
      <c r="P12" s="4" t="s">
        <v>787</v>
      </c>
      <c r="AA12" s="19">
        <f t="shared" si="3"/>
        <v>43110</v>
      </c>
      <c r="AB12" s="20">
        <f t="shared" si="0"/>
        <v>4</v>
      </c>
      <c r="AC12" s="21">
        <f t="shared" si="1"/>
        <v>4</v>
      </c>
      <c r="AD12" s="22" t="str">
        <f t="shared" si="2"/>
        <v>ÚTIL</v>
      </c>
      <c r="AE12" s="19">
        <v>43406</v>
      </c>
      <c r="AF12" s="20">
        <v>10</v>
      </c>
      <c r="AG12" s="22" t="s">
        <v>52</v>
      </c>
      <c r="AH12" s="9"/>
      <c r="AR12" s="65"/>
      <c r="AS12" s="65"/>
      <c r="AT12" s="65"/>
      <c r="AU12" s="66"/>
      <c r="AV12" s="66"/>
      <c r="AW12" s="65"/>
      <c r="AX12" s="65"/>
      <c r="BB12" s="44"/>
      <c r="BC12" s="44"/>
      <c r="BD12" s="44"/>
      <c r="BE12" s="44"/>
      <c r="BF12" s="44"/>
      <c r="BG12" s="44"/>
      <c r="BH12" s="44"/>
      <c r="BL12" s="44"/>
      <c r="BM12" s="44"/>
      <c r="BN12" s="44"/>
      <c r="BO12" s="44"/>
      <c r="BP12" s="44"/>
      <c r="BQ12" s="44"/>
      <c r="BR12" s="44"/>
      <c r="BV12" s="44"/>
      <c r="BW12" s="44"/>
      <c r="BX12" s="44"/>
      <c r="BY12" s="44"/>
      <c r="BZ12" s="44"/>
      <c r="CA12" s="44"/>
      <c r="CB12" s="44"/>
    </row>
    <row r="13" spans="1:80" x14ac:dyDescent="0.25">
      <c r="A13" s="36"/>
      <c r="B13" s="32"/>
      <c r="C13" s="32"/>
      <c r="D13" s="32"/>
      <c r="E13" s="32"/>
      <c r="F13" s="32"/>
      <c r="G13" s="32"/>
      <c r="H13" s="32"/>
      <c r="I13" s="32"/>
      <c r="J13" s="32"/>
      <c r="K13" s="76"/>
      <c r="L13" s="2" t="s">
        <v>5</v>
      </c>
      <c r="M13" s="4" t="str">
        <f ca="1">RIGHT(M12,30)</f>
        <v>BO CONTROLE ABERTOS 11-12.xlsx</v>
      </c>
      <c r="O13" s="4" t="s">
        <v>53</v>
      </c>
      <c r="P13" s="4" t="s">
        <v>755</v>
      </c>
      <c r="AA13" s="19">
        <f t="shared" si="3"/>
        <v>43111</v>
      </c>
      <c r="AB13" s="20">
        <f t="shared" si="0"/>
        <v>5</v>
      </c>
      <c r="AC13" s="21">
        <f t="shared" si="1"/>
        <v>5</v>
      </c>
      <c r="AD13" s="22" t="str">
        <f t="shared" si="2"/>
        <v>ÚTIL</v>
      </c>
      <c r="AE13" s="19">
        <v>43419</v>
      </c>
      <c r="AF13" s="20">
        <v>11</v>
      </c>
      <c r="AG13" s="22" t="s">
        <v>55</v>
      </c>
      <c r="AH13" s="9"/>
      <c r="AR13" s="65"/>
      <c r="AS13" s="65"/>
      <c r="AT13" s="65"/>
      <c r="AU13" s="66"/>
      <c r="AV13" s="66"/>
      <c r="AW13" s="65"/>
      <c r="AX13" s="65"/>
      <c r="BB13" s="44"/>
      <c r="BC13" s="44"/>
      <c r="BD13" s="44"/>
      <c r="BE13" s="44"/>
      <c r="BF13" s="44"/>
      <c r="BG13" s="44"/>
      <c r="BH13" s="44"/>
      <c r="BL13" s="44"/>
      <c r="BM13" s="44"/>
      <c r="BN13" s="44"/>
      <c r="BO13" s="44"/>
      <c r="BP13" s="44"/>
      <c r="BQ13" s="44"/>
      <c r="BR13" s="44"/>
      <c r="BV13" s="44"/>
      <c r="BW13" s="44"/>
      <c r="BX13" s="44"/>
      <c r="BY13" s="44"/>
      <c r="BZ13" s="44"/>
      <c r="CA13" s="44"/>
      <c r="CB13" s="44"/>
    </row>
    <row r="14" spans="1:80" x14ac:dyDescent="0.25">
      <c r="A14" s="36"/>
      <c r="B14" s="32"/>
      <c r="C14" s="32"/>
      <c r="D14" s="32"/>
      <c r="E14" s="32"/>
      <c r="F14" s="32"/>
      <c r="G14" s="32"/>
      <c r="H14" s="32"/>
      <c r="I14" s="32"/>
      <c r="J14" s="32"/>
      <c r="K14" s="76"/>
      <c r="L14" s="2" t="s">
        <v>6</v>
      </c>
      <c r="M14" s="4" t="str">
        <f ca="1">"\\naspc31\bo_oct$\02_Staff\BO_MACRO\09_BO MOBILIDADE\Desktop\"&amp;M13</f>
        <v>\\naspc31\bo_oct$\02_Staff\BO_MACRO\09_BO MOBILIDADE\Desktop\BO CONTROLE ABERTOS 11-12.xlsx</v>
      </c>
      <c r="O14" s="4" t="s">
        <v>56</v>
      </c>
      <c r="P14" s="4" t="s">
        <v>317</v>
      </c>
      <c r="AA14" s="19">
        <f t="shared" si="3"/>
        <v>43112</v>
      </c>
      <c r="AB14" s="20">
        <f t="shared" si="0"/>
        <v>6</v>
      </c>
      <c r="AC14" s="21">
        <f t="shared" si="1"/>
        <v>6</v>
      </c>
      <c r="AD14" s="22" t="str">
        <f t="shared" si="2"/>
        <v>ÚTIL</v>
      </c>
      <c r="AE14" s="19">
        <v>43459</v>
      </c>
      <c r="AF14" s="20">
        <v>12</v>
      </c>
      <c r="AG14" s="22" t="s">
        <v>58</v>
      </c>
      <c r="AH14" s="9"/>
      <c r="AR14" s="65"/>
      <c r="AS14" s="65"/>
      <c r="AT14" s="65"/>
      <c r="AU14" s="66"/>
      <c r="AV14" s="66"/>
      <c r="AW14" s="65"/>
      <c r="AX14" s="65"/>
      <c r="BB14" s="44"/>
      <c r="BC14" s="44"/>
      <c r="BD14" s="44"/>
      <c r="BE14" s="44"/>
      <c r="BF14" s="44"/>
      <c r="BG14" s="44"/>
      <c r="BH14" s="44"/>
      <c r="BL14" s="44"/>
      <c r="BM14" s="44"/>
      <c r="BN14" s="44"/>
      <c r="BO14" s="44"/>
      <c r="BP14" s="44"/>
      <c r="BQ14" s="44"/>
      <c r="BR14" s="44"/>
      <c r="BV14" s="44"/>
      <c r="BW14" s="44"/>
      <c r="BX14" s="44"/>
      <c r="BY14" s="44"/>
      <c r="BZ14" s="44"/>
      <c r="CA14" s="44"/>
      <c r="CB14" s="44"/>
    </row>
    <row r="15" spans="1:80" x14ac:dyDescent="0.25">
      <c r="A15" s="36"/>
      <c r="B15" s="32"/>
      <c r="C15" s="32"/>
      <c r="D15" s="32"/>
      <c r="E15" s="32"/>
      <c r="F15" s="32"/>
      <c r="G15" s="32"/>
      <c r="H15" s="32"/>
      <c r="I15" s="32"/>
      <c r="J15" s="32"/>
      <c r="K15" s="5"/>
      <c r="L15" s="6"/>
      <c r="M15" s="7"/>
      <c r="O15" s="4" t="s">
        <v>59</v>
      </c>
      <c r="P15" s="4" t="s">
        <v>489</v>
      </c>
      <c r="AA15" s="19">
        <f t="shared" si="3"/>
        <v>43113</v>
      </c>
      <c r="AB15" s="20">
        <f t="shared" si="0"/>
        <v>7</v>
      </c>
      <c r="AC15" s="21">
        <f t="shared" si="1"/>
        <v>7</v>
      </c>
      <c r="AD15" s="22" t="str">
        <f t="shared" si="2"/>
        <v>NÃO ÚTIL</v>
      </c>
      <c r="AE15" s="19">
        <f t="shared" ref="AE15:AE27" si="5">AE3+365</f>
        <v>43466</v>
      </c>
      <c r="AF15" s="24"/>
      <c r="AG15" s="24"/>
      <c r="AH15" s="9"/>
      <c r="AR15" s="65"/>
      <c r="AS15" s="65"/>
      <c r="AT15" s="65"/>
      <c r="AU15" s="66"/>
      <c r="AV15" s="66"/>
      <c r="AW15" s="65"/>
      <c r="AX15" s="65"/>
      <c r="BB15" s="44"/>
      <c r="BC15" s="44"/>
      <c r="BD15" s="44"/>
      <c r="BE15" s="44"/>
      <c r="BF15" s="44"/>
      <c r="BG15" s="44"/>
      <c r="BH15" s="44"/>
      <c r="BL15" s="44"/>
      <c r="BM15" s="44"/>
      <c r="BN15" s="44"/>
      <c r="BO15" s="44"/>
      <c r="BP15" s="44"/>
      <c r="BQ15" s="44"/>
      <c r="BR15" s="44"/>
      <c r="BV15" s="44"/>
      <c r="BW15" s="44"/>
      <c r="BX15" s="44"/>
      <c r="BY15" s="44"/>
      <c r="BZ15" s="44"/>
      <c r="CA15" s="44"/>
      <c r="CB15" s="44"/>
    </row>
    <row r="16" spans="1:80" x14ac:dyDescent="0.25">
      <c r="A16" s="36"/>
      <c r="B16" s="32"/>
      <c r="C16" s="32"/>
      <c r="D16" s="32"/>
      <c r="E16" s="32"/>
      <c r="F16" s="32"/>
      <c r="G16" s="32"/>
      <c r="H16" s="32"/>
      <c r="I16" s="32"/>
      <c r="J16" s="32"/>
      <c r="K16" s="76" t="s">
        <v>7</v>
      </c>
      <c r="L16" s="2" t="s">
        <v>61</v>
      </c>
      <c r="M16" s="4" t="s">
        <v>3821</v>
      </c>
      <c r="O16" s="4" t="s">
        <v>62</v>
      </c>
      <c r="P16" s="4" t="s">
        <v>607</v>
      </c>
      <c r="AA16" s="19">
        <f t="shared" si="3"/>
        <v>43114</v>
      </c>
      <c r="AB16" s="20">
        <f t="shared" si="0"/>
        <v>1</v>
      </c>
      <c r="AC16" s="21">
        <f t="shared" si="1"/>
        <v>1</v>
      </c>
      <c r="AD16" s="22" t="str">
        <f t="shared" si="2"/>
        <v>NÃO ÚTIL</v>
      </c>
      <c r="AE16" s="19">
        <f t="shared" si="5"/>
        <v>43554</v>
      </c>
      <c r="AF16" s="24"/>
      <c r="AG16" s="24"/>
      <c r="AH16" s="9"/>
      <c r="AR16" s="65"/>
      <c r="AS16" s="65"/>
      <c r="AT16" s="65"/>
      <c r="AU16" s="66"/>
      <c r="AV16" s="66"/>
      <c r="AW16" s="65"/>
      <c r="AX16" s="65"/>
      <c r="BB16" s="44"/>
      <c r="BC16" s="44"/>
      <c r="BD16" s="44"/>
      <c r="BE16" s="44"/>
      <c r="BF16" s="44"/>
      <c r="BG16" s="44"/>
      <c r="BH16" s="44"/>
      <c r="BL16" s="44"/>
      <c r="BM16" s="44"/>
      <c r="BN16" s="44"/>
      <c r="BO16" s="44"/>
      <c r="BP16" s="44"/>
      <c r="BQ16" s="44"/>
      <c r="BR16" s="44"/>
      <c r="BV16" s="44"/>
      <c r="BW16" s="44"/>
      <c r="BX16" s="44"/>
      <c r="BY16" s="44"/>
      <c r="BZ16" s="44"/>
      <c r="CA16" s="44"/>
      <c r="CB16" s="44"/>
    </row>
    <row r="17" spans="1:80" x14ac:dyDescent="0.25">
      <c r="A17" s="36"/>
      <c r="B17" s="32"/>
      <c r="C17" s="32"/>
      <c r="D17" s="32"/>
      <c r="E17" s="32"/>
      <c r="F17" s="32"/>
      <c r="G17" s="32"/>
      <c r="H17" s="32"/>
      <c r="I17" s="32"/>
      <c r="J17" s="32"/>
      <c r="K17" s="76"/>
      <c r="L17" s="2" t="s">
        <v>64</v>
      </c>
      <c r="M17" s="4" t="s">
        <v>3822</v>
      </c>
      <c r="O17" s="4" t="s">
        <v>65</v>
      </c>
      <c r="P17" s="4" t="s">
        <v>523</v>
      </c>
      <c r="AA17" s="19">
        <f t="shared" si="3"/>
        <v>43115</v>
      </c>
      <c r="AB17" s="20">
        <f t="shared" si="0"/>
        <v>2</v>
      </c>
      <c r="AC17" s="21">
        <f t="shared" si="1"/>
        <v>2</v>
      </c>
      <c r="AD17" s="22" t="str">
        <f t="shared" si="2"/>
        <v>ÚTIL</v>
      </c>
      <c r="AE17" s="19">
        <f t="shared" si="5"/>
        <v>43556</v>
      </c>
      <c r="AF17" s="24"/>
      <c r="AG17" s="24"/>
      <c r="AH17" s="9"/>
      <c r="AR17" s="65"/>
      <c r="AS17" s="65"/>
      <c r="AT17" s="65"/>
      <c r="AU17" s="66"/>
      <c r="AV17" s="66"/>
      <c r="AW17" s="65"/>
      <c r="AX17" s="65"/>
      <c r="BB17" s="44"/>
      <c r="BC17" s="44"/>
      <c r="BD17" s="44"/>
      <c r="BE17" s="44"/>
      <c r="BF17" s="44"/>
      <c r="BG17" s="44"/>
      <c r="BH17" s="44"/>
      <c r="BL17" s="44"/>
      <c r="BM17" s="44"/>
      <c r="BN17" s="44"/>
      <c r="BO17" s="44"/>
      <c r="BP17" s="44"/>
      <c r="BQ17" s="44"/>
      <c r="BR17" s="44"/>
      <c r="BV17" s="44"/>
      <c r="BW17" s="44"/>
      <c r="BX17" s="44"/>
      <c r="BY17" s="44"/>
      <c r="BZ17" s="44"/>
      <c r="CA17" s="44"/>
      <c r="CB17" s="44"/>
    </row>
    <row r="18" spans="1:80" x14ac:dyDescent="0.25">
      <c r="A18" s="36"/>
      <c r="B18" s="32"/>
      <c r="C18" s="32"/>
      <c r="D18" s="32"/>
      <c r="E18" s="32"/>
      <c r="F18" s="32"/>
      <c r="G18" s="32"/>
      <c r="H18" s="32"/>
      <c r="I18" s="32"/>
      <c r="J18" s="32"/>
      <c r="K18" s="76"/>
      <c r="L18" s="2" t="s">
        <v>67</v>
      </c>
      <c r="M18" s="4" t="s">
        <v>3823</v>
      </c>
      <c r="O18" s="4" t="s">
        <v>68</v>
      </c>
      <c r="P18" s="4" t="s">
        <v>711</v>
      </c>
      <c r="AA18" s="19">
        <f t="shared" si="3"/>
        <v>43116</v>
      </c>
      <c r="AB18" s="20">
        <f t="shared" si="0"/>
        <v>3</v>
      </c>
      <c r="AC18" s="21">
        <f t="shared" si="1"/>
        <v>3</v>
      </c>
      <c r="AD18" s="22" t="str">
        <f t="shared" si="2"/>
        <v>ÚTIL</v>
      </c>
      <c r="AE18" s="19">
        <f t="shared" si="5"/>
        <v>43576</v>
      </c>
      <c r="AF18" s="24"/>
      <c r="AG18" s="24"/>
      <c r="AH18" s="9"/>
      <c r="AR18" s="65"/>
      <c r="AS18" s="65"/>
      <c r="AT18" s="65"/>
      <c r="AU18" s="66"/>
      <c r="AV18" s="66"/>
      <c r="AW18" s="65"/>
      <c r="AX18" s="65"/>
      <c r="BB18" s="44"/>
      <c r="BC18" s="44"/>
      <c r="BD18" s="44"/>
      <c r="BE18" s="44"/>
      <c r="BF18" s="44"/>
      <c r="BG18" s="44"/>
      <c r="BH18" s="44"/>
      <c r="BL18" s="44"/>
      <c r="BM18" s="44"/>
      <c r="BN18" s="44"/>
      <c r="BO18" s="44"/>
      <c r="BP18" s="44"/>
      <c r="BQ18" s="44"/>
      <c r="BR18" s="44"/>
      <c r="BV18" s="44"/>
      <c r="BW18" s="44"/>
      <c r="BX18" s="44"/>
      <c r="BY18" s="44"/>
      <c r="BZ18" s="44"/>
      <c r="CA18" s="44"/>
      <c r="CB18" s="44"/>
    </row>
    <row r="19" spans="1:80" x14ac:dyDescent="0.25">
      <c r="A19" s="36"/>
      <c r="B19" s="32"/>
      <c r="C19" s="32"/>
      <c r="D19" s="32"/>
      <c r="E19" s="32"/>
      <c r="F19" s="32"/>
      <c r="G19" s="32"/>
      <c r="H19" s="32"/>
      <c r="I19" s="32"/>
      <c r="J19" s="32"/>
      <c r="K19" s="77"/>
      <c r="L19" s="8" t="s">
        <v>70</v>
      </c>
      <c r="M19" s="4" t="s">
        <v>3824</v>
      </c>
      <c r="O19" s="4" t="s">
        <v>71</v>
      </c>
      <c r="P19" s="4" t="s">
        <v>233</v>
      </c>
      <c r="AA19" s="19">
        <f t="shared" si="3"/>
        <v>43117</v>
      </c>
      <c r="AB19" s="20">
        <f t="shared" si="0"/>
        <v>4</v>
      </c>
      <c r="AC19" s="21">
        <f t="shared" si="1"/>
        <v>4</v>
      </c>
      <c r="AD19" s="22" t="str">
        <f t="shared" si="2"/>
        <v>ÚTIL</v>
      </c>
      <c r="AE19" s="19">
        <f t="shared" si="5"/>
        <v>43586</v>
      </c>
      <c r="AF19" s="24"/>
      <c r="AG19" s="24"/>
      <c r="AH19" s="9"/>
      <c r="AR19" s="65"/>
      <c r="AS19" s="65"/>
      <c r="AT19" s="65"/>
      <c r="AU19" s="66"/>
      <c r="AV19" s="66"/>
      <c r="AW19" s="65"/>
      <c r="AX19" s="65"/>
      <c r="BB19" s="44"/>
      <c r="BC19" s="44"/>
      <c r="BD19" s="44"/>
      <c r="BE19" s="44"/>
      <c r="BF19" s="44"/>
      <c r="BG19" s="44"/>
      <c r="BH19" s="44"/>
      <c r="BL19" s="44"/>
      <c r="BM19" s="44"/>
      <c r="BN19" s="44"/>
      <c r="BO19" s="44"/>
      <c r="BP19" s="44"/>
      <c r="BQ19" s="44"/>
      <c r="BR19" s="44"/>
      <c r="BV19" s="44"/>
      <c r="BW19" s="44"/>
      <c r="BX19" s="44"/>
      <c r="BY19" s="44"/>
      <c r="BZ19" s="44"/>
      <c r="CA19" s="44"/>
      <c r="CB19" s="44"/>
    </row>
    <row r="20" spans="1:80" x14ac:dyDescent="0.25">
      <c r="A20" s="36"/>
      <c r="B20" s="32"/>
      <c r="C20" s="32"/>
      <c r="D20" s="32"/>
      <c r="E20" s="32"/>
      <c r="F20" s="32"/>
      <c r="G20" s="32"/>
      <c r="H20" s="32"/>
      <c r="I20" s="32"/>
      <c r="J20" s="32"/>
      <c r="K20"/>
      <c r="L20"/>
      <c r="M20"/>
      <c r="O20" s="4" t="s">
        <v>73</v>
      </c>
      <c r="P20" s="4" t="s">
        <v>433</v>
      </c>
      <c r="AA20" s="19">
        <f t="shared" si="3"/>
        <v>43118</v>
      </c>
      <c r="AB20" s="20">
        <f t="shared" si="0"/>
        <v>5</v>
      </c>
      <c r="AC20" s="21">
        <f t="shared" si="1"/>
        <v>5</v>
      </c>
      <c r="AD20" s="22" t="str">
        <f t="shared" si="2"/>
        <v>ÚTIL</v>
      </c>
      <c r="AE20" s="19">
        <f t="shared" si="5"/>
        <v>43616</v>
      </c>
      <c r="AF20" s="24"/>
      <c r="AG20" s="24"/>
      <c r="AH20" s="9"/>
      <c r="AR20" s="65"/>
      <c r="AS20" s="65"/>
      <c r="AT20" s="65"/>
      <c r="AU20" s="66"/>
      <c r="AV20" s="66"/>
      <c r="AW20" s="65"/>
      <c r="AX20" s="65"/>
      <c r="BB20" s="44"/>
      <c r="BC20" s="44"/>
      <c r="BD20" s="44"/>
      <c r="BE20" s="44"/>
      <c r="BF20" s="44"/>
      <c r="BG20" s="44"/>
      <c r="BH20" s="44"/>
      <c r="BL20" s="44"/>
      <c r="BM20" s="44"/>
      <c r="BN20" s="44"/>
      <c r="BO20" s="44"/>
      <c r="BP20" s="44"/>
      <c r="BQ20" s="44"/>
      <c r="BR20" s="44"/>
      <c r="BV20" s="44"/>
      <c r="BW20" s="44"/>
      <c r="BX20" s="44"/>
      <c r="BY20" s="44"/>
      <c r="BZ20" s="44"/>
      <c r="CA20" s="44"/>
      <c r="CB20" s="44"/>
    </row>
    <row r="21" spans="1:80" x14ac:dyDescent="0.25">
      <c r="A21" s="36"/>
      <c r="B21" s="32"/>
      <c r="C21" s="32"/>
      <c r="D21" s="32"/>
      <c r="E21" s="32"/>
      <c r="F21" s="32"/>
      <c r="G21" s="32"/>
      <c r="H21" s="32"/>
      <c r="I21" s="32"/>
      <c r="J21" s="32"/>
      <c r="K21" s="1"/>
      <c r="L21" s="84" t="s">
        <v>75</v>
      </c>
      <c r="M21" s="85"/>
      <c r="O21" s="4" t="s">
        <v>76</v>
      </c>
      <c r="P21" s="4" t="s">
        <v>467</v>
      </c>
      <c r="AA21" s="19">
        <f t="shared" si="3"/>
        <v>43119</v>
      </c>
      <c r="AB21" s="20">
        <f t="shared" si="0"/>
        <v>6</v>
      </c>
      <c r="AC21" s="21">
        <f t="shared" si="1"/>
        <v>6</v>
      </c>
      <c r="AD21" s="22" t="str">
        <f t="shared" si="2"/>
        <v>ÚTIL</v>
      </c>
      <c r="AE21" s="19">
        <f t="shared" si="5"/>
        <v>43715</v>
      </c>
      <c r="AF21" s="24"/>
      <c r="AG21" s="24"/>
      <c r="AH21" s="9"/>
      <c r="AR21" s="65"/>
      <c r="AS21" s="65"/>
      <c r="AT21" s="65"/>
      <c r="AU21" s="66"/>
      <c r="AV21" s="66"/>
      <c r="AW21" s="65"/>
      <c r="AX21" s="65"/>
      <c r="BB21" s="44"/>
      <c r="BC21" s="44"/>
      <c r="BD21" s="44"/>
      <c r="BE21" s="44"/>
      <c r="BF21" s="44"/>
      <c r="BG21" s="44"/>
      <c r="BH21" s="44"/>
      <c r="BL21" s="44"/>
      <c r="BM21" s="44"/>
      <c r="BN21" s="44"/>
      <c r="BO21" s="44"/>
      <c r="BP21" s="44"/>
      <c r="BQ21" s="44"/>
      <c r="BR21" s="44"/>
      <c r="BV21" s="44"/>
      <c r="BW21" s="44"/>
      <c r="BX21" s="44"/>
      <c r="BY21" s="44"/>
      <c r="BZ21" s="44"/>
      <c r="CA21" s="44"/>
      <c r="CB21" s="44"/>
    </row>
    <row r="22" spans="1:80" hidden="1" x14ac:dyDescent="0.25">
      <c r="K22" s="76" t="s">
        <v>3</v>
      </c>
      <c r="L22" s="2" t="s">
        <v>4</v>
      </c>
      <c r="M22" s="3" t="str">
        <f ca="1">"\\naspc31\bo_oct$\22-Extração\BO MOB OIT UNIFICADO\ABERTO\"&amp;$AI$3&amp;"\BO OIT UNIFICADO "&amp;$AH$4&amp;".xlsx"</f>
        <v>\\naspc31\bo_oct$\22-Extração\BO MOB OIT UNIFICADO\ABERTO\DEZEMBRO\BO OIT UNIFICADO 11-12.xlsx</v>
      </c>
      <c r="O22" s="4" t="s">
        <v>78</v>
      </c>
      <c r="P22" s="4" t="s">
        <v>543</v>
      </c>
      <c r="AA22" s="19">
        <f t="shared" si="3"/>
        <v>43120</v>
      </c>
      <c r="AB22" s="20">
        <f t="shared" si="0"/>
        <v>7</v>
      </c>
      <c r="AC22" s="21">
        <f t="shared" si="1"/>
        <v>7</v>
      </c>
      <c r="AD22" s="22" t="str">
        <f t="shared" si="2"/>
        <v>NÃO ÚTIL</v>
      </c>
      <c r="AE22" s="19">
        <f t="shared" si="5"/>
        <v>43750</v>
      </c>
      <c r="AF22" s="24"/>
      <c r="AG22" s="24"/>
      <c r="AH22" s="9"/>
      <c r="AR22" s="65"/>
      <c r="AS22" s="65"/>
      <c r="AT22" s="65"/>
      <c r="AU22" s="66"/>
      <c r="AV22" s="66"/>
      <c r="AW22" s="65"/>
      <c r="AX22" s="65"/>
      <c r="BB22" s="44"/>
      <c r="BC22" s="44"/>
      <c r="BD22" s="44"/>
      <c r="BE22" s="44"/>
      <c r="BF22" s="44"/>
      <c r="BG22" s="44"/>
      <c r="BH22" s="44"/>
      <c r="BL22" s="44"/>
      <c r="BM22" s="44"/>
      <c r="BN22" s="44"/>
      <c r="BO22" s="44"/>
      <c r="BP22" s="44"/>
      <c r="BQ22" s="44"/>
      <c r="BR22" s="44"/>
      <c r="BV22" s="44"/>
      <c r="BW22" s="44"/>
      <c r="BX22" s="44"/>
      <c r="BY22" s="44"/>
      <c r="BZ22" s="44"/>
      <c r="CA22" s="44"/>
      <c r="CB22" s="44"/>
    </row>
    <row r="23" spans="1:80" hidden="1" x14ac:dyDescent="0.25">
      <c r="K23" s="76"/>
      <c r="L23" s="2" t="s">
        <v>5</v>
      </c>
      <c r="M23" s="4" t="str">
        <f ca="1">RIGHT(M22,27)</f>
        <v>BO OIT UNIFICADO 11-12.xlsx</v>
      </c>
      <c r="O23" s="4" t="s">
        <v>80</v>
      </c>
      <c r="P23" s="4" t="s">
        <v>631</v>
      </c>
      <c r="AA23" s="19">
        <f t="shared" si="3"/>
        <v>43121</v>
      </c>
      <c r="AB23" s="20">
        <f t="shared" si="0"/>
        <v>1</v>
      </c>
      <c r="AC23" s="21">
        <f t="shared" si="1"/>
        <v>1</v>
      </c>
      <c r="AD23" s="22" t="str">
        <f t="shared" si="2"/>
        <v>NÃO ÚTIL</v>
      </c>
      <c r="AE23" s="19">
        <f t="shared" si="5"/>
        <v>43762</v>
      </c>
      <c r="AF23" s="24"/>
      <c r="AG23" s="24"/>
      <c r="AH23" s="9"/>
      <c r="AR23" s="65"/>
      <c r="AS23" s="65"/>
      <c r="AT23" s="65"/>
      <c r="AU23" s="66"/>
      <c r="AV23" s="66"/>
      <c r="AW23" s="65"/>
      <c r="AX23" s="65"/>
      <c r="BB23" s="44"/>
      <c r="BC23" s="44"/>
      <c r="BD23" s="44"/>
      <c r="BE23" s="44"/>
      <c r="BF23" s="44"/>
      <c r="BG23" s="44"/>
      <c r="BH23" s="44"/>
      <c r="BL23" s="44"/>
      <c r="BM23" s="44"/>
      <c r="BN23" s="44"/>
      <c r="BO23" s="44"/>
      <c r="BP23" s="44"/>
      <c r="BQ23" s="44"/>
      <c r="BR23" s="44"/>
      <c r="BV23" s="44"/>
      <c r="BW23" s="44"/>
      <c r="BX23" s="44"/>
      <c r="BY23" s="44"/>
      <c r="BZ23" s="44"/>
      <c r="CA23" s="44"/>
      <c r="CB23" s="44"/>
    </row>
    <row r="24" spans="1:80" hidden="1" x14ac:dyDescent="0.25">
      <c r="K24" s="76"/>
      <c r="L24" s="2" t="s">
        <v>6</v>
      </c>
      <c r="M24" s="4" t="str">
        <f ca="1">"\\naspc31\bo_oct$\02_Staff\BO_MACRO\09_BO MOBILIDADE\Desktop\"&amp;M23</f>
        <v>\\naspc31\bo_oct$\02_Staff\BO_MACRO\09_BO MOBILIDADE\Desktop\BO OIT UNIFICADO 11-12.xlsx</v>
      </c>
      <c r="O24" s="4" t="s">
        <v>82</v>
      </c>
      <c r="P24" s="4" t="s">
        <v>807</v>
      </c>
      <c r="AA24" s="19">
        <f t="shared" si="3"/>
        <v>43122</v>
      </c>
      <c r="AB24" s="20">
        <f t="shared" si="0"/>
        <v>2</v>
      </c>
      <c r="AC24" s="21">
        <f t="shared" si="1"/>
        <v>2</v>
      </c>
      <c r="AD24" s="22" t="str">
        <f t="shared" si="2"/>
        <v>ÚTIL</v>
      </c>
      <c r="AE24" s="19">
        <f t="shared" si="5"/>
        <v>43771</v>
      </c>
      <c r="AF24" s="24"/>
      <c r="AG24" s="24"/>
      <c r="AH24" s="9"/>
      <c r="AR24" s="65"/>
      <c r="AS24" s="65"/>
      <c r="AT24" s="65"/>
      <c r="AU24" s="66"/>
      <c r="AV24" s="66"/>
      <c r="AW24" s="65"/>
      <c r="AX24" s="65"/>
      <c r="BB24" s="44"/>
      <c r="BC24" s="44"/>
      <c r="BD24" s="44"/>
      <c r="BE24" s="44"/>
      <c r="BF24" s="44"/>
      <c r="BG24" s="44"/>
      <c r="BH24" s="44"/>
      <c r="BL24" s="44"/>
      <c r="BM24" s="44"/>
      <c r="BN24" s="44"/>
      <c r="BO24" s="44"/>
      <c r="BP24" s="44"/>
      <c r="BQ24" s="44"/>
      <c r="BR24" s="44"/>
      <c r="BV24" s="44"/>
      <c r="BW24" s="44"/>
      <c r="BX24" s="44"/>
      <c r="BY24" s="44"/>
      <c r="BZ24" s="44"/>
      <c r="CA24" s="44"/>
      <c r="CB24" s="44"/>
    </row>
    <row r="25" spans="1:80" hidden="1" x14ac:dyDescent="0.25">
      <c r="K25" s="5"/>
      <c r="L25" s="6"/>
      <c r="M25" s="7"/>
      <c r="O25" s="4" t="s">
        <v>84</v>
      </c>
      <c r="P25" s="4" t="s">
        <v>151</v>
      </c>
      <c r="AA25" s="19">
        <f t="shared" si="3"/>
        <v>43123</v>
      </c>
      <c r="AB25" s="20">
        <f t="shared" si="0"/>
        <v>3</v>
      </c>
      <c r="AC25" s="21">
        <f t="shared" si="1"/>
        <v>3</v>
      </c>
      <c r="AD25" s="22" t="str">
        <f t="shared" si="2"/>
        <v>ÚTIL</v>
      </c>
      <c r="AE25" s="19">
        <f t="shared" si="5"/>
        <v>43784</v>
      </c>
      <c r="AF25" s="24"/>
      <c r="AG25" s="24"/>
      <c r="AH25" s="9"/>
      <c r="AR25" s="65"/>
      <c r="AS25" s="65"/>
      <c r="AT25" s="65"/>
      <c r="AU25" s="66"/>
      <c r="AV25" s="66"/>
      <c r="AW25" s="65"/>
      <c r="AX25" s="65"/>
      <c r="BB25" s="44"/>
      <c r="BC25" s="44"/>
      <c r="BD25" s="44"/>
      <c r="BE25" s="44"/>
      <c r="BF25" s="44"/>
      <c r="BG25" s="44"/>
      <c r="BH25" s="44"/>
      <c r="BL25" s="44"/>
      <c r="BM25" s="44"/>
      <c r="BN25" s="44"/>
      <c r="BO25" s="44"/>
      <c r="BP25" s="44"/>
      <c r="BQ25" s="44"/>
      <c r="BR25" s="44"/>
      <c r="BV25" s="44"/>
      <c r="BW25" s="44"/>
      <c r="BX25" s="44"/>
      <c r="BY25" s="44"/>
      <c r="BZ25" s="44"/>
      <c r="CA25" s="44"/>
      <c r="CB25" s="44"/>
    </row>
    <row r="26" spans="1:80" hidden="1" x14ac:dyDescent="0.25">
      <c r="K26" s="76" t="s">
        <v>7</v>
      </c>
      <c r="L26" s="2" t="s">
        <v>61</v>
      </c>
      <c r="M26" s="4" t="s">
        <v>3826</v>
      </c>
      <c r="O26" s="4" t="s">
        <v>86</v>
      </c>
      <c r="P26" s="4" t="s">
        <v>809</v>
      </c>
      <c r="AA26" s="19">
        <f t="shared" si="3"/>
        <v>43124</v>
      </c>
      <c r="AB26" s="20">
        <f t="shared" si="0"/>
        <v>4</v>
      </c>
      <c r="AC26" s="21">
        <f t="shared" si="1"/>
        <v>4</v>
      </c>
      <c r="AD26" s="22" t="str">
        <f t="shared" si="2"/>
        <v>ÚTIL</v>
      </c>
      <c r="AE26" s="19">
        <f t="shared" si="5"/>
        <v>43824</v>
      </c>
      <c r="AF26" s="24"/>
      <c r="AG26" s="24"/>
      <c r="AH26" s="9"/>
      <c r="AR26" s="65"/>
      <c r="AS26" s="65"/>
      <c r="AT26" s="65"/>
      <c r="AU26" s="66"/>
      <c r="AV26" s="66"/>
      <c r="AW26" s="65"/>
      <c r="AX26" s="65"/>
      <c r="BB26" s="44"/>
      <c r="BC26" s="44"/>
      <c r="BD26" s="44"/>
      <c r="BE26" s="44"/>
      <c r="BF26" s="44"/>
      <c r="BG26" s="44"/>
      <c r="BH26" s="44"/>
      <c r="BL26" s="44"/>
      <c r="BM26" s="44"/>
      <c r="BN26" s="44"/>
      <c r="BO26" s="44"/>
      <c r="BP26" s="44"/>
      <c r="BQ26" s="44"/>
      <c r="BR26" s="44"/>
      <c r="BV26" s="44"/>
      <c r="BW26" s="44"/>
      <c r="BX26" s="44"/>
      <c r="BY26" s="44"/>
      <c r="BZ26" s="44"/>
      <c r="CA26" s="44"/>
      <c r="CB26" s="44"/>
    </row>
    <row r="27" spans="1:80" hidden="1" x14ac:dyDescent="0.25">
      <c r="K27" s="76"/>
      <c r="L27" s="2" t="s">
        <v>67</v>
      </c>
      <c r="M27" s="4" t="s">
        <v>3827</v>
      </c>
      <c r="O27" s="4" t="s">
        <v>88</v>
      </c>
      <c r="P27" s="4" t="s">
        <v>477</v>
      </c>
      <c r="AA27" s="19">
        <f t="shared" si="3"/>
        <v>43125</v>
      </c>
      <c r="AB27" s="20">
        <f t="shared" si="0"/>
        <v>5</v>
      </c>
      <c r="AC27" s="21">
        <f t="shared" si="1"/>
        <v>5</v>
      </c>
      <c r="AD27" s="22" t="str">
        <f t="shared" si="2"/>
        <v>ÚTIL</v>
      </c>
      <c r="AE27" s="67">
        <f t="shared" si="5"/>
        <v>43831</v>
      </c>
      <c r="AF27" s="24"/>
      <c r="AG27" s="24"/>
      <c r="AH27" s="9"/>
      <c r="AR27" s="65"/>
      <c r="AS27" s="65"/>
      <c r="AT27" s="65"/>
      <c r="AU27" s="66"/>
      <c r="AV27" s="66"/>
      <c r="AW27" s="65"/>
      <c r="AX27" s="65"/>
      <c r="BB27" s="44"/>
      <c r="BC27" s="44"/>
      <c r="BD27" s="44"/>
      <c r="BE27" s="44"/>
      <c r="BF27" s="44"/>
      <c r="BG27" s="44"/>
      <c r="BH27" s="44"/>
      <c r="BL27" s="44"/>
      <c r="BM27" s="44"/>
      <c r="BN27" s="44"/>
      <c r="BO27" s="44"/>
      <c r="BP27" s="44"/>
      <c r="BQ27" s="44"/>
      <c r="BR27" s="44"/>
      <c r="BV27" s="44"/>
      <c r="BW27" s="44"/>
      <c r="BX27" s="44"/>
      <c r="BY27" s="44"/>
      <c r="BZ27" s="44"/>
      <c r="CA27" s="44"/>
      <c r="CB27" s="44"/>
    </row>
    <row r="28" spans="1:80" hidden="1" x14ac:dyDescent="0.25">
      <c r="K28" s="76"/>
      <c r="L28" s="2" t="s">
        <v>70</v>
      </c>
      <c r="M28" s="4" t="s">
        <v>3828</v>
      </c>
      <c r="O28" s="4" t="s">
        <v>90</v>
      </c>
      <c r="P28" s="4" t="s">
        <v>293</v>
      </c>
      <c r="AA28" s="19">
        <f t="shared" si="3"/>
        <v>43126</v>
      </c>
      <c r="AB28" s="20">
        <f t="shared" si="0"/>
        <v>6</v>
      </c>
      <c r="AC28" s="21">
        <f t="shared" si="1"/>
        <v>6</v>
      </c>
      <c r="AD28" s="22" t="str">
        <f t="shared" si="2"/>
        <v>ÚTIL</v>
      </c>
      <c r="AE28" s="67">
        <f t="shared" ref="AE28:AE38" si="6">AE16+366</f>
        <v>43920</v>
      </c>
      <c r="AF28" s="24"/>
      <c r="AG28" s="24"/>
      <c r="AH28" s="9"/>
      <c r="AR28" s="65"/>
      <c r="AS28" s="65"/>
      <c r="AT28" s="65"/>
      <c r="AU28" s="66"/>
      <c r="AV28" s="66"/>
      <c r="AW28" s="65"/>
      <c r="AX28" s="65"/>
      <c r="BB28" s="44"/>
      <c r="BC28" s="44"/>
      <c r="BD28" s="44"/>
      <c r="BE28" s="44"/>
      <c r="BF28" s="44"/>
      <c r="BG28" s="44"/>
      <c r="BH28" s="44"/>
      <c r="BL28" s="44"/>
      <c r="BM28" s="44"/>
      <c r="BN28" s="44"/>
      <c r="BO28" s="44"/>
      <c r="BP28" s="44"/>
      <c r="BQ28" s="44"/>
      <c r="BR28" s="44"/>
      <c r="BV28" s="44"/>
      <c r="BW28" s="44"/>
      <c r="BX28" s="44"/>
      <c r="BY28" s="44"/>
      <c r="BZ28" s="44"/>
      <c r="CA28" s="44"/>
      <c r="CB28" s="44"/>
    </row>
    <row r="29" spans="1:80" hidden="1" x14ac:dyDescent="0.25">
      <c r="A29" s="72" t="s">
        <v>4668</v>
      </c>
      <c r="B29" s="73"/>
      <c r="C29" s="73"/>
      <c r="D29" s="73"/>
      <c r="E29" s="73"/>
      <c r="F29" s="73"/>
      <c r="G29" s="73"/>
      <c r="H29" s="73"/>
      <c r="I29" s="74"/>
      <c r="K29" s="77"/>
      <c r="L29" s="8" t="s">
        <v>92</v>
      </c>
      <c r="M29" s="4" t="s">
        <v>3829</v>
      </c>
      <c r="O29" s="4" t="s">
        <v>93</v>
      </c>
      <c r="P29" s="4" t="s">
        <v>633</v>
      </c>
      <c r="AA29" s="19">
        <f t="shared" si="3"/>
        <v>43127</v>
      </c>
      <c r="AB29" s="20">
        <f t="shared" si="0"/>
        <v>7</v>
      </c>
      <c r="AC29" s="21">
        <f t="shared" si="1"/>
        <v>7</v>
      </c>
      <c r="AD29" s="22" t="str">
        <f t="shared" si="2"/>
        <v>NÃO ÚTIL</v>
      </c>
      <c r="AE29" s="67">
        <f t="shared" si="6"/>
        <v>43922</v>
      </c>
      <c r="AF29" s="24"/>
      <c r="AG29" s="24"/>
      <c r="AH29" s="9"/>
      <c r="AR29" s="65"/>
      <c r="AS29" s="65"/>
      <c r="AT29" s="65"/>
      <c r="AU29" s="66"/>
      <c r="AV29" s="66"/>
      <c r="AW29" s="65"/>
      <c r="AX29" s="65"/>
      <c r="BB29" s="44"/>
      <c r="BC29" s="44"/>
      <c r="BD29" s="44"/>
      <c r="BE29" s="44"/>
      <c r="BF29" s="44"/>
      <c r="BG29" s="44"/>
      <c r="BH29" s="44"/>
      <c r="BL29" s="44"/>
      <c r="BM29" s="44"/>
      <c r="BN29" s="44"/>
      <c r="BO29" s="44"/>
      <c r="BP29" s="44"/>
      <c r="BQ29" s="44"/>
      <c r="BR29" s="44"/>
      <c r="BV29" s="44"/>
      <c r="BW29" s="44"/>
      <c r="BX29" s="44"/>
      <c r="BY29" s="44"/>
      <c r="BZ29" s="44"/>
      <c r="CA29" s="44"/>
      <c r="CB29" s="44"/>
    </row>
    <row r="30" spans="1:80" hidden="1" x14ac:dyDescent="0.25">
      <c r="A30" s="70" t="s">
        <v>4669</v>
      </c>
      <c r="B30" s="71" t="s">
        <v>4667</v>
      </c>
      <c r="C30" s="71"/>
      <c r="D30" s="71"/>
      <c r="E30" s="71"/>
      <c r="F30" s="71"/>
      <c r="G30" s="71"/>
      <c r="H30" s="71"/>
      <c r="I30" s="71"/>
      <c r="M30"/>
      <c r="O30" s="4" t="s">
        <v>95</v>
      </c>
      <c r="P30" s="4" t="s">
        <v>625</v>
      </c>
      <c r="AA30" s="19">
        <f t="shared" si="3"/>
        <v>43128</v>
      </c>
      <c r="AB30" s="20">
        <f t="shared" si="0"/>
        <v>1</v>
      </c>
      <c r="AC30" s="21">
        <f t="shared" si="1"/>
        <v>1</v>
      </c>
      <c r="AD30" s="22" t="str">
        <f t="shared" si="2"/>
        <v>NÃO ÚTIL</v>
      </c>
      <c r="AE30" s="67">
        <f t="shared" si="6"/>
        <v>43942</v>
      </c>
      <c r="AF30" s="24"/>
      <c r="AG30" s="24"/>
      <c r="AH30" s="9"/>
      <c r="AR30" s="65"/>
      <c r="AS30" s="65"/>
      <c r="AT30" s="65"/>
      <c r="AU30" s="66"/>
      <c r="AV30" s="66"/>
      <c r="AW30" s="65"/>
      <c r="AX30" s="65"/>
      <c r="BB30" s="44"/>
      <c r="BC30" s="44"/>
      <c r="BD30" s="44"/>
      <c r="BE30" s="44"/>
      <c r="BF30" s="44"/>
      <c r="BG30" s="44"/>
      <c r="BH30" s="44"/>
      <c r="BL30" s="44"/>
      <c r="BM30" s="44"/>
      <c r="BN30" s="44"/>
      <c r="BO30" s="44"/>
      <c r="BP30" s="44"/>
      <c r="BQ30" s="44"/>
      <c r="BR30" s="44"/>
      <c r="BV30" s="44"/>
      <c r="BW30" s="44"/>
      <c r="BX30" s="44"/>
      <c r="BY30" s="44"/>
      <c r="BZ30" s="44"/>
      <c r="CA30" s="44"/>
      <c r="CB30" s="44"/>
    </row>
    <row r="31" spans="1:80" hidden="1" x14ac:dyDescent="0.25">
      <c r="A31" s="70" t="s">
        <v>4671</v>
      </c>
      <c r="B31" s="71" t="s">
        <v>4670</v>
      </c>
      <c r="C31" s="71"/>
      <c r="D31" s="71"/>
      <c r="E31" s="71"/>
      <c r="F31" s="71"/>
      <c r="G31" s="71"/>
      <c r="H31" s="71"/>
      <c r="I31" s="71"/>
      <c r="K31" s="1"/>
      <c r="L31" s="84" t="s">
        <v>97</v>
      </c>
      <c r="M31" s="85"/>
      <c r="O31" s="4" t="s">
        <v>98</v>
      </c>
      <c r="P31" s="4" t="s">
        <v>473</v>
      </c>
      <c r="AA31" s="19">
        <f t="shared" si="3"/>
        <v>43129</v>
      </c>
      <c r="AB31" s="20">
        <f t="shared" si="0"/>
        <v>2</v>
      </c>
      <c r="AC31" s="21">
        <f t="shared" si="1"/>
        <v>2</v>
      </c>
      <c r="AD31" s="22" t="str">
        <f t="shared" si="2"/>
        <v>ÚTIL</v>
      </c>
      <c r="AE31" s="67">
        <f t="shared" si="6"/>
        <v>43952</v>
      </c>
      <c r="AF31" s="24"/>
      <c r="AG31" s="24"/>
      <c r="AH31" s="9"/>
      <c r="AR31" s="65"/>
      <c r="AS31" s="65"/>
      <c r="AT31" s="65"/>
      <c r="AU31" s="66"/>
      <c r="AV31" s="66"/>
      <c r="AW31" s="65"/>
      <c r="AX31" s="65"/>
      <c r="BB31" s="44"/>
      <c r="BC31" s="44"/>
      <c r="BD31" s="44"/>
      <c r="BE31" s="44"/>
      <c r="BF31" s="44"/>
      <c r="BG31" s="44"/>
      <c r="BH31" s="44"/>
      <c r="BL31" s="44"/>
      <c r="BM31" s="44"/>
      <c r="BN31" s="44"/>
      <c r="BO31" s="44"/>
      <c r="BP31" s="44"/>
      <c r="BQ31" s="44"/>
      <c r="BR31" s="44"/>
      <c r="BV31" s="44"/>
      <c r="BW31" s="44"/>
      <c r="BX31" s="44"/>
      <c r="BY31" s="44"/>
      <c r="BZ31" s="44"/>
      <c r="CA31" s="44"/>
      <c r="CB31" s="44"/>
    </row>
    <row r="32" spans="1:80" hidden="1" x14ac:dyDescent="0.25">
      <c r="A32" s="70" t="s">
        <v>4673</v>
      </c>
      <c r="B32" s="71" t="s">
        <v>4672</v>
      </c>
      <c r="C32" s="71"/>
      <c r="D32" s="71"/>
      <c r="E32" s="71"/>
      <c r="F32" s="71"/>
      <c r="G32" s="71"/>
      <c r="H32" s="71"/>
      <c r="I32" s="71"/>
      <c r="K32" s="76" t="s">
        <v>3</v>
      </c>
      <c r="L32" s="2" t="s">
        <v>4</v>
      </c>
      <c r="M32" s="3" t="str">
        <f ca="1">"\\naspc31\bo_oct$\22-Extração\BO MOB POS_OCT\ABERTOS\"&amp;$AI$3&amp;"\Abertos_BASE "&amp;$AH$3&amp;".xlsx"</f>
        <v>\\naspc31\bo_oct$\22-Extração\BO MOB POS_OCT\ABERTOS\DEZEMBRO\Abertos_BASE 11 12 2021.xlsx</v>
      </c>
      <c r="O32" s="4" t="s">
        <v>100</v>
      </c>
      <c r="P32" s="4" t="s">
        <v>435</v>
      </c>
      <c r="AA32" s="19">
        <f t="shared" si="3"/>
        <v>43130</v>
      </c>
      <c r="AB32" s="20">
        <f t="shared" si="0"/>
        <v>3</v>
      </c>
      <c r="AC32" s="21">
        <f t="shared" si="1"/>
        <v>3</v>
      </c>
      <c r="AD32" s="22" t="str">
        <f t="shared" si="2"/>
        <v>ÚTIL</v>
      </c>
      <c r="AE32" s="67">
        <f t="shared" si="6"/>
        <v>43982</v>
      </c>
      <c r="AF32" s="24"/>
      <c r="AG32" s="24"/>
      <c r="AH32" s="9"/>
    </row>
    <row r="33" spans="11:34" hidden="1" x14ac:dyDescent="0.25">
      <c r="K33" s="76"/>
      <c r="L33" s="2" t="s">
        <v>5</v>
      </c>
      <c r="M33" s="4" t="str">
        <f ca="1">RIGHT(M32,28)</f>
        <v>Abertos_BASE 11 12 2021.xlsx</v>
      </c>
      <c r="O33" s="4" t="s">
        <v>102</v>
      </c>
      <c r="P33" s="4" t="s">
        <v>429</v>
      </c>
      <c r="AA33" s="19">
        <f t="shared" si="3"/>
        <v>43131</v>
      </c>
      <c r="AB33" s="20">
        <f t="shared" si="0"/>
        <v>4</v>
      </c>
      <c r="AC33" s="21">
        <f t="shared" si="1"/>
        <v>4</v>
      </c>
      <c r="AD33" s="22" t="str">
        <f t="shared" si="2"/>
        <v>ÚTIL</v>
      </c>
      <c r="AE33" s="67">
        <f t="shared" si="6"/>
        <v>44081</v>
      </c>
      <c r="AF33" s="24"/>
      <c r="AG33" s="24"/>
      <c r="AH33" s="9"/>
    </row>
    <row r="34" spans="11:34" hidden="1" x14ac:dyDescent="0.25">
      <c r="K34" s="76"/>
      <c r="L34" s="2" t="s">
        <v>6</v>
      </c>
      <c r="M34" s="4" t="str">
        <f ca="1">"\\naspc31\bo_oct$\02_Staff\BO_MACRO\09_BO MOBILIDADE\Desktop\"&amp;M33</f>
        <v>\\naspc31\bo_oct$\02_Staff\BO_MACRO\09_BO MOBILIDADE\Desktop\Abertos_BASE 11 12 2021.xlsx</v>
      </c>
      <c r="O34" s="4" t="s">
        <v>104</v>
      </c>
      <c r="P34" s="4" t="s">
        <v>541</v>
      </c>
      <c r="AA34" s="19">
        <f t="shared" si="3"/>
        <v>43132</v>
      </c>
      <c r="AB34" s="20">
        <f t="shared" si="0"/>
        <v>5</v>
      </c>
      <c r="AC34" s="21">
        <f t="shared" si="1"/>
        <v>5</v>
      </c>
      <c r="AD34" s="22" t="str">
        <f t="shared" si="2"/>
        <v>ÚTIL</v>
      </c>
      <c r="AE34" s="67">
        <f t="shared" si="6"/>
        <v>44116</v>
      </c>
      <c r="AF34" s="24"/>
      <c r="AG34" s="24"/>
      <c r="AH34" s="9"/>
    </row>
    <row r="35" spans="11:34" hidden="1" x14ac:dyDescent="0.25">
      <c r="K35" s="5"/>
      <c r="L35" s="6"/>
      <c r="M35" s="7"/>
      <c r="O35" s="4" t="s">
        <v>106</v>
      </c>
      <c r="P35" s="4" t="s">
        <v>343</v>
      </c>
      <c r="AA35" s="19">
        <f t="shared" si="3"/>
        <v>43133</v>
      </c>
      <c r="AB35" s="20">
        <f t="shared" si="0"/>
        <v>6</v>
      </c>
      <c r="AC35" s="21">
        <f t="shared" si="1"/>
        <v>6</v>
      </c>
      <c r="AD35" s="22" t="str">
        <f t="shared" si="2"/>
        <v>ÚTIL</v>
      </c>
      <c r="AE35" s="67">
        <f t="shared" si="6"/>
        <v>44128</v>
      </c>
      <c r="AF35" s="24"/>
      <c r="AG35" s="24"/>
      <c r="AH35" s="9"/>
    </row>
    <row r="36" spans="11:34" hidden="1" x14ac:dyDescent="0.25">
      <c r="K36" s="76" t="s">
        <v>7</v>
      </c>
      <c r="L36" s="2" t="s">
        <v>61</v>
      </c>
      <c r="M36" s="4" t="s">
        <v>3830</v>
      </c>
      <c r="O36" s="4" t="s">
        <v>108</v>
      </c>
      <c r="P36" s="4" t="s">
        <v>529</v>
      </c>
      <c r="AA36" s="19">
        <f t="shared" si="3"/>
        <v>43134</v>
      </c>
      <c r="AB36" s="20">
        <f t="shared" si="0"/>
        <v>7</v>
      </c>
      <c r="AC36" s="21">
        <f t="shared" si="1"/>
        <v>7</v>
      </c>
      <c r="AD36" s="22" t="str">
        <f t="shared" si="2"/>
        <v>NÃO ÚTIL</v>
      </c>
      <c r="AE36" s="67">
        <f t="shared" si="6"/>
        <v>44137</v>
      </c>
      <c r="AF36" s="24"/>
      <c r="AG36" s="24"/>
      <c r="AH36" s="9"/>
    </row>
    <row r="37" spans="11:34" hidden="1" x14ac:dyDescent="0.25">
      <c r="K37" s="76"/>
      <c r="L37" s="2" t="s">
        <v>64</v>
      </c>
      <c r="M37" s="4" t="s">
        <v>3831</v>
      </c>
      <c r="O37" s="4" t="s">
        <v>110</v>
      </c>
      <c r="P37" s="4" t="s">
        <v>491</v>
      </c>
      <c r="AA37" s="19">
        <f t="shared" si="3"/>
        <v>43135</v>
      </c>
      <c r="AB37" s="20">
        <f t="shared" si="0"/>
        <v>1</v>
      </c>
      <c r="AC37" s="21">
        <f t="shared" si="1"/>
        <v>1</v>
      </c>
      <c r="AD37" s="22" t="str">
        <f t="shared" si="2"/>
        <v>NÃO ÚTIL</v>
      </c>
      <c r="AE37" s="67">
        <f t="shared" si="6"/>
        <v>44150</v>
      </c>
      <c r="AF37" s="24"/>
      <c r="AG37" s="24"/>
      <c r="AH37" s="9"/>
    </row>
    <row r="38" spans="11:34" hidden="1" x14ac:dyDescent="0.25">
      <c r="K38" s="76"/>
      <c r="L38" s="2" t="s">
        <v>67</v>
      </c>
      <c r="M38" s="4" t="s">
        <v>3832</v>
      </c>
      <c r="O38" s="4" t="s">
        <v>112</v>
      </c>
      <c r="P38" s="4" t="s">
        <v>479</v>
      </c>
      <c r="AA38" s="19">
        <f t="shared" si="3"/>
        <v>43136</v>
      </c>
      <c r="AB38" s="20">
        <f t="shared" si="0"/>
        <v>2</v>
      </c>
      <c r="AC38" s="21">
        <f t="shared" si="1"/>
        <v>2</v>
      </c>
      <c r="AD38" s="22" t="str">
        <f t="shared" si="2"/>
        <v>ÚTIL</v>
      </c>
      <c r="AE38" s="67">
        <f t="shared" si="6"/>
        <v>44190</v>
      </c>
      <c r="AF38" s="24"/>
      <c r="AG38" s="24"/>
      <c r="AH38" s="9"/>
    </row>
    <row r="39" spans="11:34" hidden="1" x14ac:dyDescent="0.25">
      <c r="K39" s="77"/>
      <c r="L39" s="8" t="s">
        <v>70</v>
      </c>
      <c r="M39" s="4" t="s">
        <v>3833</v>
      </c>
      <c r="O39" s="4" t="s">
        <v>114</v>
      </c>
      <c r="P39" s="4" t="s">
        <v>369</v>
      </c>
      <c r="AA39" s="19">
        <f t="shared" si="3"/>
        <v>43137</v>
      </c>
      <c r="AB39" s="20">
        <f t="shared" si="0"/>
        <v>3</v>
      </c>
      <c r="AC39" s="21">
        <f t="shared" si="1"/>
        <v>3</v>
      </c>
      <c r="AD39" s="22" t="str">
        <f t="shared" si="2"/>
        <v>ÚTIL</v>
      </c>
      <c r="AE39" s="19">
        <f>AE27+366</f>
        <v>44197</v>
      </c>
      <c r="AF39" s="24"/>
      <c r="AG39" s="24"/>
      <c r="AH39" s="9"/>
    </row>
    <row r="40" spans="11:34" hidden="1" x14ac:dyDescent="0.25">
      <c r="M40"/>
      <c r="O40" s="4" t="s">
        <v>116</v>
      </c>
      <c r="P40" s="4" t="s">
        <v>533</v>
      </c>
      <c r="AA40" s="19">
        <f t="shared" si="3"/>
        <v>43138</v>
      </c>
      <c r="AB40" s="20">
        <f t="shared" si="0"/>
        <v>4</v>
      </c>
      <c r="AC40" s="21">
        <f t="shared" si="1"/>
        <v>4</v>
      </c>
      <c r="AD40" s="22" t="str">
        <f t="shared" si="2"/>
        <v>ÚTIL</v>
      </c>
      <c r="AE40" s="19">
        <f>AE28+366-1</f>
        <v>44285</v>
      </c>
      <c r="AF40" s="24"/>
      <c r="AG40" s="24"/>
      <c r="AH40" s="9"/>
    </row>
    <row r="41" spans="11:34" hidden="1" x14ac:dyDescent="0.25">
      <c r="L41" s="29" t="s">
        <v>3850</v>
      </c>
      <c r="M41" s="4" t="s">
        <v>3851</v>
      </c>
      <c r="O41" s="4" t="s">
        <v>118</v>
      </c>
      <c r="P41" s="4" t="s">
        <v>115</v>
      </c>
      <c r="AA41" s="19">
        <f t="shared" si="3"/>
        <v>43139</v>
      </c>
      <c r="AB41" s="20">
        <f t="shared" si="0"/>
        <v>5</v>
      </c>
      <c r="AC41" s="21">
        <f t="shared" si="1"/>
        <v>5</v>
      </c>
      <c r="AD41" s="22" t="str">
        <f t="shared" si="2"/>
        <v>ÚTIL</v>
      </c>
      <c r="AE41" s="19">
        <f>AE29+365</f>
        <v>44287</v>
      </c>
      <c r="AF41" s="24"/>
      <c r="AG41" s="24"/>
      <c r="AH41" s="9"/>
    </row>
    <row r="42" spans="11:34" hidden="1" x14ac:dyDescent="0.25">
      <c r="L42" s="29" t="s">
        <v>3949</v>
      </c>
      <c r="M42" s="4" t="s">
        <v>3950</v>
      </c>
      <c r="O42" s="4" t="s">
        <v>120</v>
      </c>
      <c r="P42" s="4" t="s">
        <v>279</v>
      </c>
      <c r="AA42" s="19">
        <f t="shared" si="3"/>
        <v>43140</v>
      </c>
      <c r="AB42" s="20">
        <f t="shared" si="0"/>
        <v>6</v>
      </c>
      <c r="AC42" s="21">
        <f t="shared" si="1"/>
        <v>6</v>
      </c>
      <c r="AD42" s="22" t="str">
        <f t="shared" si="2"/>
        <v>ÚTIL</v>
      </c>
      <c r="AE42" s="19">
        <f t="shared" ref="AE42:AE51" si="7">AE30+365</f>
        <v>44307</v>
      </c>
      <c r="AF42" s="24"/>
      <c r="AG42" s="24"/>
      <c r="AH42" s="9"/>
    </row>
    <row r="43" spans="11:34" hidden="1" x14ac:dyDescent="0.25">
      <c r="O43" s="4" t="s">
        <v>122</v>
      </c>
      <c r="P43" s="4" t="s">
        <v>721</v>
      </c>
      <c r="AA43" s="19">
        <f t="shared" si="3"/>
        <v>43141</v>
      </c>
      <c r="AB43" s="20">
        <f t="shared" si="0"/>
        <v>7</v>
      </c>
      <c r="AC43" s="21">
        <f t="shared" si="1"/>
        <v>7</v>
      </c>
      <c r="AD43" s="22" t="str">
        <f t="shared" si="2"/>
        <v>NÃO ÚTIL</v>
      </c>
      <c r="AE43" s="19">
        <f t="shared" si="7"/>
        <v>44317</v>
      </c>
      <c r="AF43" s="24"/>
      <c r="AG43" s="24"/>
      <c r="AH43" s="9"/>
    </row>
    <row r="44" spans="11:34" hidden="1" x14ac:dyDescent="0.25">
      <c r="K44" s="30"/>
      <c r="L44" s="6"/>
      <c r="M44" s="31" t="s">
        <v>3955</v>
      </c>
      <c r="O44" s="4" t="s">
        <v>124</v>
      </c>
      <c r="P44" s="4" t="s">
        <v>525</v>
      </c>
      <c r="AA44" s="19">
        <f t="shared" si="3"/>
        <v>43142</v>
      </c>
      <c r="AB44" s="20">
        <f t="shared" si="0"/>
        <v>1</v>
      </c>
      <c r="AC44" s="21">
        <f t="shared" si="1"/>
        <v>1</v>
      </c>
      <c r="AD44" s="22" t="str">
        <f t="shared" si="2"/>
        <v>NÃO ÚTIL</v>
      </c>
      <c r="AE44" s="19">
        <f t="shared" si="7"/>
        <v>44347</v>
      </c>
      <c r="AF44" s="24"/>
      <c r="AG44" s="24"/>
      <c r="AH44" s="9"/>
    </row>
    <row r="45" spans="11:34" hidden="1" x14ac:dyDescent="0.25">
      <c r="K45" s="76" t="s">
        <v>7</v>
      </c>
      <c r="L45" s="2" t="s">
        <v>3956</v>
      </c>
      <c r="M45" s="4" t="s">
        <v>3951</v>
      </c>
      <c r="O45" s="4" t="s">
        <v>126</v>
      </c>
      <c r="P45" s="4" t="s">
        <v>357</v>
      </c>
      <c r="AA45" s="19">
        <f t="shared" si="3"/>
        <v>43143</v>
      </c>
      <c r="AB45" s="20">
        <f t="shared" si="0"/>
        <v>2</v>
      </c>
      <c r="AC45" s="21">
        <f t="shared" si="1"/>
        <v>2</v>
      </c>
      <c r="AD45" s="22" t="str">
        <f t="shared" si="2"/>
        <v>ÚTIL</v>
      </c>
      <c r="AE45" s="19">
        <f t="shared" si="7"/>
        <v>44446</v>
      </c>
      <c r="AF45" s="24"/>
      <c r="AG45" s="24"/>
      <c r="AH45" s="9"/>
    </row>
    <row r="46" spans="11:34" hidden="1" x14ac:dyDescent="0.25">
      <c r="K46" s="76"/>
      <c r="L46" s="2" t="s">
        <v>3957</v>
      </c>
      <c r="M46" s="4" t="s">
        <v>3953</v>
      </c>
      <c r="O46" s="4" t="s">
        <v>128</v>
      </c>
      <c r="P46" s="4" t="s">
        <v>181</v>
      </c>
      <c r="AA46" s="19">
        <f t="shared" si="3"/>
        <v>43144</v>
      </c>
      <c r="AB46" s="20">
        <f t="shared" si="0"/>
        <v>3</v>
      </c>
      <c r="AC46" s="21">
        <f t="shared" si="1"/>
        <v>3</v>
      </c>
      <c r="AD46" s="22" t="str">
        <f t="shared" si="2"/>
        <v>ÚTIL</v>
      </c>
      <c r="AE46" s="19">
        <f t="shared" si="7"/>
        <v>44481</v>
      </c>
      <c r="AF46" s="24"/>
      <c r="AG46" s="24"/>
      <c r="AH46" s="9"/>
    </row>
    <row r="47" spans="11:34" hidden="1" x14ac:dyDescent="0.25">
      <c r="K47" s="76"/>
      <c r="L47" s="2" t="s">
        <v>3958</v>
      </c>
      <c r="M47" s="4" t="s">
        <v>3952</v>
      </c>
      <c r="O47" s="4" t="s">
        <v>130</v>
      </c>
      <c r="P47" s="4" t="s">
        <v>337</v>
      </c>
      <c r="AA47" s="19">
        <f t="shared" si="3"/>
        <v>43145</v>
      </c>
      <c r="AB47" s="20">
        <f t="shared" si="0"/>
        <v>4</v>
      </c>
      <c r="AC47" s="21">
        <f t="shared" si="1"/>
        <v>4</v>
      </c>
      <c r="AD47" s="22" t="str">
        <f t="shared" si="2"/>
        <v>ÚTIL</v>
      </c>
      <c r="AE47" s="19">
        <f t="shared" si="7"/>
        <v>44493</v>
      </c>
      <c r="AF47" s="24"/>
      <c r="AG47" s="24"/>
      <c r="AH47" s="9"/>
    </row>
    <row r="48" spans="11:34" hidden="1" x14ac:dyDescent="0.25">
      <c r="K48" s="77"/>
      <c r="L48" s="8" t="s">
        <v>3959</v>
      </c>
      <c r="M48" s="4" t="s">
        <v>3954</v>
      </c>
      <c r="O48" s="4" t="s">
        <v>132</v>
      </c>
      <c r="P48" s="4" t="s">
        <v>657</v>
      </c>
      <c r="AA48" s="19">
        <f t="shared" si="3"/>
        <v>43146</v>
      </c>
      <c r="AB48" s="20">
        <f t="shared" si="0"/>
        <v>5</v>
      </c>
      <c r="AC48" s="21">
        <f t="shared" si="1"/>
        <v>5</v>
      </c>
      <c r="AD48" s="22" t="str">
        <f t="shared" si="2"/>
        <v>ÚTIL</v>
      </c>
      <c r="AE48" s="19">
        <f t="shared" si="7"/>
        <v>44502</v>
      </c>
      <c r="AF48" s="24"/>
      <c r="AG48" s="24"/>
      <c r="AH48" s="9"/>
    </row>
    <row r="49" spans="11:34" hidden="1" x14ac:dyDescent="0.25">
      <c r="O49" s="4" t="s">
        <v>134</v>
      </c>
      <c r="P49" s="4" t="s">
        <v>393</v>
      </c>
      <c r="AA49" s="19">
        <f t="shared" si="3"/>
        <v>43147</v>
      </c>
      <c r="AB49" s="20">
        <f t="shared" si="0"/>
        <v>6</v>
      </c>
      <c r="AC49" s="21">
        <f t="shared" si="1"/>
        <v>6</v>
      </c>
      <c r="AD49" s="22" t="str">
        <f t="shared" si="2"/>
        <v>ÚTIL</v>
      </c>
      <c r="AE49" s="19">
        <f t="shared" si="7"/>
        <v>44515</v>
      </c>
      <c r="AF49" s="24"/>
      <c r="AG49" s="24"/>
      <c r="AH49" s="9"/>
    </row>
    <row r="50" spans="11:34" hidden="1" x14ac:dyDescent="0.25">
      <c r="L50" s="29" t="s">
        <v>3970</v>
      </c>
      <c r="M50" s="4" t="s">
        <v>3971</v>
      </c>
      <c r="O50" s="4" t="s">
        <v>136</v>
      </c>
      <c r="P50" s="4" t="s">
        <v>513</v>
      </c>
      <c r="AA50" s="19">
        <f t="shared" si="3"/>
        <v>43148</v>
      </c>
      <c r="AB50" s="20">
        <f t="shared" si="0"/>
        <v>7</v>
      </c>
      <c r="AC50" s="21">
        <f t="shared" si="1"/>
        <v>7</v>
      </c>
      <c r="AD50" s="22" t="str">
        <f t="shared" si="2"/>
        <v>NÃO ÚTIL</v>
      </c>
      <c r="AE50" s="19">
        <f t="shared" si="7"/>
        <v>44555</v>
      </c>
      <c r="AF50" s="24"/>
      <c r="AG50" s="24"/>
      <c r="AH50" s="9"/>
    </row>
    <row r="51" spans="11:34" hidden="1" x14ac:dyDescent="0.25">
      <c r="L51" s="29" t="s">
        <v>3962</v>
      </c>
      <c r="M51" s="4" t="s">
        <v>3960</v>
      </c>
      <c r="O51" s="4" t="s">
        <v>138</v>
      </c>
      <c r="P51" s="4" t="s">
        <v>555</v>
      </c>
      <c r="AA51" s="19">
        <f t="shared" si="3"/>
        <v>43149</v>
      </c>
      <c r="AB51" s="20">
        <f t="shared" si="0"/>
        <v>1</v>
      </c>
      <c r="AC51" s="21">
        <f t="shared" si="1"/>
        <v>1</v>
      </c>
      <c r="AD51" s="22" t="str">
        <f t="shared" si="2"/>
        <v>NÃO ÚTIL</v>
      </c>
      <c r="AE51" s="19">
        <f t="shared" si="7"/>
        <v>44562</v>
      </c>
      <c r="AF51" s="24"/>
      <c r="AG51" s="24"/>
      <c r="AH51" s="9"/>
    </row>
    <row r="52" spans="11:34" hidden="1" x14ac:dyDescent="0.25">
      <c r="L52" s="29" t="s">
        <v>3963</v>
      </c>
      <c r="M52" s="4" t="s">
        <v>3961</v>
      </c>
      <c r="O52" s="4" t="s">
        <v>140</v>
      </c>
      <c r="P52" s="4" t="s">
        <v>301</v>
      </c>
      <c r="AA52" s="19">
        <f t="shared" si="3"/>
        <v>43150</v>
      </c>
      <c r="AB52" s="20">
        <f t="shared" si="0"/>
        <v>2</v>
      </c>
      <c r="AC52" s="21">
        <f t="shared" si="1"/>
        <v>2</v>
      </c>
      <c r="AD52" s="22" t="str">
        <f t="shared" si="2"/>
        <v>ÚTIL</v>
      </c>
      <c r="AE52" s="19"/>
      <c r="AF52" s="24"/>
      <c r="AG52" s="24"/>
      <c r="AH52" s="9"/>
    </row>
    <row r="53" spans="11:34" hidden="1" x14ac:dyDescent="0.25">
      <c r="L53" s="29" t="s">
        <v>3964</v>
      </c>
      <c r="M53" s="4" t="s">
        <v>3965</v>
      </c>
      <c r="O53" s="4" t="s">
        <v>142</v>
      </c>
      <c r="P53" s="4" t="s">
        <v>531</v>
      </c>
      <c r="AA53" s="19">
        <f t="shared" si="3"/>
        <v>43151</v>
      </c>
      <c r="AB53" s="20">
        <f t="shared" si="0"/>
        <v>3</v>
      </c>
      <c r="AC53" s="21">
        <f t="shared" si="1"/>
        <v>3</v>
      </c>
      <c r="AD53" s="22" t="str">
        <f t="shared" si="2"/>
        <v>ÚTIL</v>
      </c>
      <c r="AE53" s="19"/>
      <c r="AF53" s="24"/>
      <c r="AG53" s="24"/>
      <c r="AH53" s="9"/>
    </row>
    <row r="54" spans="11:34" hidden="1" x14ac:dyDescent="0.25">
      <c r="O54" s="4" t="s">
        <v>144</v>
      </c>
      <c r="P54" s="4" t="s">
        <v>527</v>
      </c>
      <c r="AA54" s="19">
        <f t="shared" si="3"/>
        <v>43152</v>
      </c>
      <c r="AB54" s="20">
        <f t="shared" si="0"/>
        <v>4</v>
      </c>
      <c r="AC54" s="21">
        <f t="shared" si="1"/>
        <v>4</v>
      </c>
      <c r="AD54" s="22" t="str">
        <f t="shared" si="2"/>
        <v>ÚTIL</v>
      </c>
      <c r="AE54" s="19"/>
      <c r="AF54" s="24"/>
      <c r="AG54" s="24"/>
      <c r="AH54" s="9"/>
    </row>
    <row r="55" spans="11:34" hidden="1" x14ac:dyDescent="0.25">
      <c r="L55" s="29" t="s">
        <v>3966</v>
      </c>
      <c r="M55" s="4" t="s">
        <v>3967</v>
      </c>
      <c r="O55" s="4" t="s">
        <v>146</v>
      </c>
      <c r="P55" s="4" t="s">
        <v>561</v>
      </c>
      <c r="AA55" s="19">
        <f t="shared" si="3"/>
        <v>43153</v>
      </c>
      <c r="AB55" s="20">
        <f t="shared" si="0"/>
        <v>5</v>
      </c>
      <c r="AC55" s="21">
        <f t="shared" si="1"/>
        <v>5</v>
      </c>
      <c r="AD55" s="22" t="str">
        <f t="shared" si="2"/>
        <v>ÚTIL</v>
      </c>
      <c r="AE55" s="19"/>
      <c r="AF55" s="24"/>
      <c r="AG55" s="24"/>
      <c r="AH55" s="9"/>
    </row>
    <row r="56" spans="11:34" hidden="1" x14ac:dyDescent="0.25">
      <c r="L56" s="68" t="s">
        <v>3968</v>
      </c>
      <c r="M56" s="69" t="s">
        <v>3969</v>
      </c>
      <c r="O56" s="4" t="s">
        <v>148</v>
      </c>
      <c r="P56" s="4" t="s">
        <v>735</v>
      </c>
      <c r="AA56" s="19">
        <f t="shared" si="3"/>
        <v>43154</v>
      </c>
      <c r="AB56" s="20">
        <f t="shared" si="0"/>
        <v>6</v>
      </c>
      <c r="AC56" s="21">
        <f t="shared" si="1"/>
        <v>6</v>
      </c>
      <c r="AD56" s="22" t="str">
        <f t="shared" si="2"/>
        <v>ÚTIL</v>
      </c>
      <c r="AE56" s="19"/>
      <c r="AF56" s="24"/>
      <c r="AG56" s="24"/>
      <c r="AH56" s="9"/>
    </row>
    <row r="57" spans="11:34" hidden="1" x14ac:dyDescent="0.25">
      <c r="O57" s="4" t="s">
        <v>150</v>
      </c>
      <c r="P57" s="4" t="s">
        <v>209</v>
      </c>
      <c r="AA57" s="19">
        <f t="shared" si="3"/>
        <v>43155</v>
      </c>
      <c r="AB57" s="20">
        <f t="shared" si="0"/>
        <v>7</v>
      </c>
      <c r="AC57" s="21">
        <f t="shared" si="1"/>
        <v>7</v>
      </c>
      <c r="AD57" s="22" t="str">
        <f t="shared" si="2"/>
        <v>NÃO ÚTIL</v>
      </c>
      <c r="AE57" s="19"/>
      <c r="AF57" s="24"/>
      <c r="AG57" s="24"/>
      <c r="AH57" s="9"/>
    </row>
    <row r="58" spans="11:34" hidden="1" x14ac:dyDescent="0.25">
      <c r="L58" s="29" t="s">
        <v>3972</v>
      </c>
      <c r="M58" s="4" t="s">
        <v>3973</v>
      </c>
      <c r="O58" s="4" t="s">
        <v>152</v>
      </c>
      <c r="P58" s="4" t="s">
        <v>515</v>
      </c>
      <c r="AA58" s="19">
        <f t="shared" si="3"/>
        <v>43156</v>
      </c>
      <c r="AB58" s="20">
        <f t="shared" si="0"/>
        <v>1</v>
      </c>
      <c r="AC58" s="21">
        <f t="shared" si="1"/>
        <v>1</v>
      </c>
      <c r="AD58" s="22" t="str">
        <f t="shared" si="2"/>
        <v>NÃO ÚTIL</v>
      </c>
      <c r="AE58" s="19"/>
      <c r="AF58" s="24"/>
      <c r="AG58" s="24"/>
      <c r="AH58" s="9"/>
    </row>
    <row r="59" spans="11:34" hidden="1" x14ac:dyDescent="0.25">
      <c r="L59" s="29" t="s">
        <v>3974</v>
      </c>
      <c r="M59" s="4" t="s">
        <v>3975</v>
      </c>
      <c r="O59" s="4" t="s">
        <v>154</v>
      </c>
      <c r="P59" s="4" t="s">
        <v>659</v>
      </c>
      <c r="AA59" s="19">
        <f t="shared" si="3"/>
        <v>43157</v>
      </c>
      <c r="AB59" s="20">
        <f t="shared" si="0"/>
        <v>2</v>
      </c>
      <c r="AC59" s="21">
        <f t="shared" si="1"/>
        <v>2</v>
      </c>
      <c r="AD59" s="22" t="str">
        <f t="shared" si="2"/>
        <v>ÚTIL</v>
      </c>
      <c r="AE59" s="19"/>
      <c r="AF59" s="24"/>
      <c r="AG59" s="24"/>
      <c r="AH59" s="9"/>
    </row>
    <row r="60" spans="11:34" hidden="1" x14ac:dyDescent="0.25">
      <c r="L60" s="29" t="s">
        <v>3977</v>
      </c>
      <c r="M60" s="4" t="s">
        <v>3976</v>
      </c>
      <c r="O60" s="4" t="s">
        <v>156</v>
      </c>
      <c r="P60" s="4" t="s">
        <v>423</v>
      </c>
      <c r="AA60" s="19">
        <f t="shared" si="3"/>
        <v>43158</v>
      </c>
      <c r="AB60" s="20">
        <f t="shared" si="0"/>
        <v>3</v>
      </c>
      <c r="AC60" s="21">
        <f t="shared" si="1"/>
        <v>3</v>
      </c>
      <c r="AD60" s="22" t="str">
        <f t="shared" si="2"/>
        <v>ÚTIL</v>
      </c>
      <c r="AE60" s="19"/>
      <c r="AF60" s="24"/>
      <c r="AG60" s="24"/>
      <c r="AH60" s="9"/>
    </row>
    <row r="61" spans="11:34" hidden="1" x14ac:dyDescent="0.25">
      <c r="L61" s="29" t="s">
        <v>3978</v>
      </c>
      <c r="M61" s="4" t="s">
        <v>3979</v>
      </c>
      <c r="O61" s="4" t="s">
        <v>158</v>
      </c>
      <c r="P61" s="4" t="s">
        <v>609</v>
      </c>
      <c r="AA61" s="19">
        <f t="shared" si="3"/>
        <v>43159</v>
      </c>
      <c r="AB61" s="20">
        <f t="shared" si="0"/>
        <v>4</v>
      </c>
      <c r="AC61" s="21">
        <f t="shared" si="1"/>
        <v>4</v>
      </c>
      <c r="AD61" s="22" t="str">
        <f t="shared" si="2"/>
        <v>ÚTIL</v>
      </c>
      <c r="AE61" s="19"/>
      <c r="AF61" s="24"/>
      <c r="AG61" s="24"/>
      <c r="AH61" s="9"/>
    </row>
    <row r="62" spans="11:34" ht="15" hidden="1" customHeight="1" x14ac:dyDescent="0.25">
      <c r="K62" s="39" t="s">
        <v>4005</v>
      </c>
      <c r="L62" s="29" t="s">
        <v>3980</v>
      </c>
      <c r="M62" s="4" t="s">
        <v>3983</v>
      </c>
      <c r="O62" s="4" t="s">
        <v>160</v>
      </c>
      <c r="P62" s="4" t="s">
        <v>589</v>
      </c>
      <c r="AA62" s="19">
        <f t="shared" si="3"/>
        <v>43160</v>
      </c>
      <c r="AB62" s="20">
        <f t="shared" si="0"/>
        <v>5</v>
      </c>
      <c r="AC62" s="21">
        <f t="shared" si="1"/>
        <v>5</v>
      </c>
      <c r="AD62" s="22" t="str">
        <f t="shared" si="2"/>
        <v>ÚTIL</v>
      </c>
      <c r="AE62" s="19"/>
      <c r="AF62" s="24"/>
      <c r="AG62" s="24"/>
      <c r="AH62" s="9"/>
    </row>
    <row r="63" spans="11:34" ht="19.5" hidden="1" customHeight="1" x14ac:dyDescent="0.25">
      <c r="K63" s="39" t="s">
        <v>4006</v>
      </c>
      <c r="L63" s="29" t="s">
        <v>3981</v>
      </c>
      <c r="M63" s="4" t="s">
        <v>3984</v>
      </c>
      <c r="O63" s="4" t="s">
        <v>162</v>
      </c>
      <c r="P63" s="4" t="s">
        <v>271</v>
      </c>
      <c r="AA63" s="19">
        <f t="shared" si="3"/>
        <v>43161</v>
      </c>
      <c r="AB63" s="20">
        <f t="shared" si="0"/>
        <v>6</v>
      </c>
      <c r="AC63" s="21">
        <f t="shared" si="1"/>
        <v>6</v>
      </c>
      <c r="AD63" s="22" t="str">
        <f t="shared" si="2"/>
        <v>ÚTIL</v>
      </c>
      <c r="AE63" s="19"/>
      <c r="AF63" s="24"/>
      <c r="AG63" s="24"/>
      <c r="AH63" s="9"/>
    </row>
    <row r="64" spans="11:34" hidden="1" x14ac:dyDescent="0.25">
      <c r="K64"/>
      <c r="O64" s="4" t="s">
        <v>164</v>
      </c>
      <c r="P64" s="4" t="s">
        <v>475</v>
      </c>
      <c r="AA64" s="19">
        <f t="shared" si="3"/>
        <v>43162</v>
      </c>
      <c r="AB64" s="20">
        <f t="shared" si="0"/>
        <v>7</v>
      </c>
      <c r="AC64" s="21">
        <f t="shared" si="1"/>
        <v>7</v>
      </c>
      <c r="AD64" s="22" t="str">
        <f t="shared" si="2"/>
        <v>NÃO ÚTIL</v>
      </c>
      <c r="AE64" s="19"/>
      <c r="AF64" s="24"/>
      <c r="AG64" s="24"/>
      <c r="AH64" s="9"/>
    </row>
    <row r="65" spans="11:34" hidden="1" x14ac:dyDescent="0.25">
      <c r="K65" s="39" t="s">
        <v>4005</v>
      </c>
      <c r="L65" s="35" t="s">
        <v>4007</v>
      </c>
      <c r="M65" s="34" t="s">
        <v>4004</v>
      </c>
      <c r="O65" s="4" t="s">
        <v>166</v>
      </c>
      <c r="P65" s="4" t="s">
        <v>591</v>
      </c>
      <c r="AA65" s="19">
        <f t="shared" si="3"/>
        <v>43163</v>
      </c>
      <c r="AB65" s="20">
        <f t="shared" si="0"/>
        <v>1</v>
      </c>
      <c r="AC65" s="21">
        <f t="shared" si="1"/>
        <v>1</v>
      </c>
      <c r="AD65" s="22" t="str">
        <f t="shared" si="2"/>
        <v>NÃO ÚTIL</v>
      </c>
      <c r="AE65" s="19"/>
      <c r="AF65" s="24"/>
      <c r="AG65" s="24"/>
      <c r="AH65" s="9"/>
    </row>
    <row r="66" spans="11:34" hidden="1" x14ac:dyDescent="0.25">
      <c r="K66"/>
      <c r="L66"/>
      <c r="M66"/>
      <c r="O66" s="4" t="s">
        <v>168</v>
      </c>
      <c r="P66" s="4" t="s">
        <v>333</v>
      </c>
      <c r="AA66" s="19">
        <f t="shared" si="3"/>
        <v>43164</v>
      </c>
      <c r="AB66" s="20">
        <f t="shared" si="0"/>
        <v>2</v>
      </c>
      <c r="AC66" s="21">
        <f t="shared" si="1"/>
        <v>2</v>
      </c>
      <c r="AD66" s="22" t="str">
        <f t="shared" si="2"/>
        <v>ÚTIL</v>
      </c>
      <c r="AE66" s="19"/>
      <c r="AF66" s="24"/>
      <c r="AG66" s="24"/>
      <c r="AH66" s="9"/>
    </row>
    <row r="67" spans="11:34" hidden="1" x14ac:dyDescent="0.25">
      <c r="K67"/>
      <c r="L67"/>
      <c r="M67"/>
      <c r="O67" s="4" t="s">
        <v>170</v>
      </c>
      <c r="P67" s="4" t="s">
        <v>635</v>
      </c>
      <c r="AA67" s="19">
        <f t="shared" si="3"/>
        <v>43165</v>
      </c>
      <c r="AB67" s="20">
        <f t="shared" ref="AB67:AB130" si="8">AC67</f>
        <v>3</v>
      </c>
      <c r="AC67" s="21">
        <f t="shared" ref="AC67:AC130" si="9">WEEKDAY(AA67)</f>
        <v>3</v>
      </c>
      <c r="AD67" s="22" t="str">
        <f t="shared" ref="AD67:AD130" si="10">IF(WORKDAY(AA67-1,1,$AE$3:$AE$14)=AA67,"ÚTIL","NÃO ÚTIL")</f>
        <v>ÚTIL</v>
      </c>
      <c r="AE67" s="19"/>
      <c r="AF67" s="24"/>
      <c r="AG67" s="24"/>
      <c r="AH67" s="9"/>
    </row>
    <row r="68" spans="11:34" hidden="1" x14ac:dyDescent="0.25">
      <c r="K68"/>
      <c r="L68"/>
      <c r="M68"/>
      <c r="O68" s="4" t="s">
        <v>172</v>
      </c>
      <c r="P68" s="4" t="s">
        <v>577</v>
      </c>
      <c r="AA68" s="19">
        <f t="shared" ref="AA68:AA131" si="11">AA67+1</f>
        <v>43166</v>
      </c>
      <c r="AB68" s="20">
        <f t="shared" si="8"/>
        <v>4</v>
      </c>
      <c r="AC68" s="21">
        <f t="shared" si="9"/>
        <v>4</v>
      </c>
      <c r="AD68" s="22" t="str">
        <f t="shared" si="10"/>
        <v>ÚTIL</v>
      </c>
      <c r="AE68" s="19"/>
      <c r="AF68" s="24"/>
      <c r="AG68" s="24"/>
      <c r="AH68" s="9"/>
    </row>
    <row r="69" spans="11:34" hidden="1" x14ac:dyDescent="0.25">
      <c r="K69"/>
      <c r="L69"/>
      <c r="M69" s="45"/>
      <c r="O69" s="4" t="s">
        <v>174</v>
      </c>
      <c r="P69" s="4" t="s">
        <v>445</v>
      </c>
      <c r="AA69" s="19">
        <f t="shared" si="11"/>
        <v>43167</v>
      </c>
      <c r="AB69" s="20">
        <f t="shared" si="8"/>
        <v>5</v>
      </c>
      <c r="AC69" s="21">
        <f t="shared" si="9"/>
        <v>5</v>
      </c>
      <c r="AD69" s="22" t="str">
        <f t="shared" si="10"/>
        <v>ÚTIL</v>
      </c>
      <c r="AE69" s="25"/>
      <c r="AF69" s="24"/>
      <c r="AG69" s="24"/>
      <c r="AH69" s="9"/>
    </row>
    <row r="70" spans="11:34" hidden="1" x14ac:dyDescent="0.25">
      <c r="K70"/>
      <c r="L70"/>
      <c r="M70"/>
      <c r="O70" s="4" t="s">
        <v>176</v>
      </c>
      <c r="P70" s="4" t="s">
        <v>501</v>
      </c>
      <c r="AA70" s="19">
        <f t="shared" si="11"/>
        <v>43168</v>
      </c>
      <c r="AB70" s="20">
        <f t="shared" si="8"/>
        <v>6</v>
      </c>
      <c r="AC70" s="21">
        <f t="shared" si="9"/>
        <v>6</v>
      </c>
      <c r="AD70" s="22" t="str">
        <f t="shared" si="10"/>
        <v>ÚTIL</v>
      </c>
      <c r="AE70" s="25"/>
      <c r="AF70" s="24"/>
      <c r="AG70" s="24"/>
      <c r="AH70" s="9"/>
    </row>
    <row r="71" spans="11:34" hidden="1" x14ac:dyDescent="0.25">
      <c r="K71"/>
      <c r="L71"/>
      <c r="M71"/>
      <c r="O71" s="4" t="s">
        <v>178</v>
      </c>
      <c r="P71" s="4" t="s">
        <v>161</v>
      </c>
      <c r="AA71" s="19">
        <f t="shared" si="11"/>
        <v>43169</v>
      </c>
      <c r="AB71" s="20">
        <f t="shared" si="8"/>
        <v>7</v>
      </c>
      <c r="AC71" s="21">
        <f t="shared" si="9"/>
        <v>7</v>
      </c>
      <c r="AD71" s="22" t="str">
        <f t="shared" si="10"/>
        <v>NÃO ÚTIL</v>
      </c>
      <c r="AE71" s="25"/>
      <c r="AF71" s="24"/>
      <c r="AG71" s="24"/>
      <c r="AH71" s="9"/>
    </row>
    <row r="72" spans="11:34" hidden="1" x14ac:dyDescent="0.25">
      <c r="K72"/>
      <c r="L72"/>
      <c r="M72"/>
      <c r="O72" s="4" t="s">
        <v>180</v>
      </c>
      <c r="P72" s="4" t="s">
        <v>661</v>
      </c>
      <c r="AA72" s="19">
        <f t="shared" si="11"/>
        <v>43170</v>
      </c>
      <c r="AB72" s="20">
        <f t="shared" si="8"/>
        <v>1</v>
      </c>
      <c r="AC72" s="21">
        <f t="shared" si="9"/>
        <v>1</v>
      </c>
      <c r="AD72" s="22" t="str">
        <f t="shared" si="10"/>
        <v>NÃO ÚTIL</v>
      </c>
      <c r="AE72" s="25"/>
      <c r="AF72" s="24"/>
      <c r="AG72" s="24"/>
      <c r="AH72" s="9"/>
    </row>
    <row r="73" spans="11:34" hidden="1" x14ac:dyDescent="0.25">
      <c r="K73"/>
      <c r="L73"/>
      <c r="M73"/>
      <c r="O73" s="4" t="s">
        <v>182</v>
      </c>
      <c r="P73" s="4" t="s">
        <v>637</v>
      </c>
      <c r="AA73" s="19">
        <f t="shared" si="11"/>
        <v>43171</v>
      </c>
      <c r="AB73" s="20">
        <f t="shared" si="8"/>
        <v>2</v>
      </c>
      <c r="AC73" s="21">
        <f t="shared" si="9"/>
        <v>2</v>
      </c>
      <c r="AD73" s="22" t="str">
        <f t="shared" si="10"/>
        <v>ÚTIL</v>
      </c>
      <c r="AE73" s="25"/>
      <c r="AF73" s="24"/>
      <c r="AG73" s="24"/>
      <c r="AH73" s="9"/>
    </row>
    <row r="74" spans="11:34" hidden="1" x14ac:dyDescent="0.25">
      <c r="K74"/>
      <c r="L74"/>
      <c r="M74"/>
      <c r="O74" s="4" t="s">
        <v>184</v>
      </c>
      <c r="P74" s="4" t="s">
        <v>403</v>
      </c>
      <c r="AA74" s="19">
        <f t="shared" si="11"/>
        <v>43172</v>
      </c>
      <c r="AB74" s="20">
        <f t="shared" si="8"/>
        <v>3</v>
      </c>
      <c r="AC74" s="21">
        <f t="shared" si="9"/>
        <v>3</v>
      </c>
      <c r="AD74" s="22" t="str">
        <f t="shared" si="10"/>
        <v>ÚTIL</v>
      </c>
      <c r="AE74" s="25"/>
      <c r="AF74" s="24"/>
      <c r="AG74" s="24"/>
      <c r="AH74" s="9"/>
    </row>
    <row r="75" spans="11:34" hidden="1" x14ac:dyDescent="0.25">
      <c r="K75"/>
      <c r="L75"/>
      <c r="M75"/>
      <c r="O75" s="4" t="s">
        <v>186</v>
      </c>
      <c r="P75" s="4" t="s">
        <v>503</v>
      </c>
      <c r="AA75" s="19">
        <f t="shared" si="11"/>
        <v>43173</v>
      </c>
      <c r="AB75" s="20">
        <f t="shared" si="8"/>
        <v>4</v>
      </c>
      <c r="AC75" s="21">
        <f t="shared" si="9"/>
        <v>4</v>
      </c>
      <c r="AD75" s="22" t="str">
        <f t="shared" si="10"/>
        <v>ÚTIL</v>
      </c>
      <c r="AE75" s="25"/>
      <c r="AF75" s="24"/>
      <c r="AG75" s="24"/>
      <c r="AH75" s="9"/>
    </row>
    <row r="76" spans="11:34" hidden="1" x14ac:dyDescent="0.25">
      <c r="O76" s="4" t="s">
        <v>188</v>
      </c>
      <c r="P76" s="4" t="s">
        <v>569</v>
      </c>
      <c r="AA76" s="19">
        <f t="shared" si="11"/>
        <v>43174</v>
      </c>
      <c r="AB76" s="20">
        <f t="shared" si="8"/>
        <v>5</v>
      </c>
      <c r="AC76" s="21">
        <f t="shared" si="9"/>
        <v>5</v>
      </c>
      <c r="AD76" s="22" t="str">
        <f t="shared" si="10"/>
        <v>ÚTIL</v>
      </c>
      <c r="AE76" s="25"/>
      <c r="AF76" s="24"/>
      <c r="AG76" s="24"/>
      <c r="AH76" s="9"/>
    </row>
    <row r="77" spans="11:34" hidden="1" x14ac:dyDescent="0.25">
      <c r="O77" s="4" t="s">
        <v>190</v>
      </c>
      <c r="P77" s="4" t="s">
        <v>283</v>
      </c>
      <c r="AA77" s="19">
        <f t="shared" si="11"/>
        <v>43175</v>
      </c>
      <c r="AB77" s="20">
        <f t="shared" si="8"/>
        <v>6</v>
      </c>
      <c r="AC77" s="21">
        <f t="shared" si="9"/>
        <v>6</v>
      </c>
      <c r="AD77" s="22" t="str">
        <f t="shared" si="10"/>
        <v>ÚTIL</v>
      </c>
      <c r="AE77" s="25"/>
      <c r="AF77" s="24"/>
      <c r="AG77" s="24"/>
      <c r="AH77" s="9"/>
    </row>
    <row r="78" spans="11:34" hidden="1" x14ac:dyDescent="0.25">
      <c r="O78" s="4" t="s">
        <v>192</v>
      </c>
      <c r="P78" s="4" t="s">
        <v>663</v>
      </c>
      <c r="AA78" s="19">
        <f t="shared" si="11"/>
        <v>43176</v>
      </c>
      <c r="AB78" s="20">
        <f t="shared" si="8"/>
        <v>7</v>
      </c>
      <c r="AC78" s="21">
        <f t="shared" si="9"/>
        <v>7</v>
      </c>
      <c r="AD78" s="22" t="str">
        <f t="shared" si="10"/>
        <v>NÃO ÚTIL</v>
      </c>
      <c r="AE78" s="25"/>
      <c r="AF78" s="24"/>
      <c r="AG78" s="24"/>
      <c r="AH78" s="9"/>
    </row>
    <row r="79" spans="11:34" hidden="1" x14ac:dyDescent="0.25">
      <c r="O79" s="4" t="s">
        <v>194</v>
      </c>
      <c r="P79" s="4" t="s">
        <v>621</v>
      </c>
      <c r="AA79" s="19">
        <f t="shared" si="11"/>
        <v>43177</v>
      </c>
      <c r="AB79" s="20">
        <f t="shared" si="8"/>
        <v>1</v>
      </c>
      <c r="AC79" s="21">
        <f t="shared" si="9"/>
        <v>1</v>
      </c>
      <c r="AD79" s="22" t="str">
        <f t="shared" si="10"/>
        <v>NÃO ÚTIL</v>
      </c>
      <c r="AE79" s="25"/>
      <c r="AF79" s="24"/>
      <c r="AG79" s="24"/>
      <c r="AH79" s="9"/>
    </row>
    <row r="80" spans="11:34" hidden="1" x14ac:dyDescent="0.25">
      <c r="O80" s="4" t="s">
        <v>196</v>
      </c>
      <c r="P80" s="4" t="s">
        <v>623</v>
      </c>
      <c r="AA80" s="19">
        <f t="shared" si="11"/>
        <v>43178</v>
      </c>
      <c r="AB80" s="20">
        <f t="shared" si="8"/>
        <v>2</v>
      </c>
      <c r="AC80" s="21">
        <f t="shared" si="9"/>
        <v>2</v>
      </c>
      <c r="AD80" s="22" t="str">
        <f t="shared" si="10"/>
        <v>ÚTIL</v>
      </c>
      <c r="AE80" s="25"/>
      <c r="AF80" s="24"/>
      <c r="AG80" s="24"/>
      <c r="AH80" s="9"/>
    </row>
    <row r="81" spans="15:34" hidden="1" x14ac:dyDescent="0.25">
      <c r="O81" s="4" t="s">
        <v>198</v>
      </c>
      <c r="P81" s="4" t="s">
        <v>191</v>
      </c>
      <c r="AA81" s="19">
        <f t="shared" si="11"/>
        <v>43179</v>
      </c>
      <c r="AB81" s="20">
        <f t="shared" si="8"/>
        <v>3</v>
      </c>
      <c r="AC81" s="21">
        <f t="shared" si="9"/>
        <v>3</v>
      </c>
      <c r="AD81" s="22" t="str">
        <f t="shared" si="10"/>
        <v>ÚTIL</v>
      </c>
      <c r="AE81" s="25"/>
      <c r="AF81" s="24"/>
      <c r="AG81" s="24"/>
      <c r="AH81" s="9"/>
    </row>
    <row r="82" spans="15:34" hidden="1" x14ac:dyDescent="0.25">
      <c r="O82" s="4" t="s">
        <v>200</v>
      </c>
      <c r="P82" s="4" t="s">
        <v>593</v>
      </c>
      <c r="AA82" s="19">
        <f t="shared" si="11"/>
        <v>43180</v>
      </c>
      <c r="AB82" s="20">
        <f t="shared" si="8"/>
        <v>4</v>
      </c>
      <c r="AC82" s="21">
        <f t="shared" si="9"/>
        <v>4</v>
      </c>
      <c r="AD82" s="22" t="str">
        <f t="shared" si="10"/>
        <v>ÚTIL</v>
      </c>
      <c r="AE82" s="25"/>
      <c r="AF82" s="24"/>
      <c r="AG82" s="24"/>
      <c r="AH82" s="9"/>
    </row>
    <row r="83" spans="15:34" hidden="1" x14ac:dyDescent="0.25">
      <c r="O83" s="4" t="s">
        <v>202</v>
      </c>
      <c r="P83" s="4" t="s">
        <v>549</v>
      </c>
      <c r="AA83" s="19">
        <f t="shared" si="11"/>
        <v>43181</v>
      </c>
      <c r="AB83" s="20">
        <f t="shared" si="8"/>
        <v>5</v>
      </c>
      <c r="AC83" s="21">
        <f t="shared" si="9"/>
        <v>5</v>
      </c>
      <c r="AD83" s="22" t="str">
        <f t="shared" si="10"/>
        <v>ÚTIL</v>
      </c>
      <c r="AE83" s="25"/>
      <c r="AF83" s="24"/>
      <c r="AG83" s="24"/>
      <c r="AH83" s="9"/>
    </row>
    <row r="84" spans="15:34" hidden="1" x14ac:dyDescent="0.25">
      <c r="O84" s="4" t="s">
        <v>204</v>
      </c>
      <c r="P84" s="4" t="s">
        <v>505</v>
      </c>
      <c r="AA84" s="19">
        <f t="shared" si="11"/>
        <v>43182</v>
      </c>
      <c r="AB84" s="20">
        <f t="shared" si="8"/>
        <v>6</v>
      </c>
      <c r="AC84" s="21">
        <f t="shared" si="9"/>
        <v>6</v>
      </c>
      <c r="AD84" s="22" t="str">
        <f t="shared" si="10"/>
        <v>ÚTIL</v>
      </c>
      <c r="AE84" s="25"/>
      <c r="AF84" s="24"/>
      <c r="AG84" s="24"/>
      <c r="AH84" s="9"/>
    </row>
    <row r="85" spans="15:34" hidden="1" x14ac:dyDescent="0.25">
      <c r="O85" s="4" t="s">
        <v>206</v>
      </c>
      <c r="P85" s="4" t="s">
        <v>447</v>
      </c>
      <c r="AA85" s="19">
        <f t="shared" si="11"/>
        <v>43183</v>
      </c>
      <c r="AB85" s="20">
        <f t="shared" si="8"/>
        <v>7</v>
      </c>
      <c r="AC85" s="21">
        <f t="shared" si="9"/>
        <v>7</v>
      </c>
      <c r="AD85" s="22" t="str">
        <f t="shared" si="10"/>
        <v>NÃO ÚTIL</v>
      </c>
      <c r="AE85" s="25"/>
      <c r="AF85" s="24"/>
      <c r="AG85" s="24"/>
      <c r="AH85" s="9"/>
    </row>
    <row r="86" spans="15:34" hidden="1" x14ac:dyDescent="0.25">
      <c r="O86" s="4" t="s">
        <v>208</v>
      </c>
      <c r="P86" s="4" t="s">
        <v>665</v>
      </c>
      <c r="AA86" s="19">
        <f t="shared" si="11"/>
        <v>43184</v>
      </c>
      <c r="AB86" s="20">
        <f t="shared" si="8"/>
        <v>1</v>
      </c>
      <c r="AC86" s="21">
        <f t="shared" si="9"/>
        <v>1</v>
      </c>
      <c r="AD86" s="22" t="str">
        <f t="shared" si="10"/>
        <v>NÃO ÚTIL</v>
      </c>
      <c r="AE86" s="25"/>
      <c r="AF86" s="24"/>
      <c r="AG86" s="24"/>
      <c r="AH86" s="9"/>
    </row>
    <row r="87" spans="15:34" hidden="1" x14ac:dyDescent="0.25">
      <c r="O87" s="4" t="s">
        <v>210</v>
      </c>
      <c r="P87" s="4" t="s">
        <v>565</v>
      </c>
      <c r="AA87" s="19">
        <f t="shared" si="11"/>
        <v>43185</v>
      </c>
      <c r="AB87" s="20">
        <f t="shared" si="8"/>
        <v>2</v>
      </c>
      <c r="AC87" s="21">
        <f t="shared" si="9"/>
        <v>2</v>
      </c>
      <c r="AD87" s="22" t="str">
        <f t="shared" si="10"/>
        <v>ÚTIL</v>
      </c>
      <c r="AE87" s="25"/>
      <c r="AF87" s="24"/>
      <c r="AG87" s="24"/>
      <c r="AH87" s="9"/>
    </row>
    <row r="88" spans="15:34" hidden="1" x14ac:dyDescent="0.25">
      <c r="O88" s="4" t="s">
        <v>212</v>
      </c>
      <c r="P88" s="4" t="s">
        <v>231</v>
      </c>
      <c r="AA88" s="19">
        <f t="shared" si="11"/>
        <v>43186</v>
      </c>
      <c r="AB88" s="20">
        <f t="shared" si="8"/>
        <v>3</v>
      </c>
      <c r="AC88" s="21">
        <f t="shared" si="9"/>
        <v>3</v>
      </c>
      <c r="AD88" s="22" t="str">
        <f t="shared" si="10"/>
        <v>ÚTIL</v>
      </c>
      <c r="AE88" s="25"/>
      <c r="AF88" s="24"/>
      <c r="AG88" s="24"/>
      <c r="AH88" s="9"/>
    </row>
    <row r="89" spans="15:34" hidden="1" x14ac:dyDescent="0.25">
      <c r="O89" s="4" t="s">
        <v>214</v>
      </c>
      <c r="P89" s="4" t="s">
        <v>325</v>
      </c>
      <c r="AA89" s="19">
        <f t="shared" si="11"/>
        <v>43187</v>
      </c>
      <c r="AB89" s="20">
        <f t="shared" si="8"/>
        <v>4</v>
      </c>
      <c r="AC89" s="21">
        <f t="shared" si="9"/>
        <v>4</v>
      </c>
      <c r="AD89" s="22" t="str">
        <f t="shared" si="10"/>
        <v>ÚTIL</v>
      </c>
      <c r="AE89" s="25"/>
      <c r="AF89" s="24"/>
      <c r="AG89" s="24"/>
      <c r="AH89" s="9"/>
    </row>
    <row r="90" spans="15:34" hidden="1" x14ac:dyDescent="0.25">
      <c r="O90" s="4" t="s">
        <v>216</v>
      </c>
      <c r="P90" s="4" t="s">
        <v>521</v>
      </c>
      <c r="AA90" s="19">
        <f t="shared" si="11"/>
        <v>43188</v>
      </c>
      <c r="AB90" s="20">
        <f t="shared" si="8"/>
        <v>5</v>
      </c>
      <c r="AC90" s="21">
        <f t="shared" si="9"/>
        <v>5</v>
      </c>
      <c r="AD90" s="22" t="str">
        <f t="shared" si="10"/>
        <v>ÚTIL</v>
      </c>
      <c r="AE90" s="25"/>
      <c r="AF90" s="24"/>
      <c r="AG90" s="24"/>
      <c r="AH90" s="9"/>
    </row>
    <row r="91" spans="15:34" hidden="1" x14ac:dyDescent="0.25">
      <c r="O91" s="4" t="s">
        <v>218</v>
      </c>
      <c r="P91" s="4" t="s">
        <v>341</v>
      </c>
      <c r="AA91" s="19">
        <f t="shared" si="11"/>
        <v>43189</v>
      </c>
      <c r="AB91" s="20">
        <f t="shared" si="8"/>
        <v>6</v>
      </c>
      <c r="AC91" s="21">
        <f t="shared" si="9"/>
        <v>6</v>
      </c>
      <c r="AD91" s="22" t="str">
        <f t="shared" si="10"/>
        <v>NÃO ÚTIL</v>
      </c>
      <c r="AE91" s="25"/>
      <c r="AF91" s="24"/>
      <c r="AG91" s="24"/>
      <c r="AH91" s="9"/>
    </row>
    <row r="92" spans="15:34" hidden="1" x14ac:dyDescent="0.25">
      <c r="O92" s="4" t="s">
        <v>220</v>
      </c>
      <c r="P92" s="4" t="s">
        <v>667</v>
      </c>
      <c r="AA92" s="19">
        <f t="shared" si="11"/>
        <v>43190</v>
      </c>
      <c r="AB92" s="20">
        <f t="shared" si="8"/>
        <v>7</v>
      </c>
      <c r="AC92" s="21">
        <f t="shared" si="9"/>
        <v>7</v>
      </c>
      <c r="AD92" s="22" t="str">
        <f t="shared" si="10"/>
        <v>NÃO ÚTIL</v>
      </c>
      <c r="AE92" s="25"/>
      <c r="AF92" s="24"/>
      <c r="AG92" s="24"/>
      <c r="AH92" s="9"/>
    </row>
    <row r="93" spans="15:34" hidden="1" x14ac:dyDescent="0.25">
      <c r="O93" s="4" t="s">
        <v>222</v>
      </c>
      <c r="P93" s="4" t="s">
        <v>751</v>
      </c>
      <c r="AA93" s="19">
        <f t="shared" si="11"/>
        <v>43191</v>
      </c>
      <c r="AB93" s="20">
        <f t="shared" si="8"/>
        <v>1</v>
      </c>
      <c r="AC93" s="21">
        <f t="shared" si="9"/>
        <v>1</v>
      </c>
      <c r="AD93" s="22" t="str">
        <f t="shared" si="10"/>
        <v>NÃO ÚTIL</v>
      </c>
      <c r="AE93" s="25"/>
      <c r="AF93" s="24"/>
      <c r="AG93" s="24"/>
      <c r="AH93" s="9"/>
    </row>
    <row r="94" spans="15:34" hidden="1" x14ac:dyDescent="0.25">
      <c r="O94" s="4" t="s">
        <v>224</v>
      </c>
      <c r="P94" s="4" t="s">
        <v>669</v>
      </c>
      <c r="AA94" s="19">
        <f t="shared" si="11"/>
        <v>43192</v>
      </c>
      <c r="AB94" s="20">
        <f t="shared" si="8"/>
        <v>2</v>
      </c>
      <c r="AC94" s="21">
        <f t="shared" si="9"/>
        <v>2</v>
      </c>
      <c r="AD94" s="22" t="str">
        <f t="shared" si="10"/>
        <v>ÚTIL</v>
      </c>
      <c r="AE94" s="25"/>
      <c r="AF94" s="24"/>
      <c r="AG94" s="24"/>
      <c r="AH94" s="9"/>
    </row>
    <row r="95" spans="15:34" hidden="1" x14ac:dyDescent="0.25">
      <c r="O95" s="4" t="s">
        <v>226</v>
      </c>
      <c r="P95" s="4" t="s">
        <v>507</v>
      </c>
      <c r="AA95" s="19">
        <f t="shared" si="11"/>
        <v>43193</v>
      </c>
      <c r="AB95" s="20">
        <f t="shared" si="8"/>
        <v>3</v>
      </c>
      <c r="AC95" s="21">
        <f t="shared" si="9"/>
        <v>3</v>
      </c>
      <c r="AD95" s="22" t="str">
        <f t="shared" si="10"/>
        <v>ÚTIL</v>
      </c>
      <c r="AE95" s="25"/>
      <c r="AF95" s="24"/>
      <c r="AG95" s="24"/>
      <c r="AH95" s="9"/>
    </row>
    <row r="96" spans="15:34" hidden="1" x14ac:dyDescent="0.25">
      <c r="O96" s="4" t="s">
        <v>228</v>
      </c>
      <c r="P96" s="4" t="s">
        <v>91</v>
      </c>
      <c r="AA96" s="19">
        <f t="shared" si="11"/>
        <v>43194</v>
      </c>
      <c r="AB96" s="20">
        <f t="shared" si="8"/>
        <v>4</v>
      </c>
      <c r="AC96" s="21">
        <f t="shared" si="9"/>
        <v>4</v>
      </c>
      <c r="AD96" s="22" t="str">
        <f t="shared" si="10"/>
        <v>ÚTIL</v>
      </c>
      <c r="AE96" s="25"/>
      <c r="AF96" s="24"/>
      <c r="AG96" s="24"/>
      <c r="AH96" s="9"/>
    </row>
    <row r="97" spans="15:34" hidden="1" x14ac:dyDescent="0.25">
      <c r="O97" s="4" t="s">
        <v>230</v>
      </c>
      <c r="P97" s="4" t="s">
        <v>425</v>
      </c>
      <c r="AA97" s="19">
        <f t="shared" si="11"/>
        <v>43195</v>
      </c>
      <c r="AB97" s="20">
        <f t="shared" si="8"/>
        <v>5</v>
      </c>
      <c r="AC97" s="21">
        <f t="shared" si="9"/>
        <v>5</v>
      </c>
      <c r="AD97" s="22" t="str">
        <f t="shared" si="10"/>
        <v>ÚTIL</v>
      </c>
      <c r="AE97" s="25"/>
      <c r="AF97" s="24"/>
      <c r="AG97" s="24"/>
      <c r="AH97" s="9"/>
    </row>
    <row r="98" spans="15:34" hidden="1" x14ac:dyDescent="0.25">
      <c r="O98" s="4" t="s">
        <v>232</v>
      </c>
      <c r="P98" s="4" t="s">
        <v>611</v>
      </c>
      <c r="AA98" s="19">
        <f t="shared" si="11"/>
        <v>43196</v>
      </c>
      <c r="AB98" s="20">
        <f t="shared" si="8"/>
        <v>6</v>
      </c>
      <c r="AC98" s="21">
        <f t="shared" si="9"/>
        <v>6</v>
      </c>
      <c r="AD98" s="22" t="str">
        <f t="shared" si="10"/>
        <v>ÚTIL</v>
      </c>
      <c r="AE98" s="25"/>
      <c r="AF98" s="24"/>
      <c r="AG98" s="24"/>
      <c r="AH98" s="9"/>
    </row>
    <row r="99" spans="15:34" hidden="1" x14ac:dyDescent="0.25">
      <c r="O99" s="4" t="s">
        <v>234</v>
      </c>
      <c r="P99" s="4" t="s">
        <v>321</v>
      </c>
      <c r="AA99" s="19">
        <f t="shared" si="11"/>
        <v>43197</v>
      </c>
      <c r="AB99" s="20">
        <f t="shared" si="8"/>
        <v>7</v>
      </c>
      <c r="AC99" s="21">
        <f t="shared" si="9"/>
        <v>7</v>
      </c>
      <c r="AD99" s="22" t="str">
        <f t="shared" si="10"/>
        <v>NÃO ÚTIL</v>
      </c>
      <c r="AE99" s="25"/>
      <c r="AF99" s="24"/>
      <c r="AG99" s="24"/>
      <c r="AH99" s="9"/>
    </row>
    <row r="100" spans="15:34" hidden="1" x14ac:dyDescent="0.25">
      <c r="O100" s="4" t="s">
        <v>236</v>
      </c>
      <c r="P100" s="4" t="s">
        <v>497</v>
      </c>
      <c r="AA100" s="19">
        <f t="shared" si="11"/>
        <v>43198</v>
      </c>
      <c r="AB100" s="20">
        <f t="shared" si="8"/>
        <v>1</v>
      </c>
      <c r="AC100" s="21">
        <f t="shared" si="9"/>
        <v>1</v>
      </c>
      <c r="AD100" s="22" t="str">
        <f t="shared" si="10"/>
        <v>NÃO ÚTIL</v>
      </c>
      <c r="AE100" s="25"/>
      <c r="AF100" s="24"/>
      <c r="AG100" s="24"/>
      <c r="AH100" s="9"/>
    </row>
    <row r="101" spans="15:34" hidden="1" x14ac:dyDescent="0.25">
      <c r="O101" s="4" t="s">
        <v>238</v>
      </c>
      <c r="P101" s="4" t="s">
        <v>235</v>
      </c>
      <c r="AA101" s="19">
        <f t="shared" si="11"/>
        <v>43199</v>
      </c>
      <c r="AB101" s="20">
        <f t="shared" si="8"/>
        <v>2</v>
      </c>
      <c r="AC101" s="21">
        <f t="shared" si="9"/>
        <v>2</v>
      </c>
      <c r="AD101" s="22" t="str">
        <f t="shared" si="10"/>
        <v>ÚTIL</v>
      </c>
      <c r="AE101" s="25"/>
      <c r="AF101" s="24"/>
      <c r="AG101" s="24"/>
      <c r="AH101" s="9"/>
    </row>
    <row r="102" spans="15:34" hidden="1" x14ac:dyDescent="0.25">
      <c r="O102" s="4" t="s">
        <v>240</v>
      </c>
      <c r="P102" s="4" t="s">
        <v>673</v>
      </c>
      <c r="AA102" s="19">
        <f t="shared" si="11"/>
        <v>43200</v>
      </c>
      <c r="AB102" s="20">
        <f t="shared" si="8"/>
        <v>3</v>
      </c>
      <c r="AC102" s="21">
        <f t="shared" si="9"/>
        <v>3</v>
      </c>
      <c r="AD102" s="22" t="str">
        <f t="shared" si="10"/>
        <v>ÚTIL</v>
      </c>
      <c r="AE102" s="25"/>
      <c r="AF102" s="24"/>
      <c r="AG102" s="24"/>
      <c r="AH102" s="9"/>
    </row>
    <row r="103" spans="15:34" hidden="1" x14ac:dyDescent="0.25">
      <c r="O103" s="4" t="s">
        <v>242</v>
      </c>
      <c r="P103" s="4" t="s">
        <v>171</v>
      </c>
      <c r="AA103" s="19">
        <f t="shared" si="11"/>
        <v>43201</v>
      </c>
      <c r="AB103" s="20">
        <f t="shared" si="8"/>
        <v>4</v>
      </c>
      <c r="AC103" s="21">
        <f t="shared" si="9"/>
        <v>4</v>
      </c>
      <c r="AD103" s="22" t="str">
        <f t="shared" si="10"/>
        <v>ÚTIL</v>
      </c>
      <c r="AE103" s="25"/>
      <c r="AF103" s="24"/>
      <c r="AG103" s="24"/>
      <c r="AH103" s="9"/>
    </row>
    <row r="104" spans="15:34" hidden="1" x14ac:dyDescent="0.25">
      <c r="O104" s="4" t="s">
        <v>244</v>
      </c>
      <c r="P104" s="4" t="s">
        <v>169</v>
      </c>
      <c r="AA104" s="19">
        <f t="shared" si="11"/>
        <v>43202</v>
      </c>
      <c r="AB104" s="20">
        <f t="shared" si="8"/>
        <v>5</v>
      </c>
      <c r="AC104" s="21">
        <f t="shared" si="9"/>
        <v>5</v>
      </c>
      <c r="AD104" s="22" t="str">
        <f t="shared" si="10"/>
        <v>ÚTIL</v>
      </c>
      <c r="AE104" s="25"/>
      <c r="AF104" s="24"/>
      <c r="AG104" s="24"/>
      <c r="AH104" s="9"/>
    </row>
    <row r="105" spans="15:34" hidden="1" x14ac:dyDescent="0.25">
      <c r="O105" s="4" t="s">
        <v>246</v>
      </c>
      <c r="P105" s="4" t="s">
        <v>651</v>
      </c>
      <c r="AA105" s="19">
        <f t="shared" si="11"/>
        <v>43203</v>
      </c>
      <c r="AB105" s="20">
        <f t="shared" si="8"/>
        <v>6</v>
      </c>
      <c r="AC105" s="21">
        <f t="shared" si="9"/>
        <v>6</v>
      </c>
      <c r="AD105" s="22" t="str">
        <f t="shared" si="10"/>
        <v>ÚTIL</v>
      </c>
      <c r="AE105" s="25"/>
      <c r="AF105" s="24"/>
      <c r="AG105" s="24"/>
      <c r="AH105" s="9"/>
    </row>
    <row r="106" spans="15:34" hidden="1" x14ac:dyDescent="0.25">
      <c r="O106" s="4" t="s">
        <v>248</v>
      </c>
      <c r="P106" s="4" t="s">
        <v>493</v>
      </c>
      <c r="AA106" s="19">
        <f t="shared" si="11"/>
        <v>43204</v>
      </c>
      <c r="AB106" s="20">
        <f t="shared" si="8"/>
        <v>7</v>
      </c>
      <c r="AC106" s="21">
        <f t="shared" si="9"/>
        <v>7</v>
      </c>
      <c r="AD106" s="22" t="str">
        <f t="shared" si="10"/>
        <v>NÃO ÚTIL</v>
      </c>
      <c r="AE106" s="25"/>
      <c r="AF106" s="24"/>
      <c r="AG106" s="24"/>
      <c r="AH106" s="9"/>
    </row>
    <row r="107" spans="15:34" hidden="1" x14ac:dyDescent="0.25">
      <c r="O107" s="4" t="s">
        <v>250</v>
      </c>
      <c r="P107" s="4" t="s">
        <v>613</v>
      </c>
      <c r="AA107" s="19">
        <f t="shared" si="11"/>
        <v>43205</v>
      </c>
      <c r="AB107" s="20">
        <f t="shared" si="8"/>
        <v>1</v>
      </c>
      <c r="AC107" s="21">
        <f t="shared" si="9"/>
        <v>1</v>
      </c>
      <c r="AD107" s="22" t="str">
        <f t="shared" si="10"/>
        <v>NÃO ÚTIL</v>
      </c>
      <c r="AE107" s="25"/>
      <c r="AF107" s="24"/>
      <c r="AG107" s="24"/>
      <c r="AH107" s="9"/>
    </row>
    <row r="108" spans="15:34" hidden="1" x14ac:dyDescent="0.25">
      <c r="O108" s="4" t="s">
        <v>252</v>
      </c>
      <c r="P108" s="4" t="s">
        <v>111</v>
      </c>
      <c r="AA108" s="19">
        <f t="shared" si="11"/>
        <v>43206</v>
      </c>
      <c r="AB108" s="20">
        <f t="shared" si="8"/>
        <v>2</v>
      </c>
      <c r="AC108" s="21">
        <f t="shared" si="9"/>
        <v>2</v>
      </c>
      <c r="AD108" s="22" t="str">
        <f t="shared" si="10"/>
        <v>ÚTIL</v>
      </c>
      <c r="AE108" s="25"/>
      <c r="AF108" s="24"/>
      <c r="AG108" s="24"/>
      <c r="AH108" s="9"/>
    </row>
    <row r="109" spans="15:34" hidden="1" x14ac:dyDescent="0.25">
      <c r="O109" s="4" t="s">
        <v>254</v>
      </c>
      <c r="P109" s="4" t="s">
        <v>701</v>
      </c>
      <c r="AA109" s="19">
        <f t="shared" si="11"/>
        <v>43207</v>
      </c>
      <c r="AB109" s="20">
        <f t="shared" si="8"/>
        <v>3</v>
      </c>
      <c r="AC109" s="21">
        <f t="shared" si="9"/>
        <v>3</v>
      </c>
      <c r="AD109" s="22" t="str">
        <f t="shared" si="10"/>
        <v>ÚTIL</v>
      </c>
      <c r="AE109" s="25"/>
      <c r="AF109" s="24"/>
      <c r="AG109" s="24"/>
      <c r="AH109" s="9"/>
    </row>
    <row r="110" spans="15:34" hidden="1" x14ac:dyDescent="0.25">
      <c r="O110" s="4" t="s">
        <v>256</v>
      </c>
      <c r="P110" s="4" t="s">
        <v>639</v>
      </c>
      <c r="AA110" s="19">
        <f t="shared" si="11"/>
        <v>43208</v>
      </c>
      <c r="AB110" s="20">
        <f t="shared" si="8"/>
        <v>4</v>
      </c>
      <c r="AC110" s="21">
        <f t="shared" si="9"/>
        <v>4</v>
      </c>
      <c r="AD110" s="22" t="str">
        <f t="shared" si="10"/>
        <v>ÚTIL</v>
      </c>
      <c r="AE110" s="25"/>
      <c r="AF110" s="24"/>
      <c r="AG110" s="24"/>
      <c r="AH110" s="9"/>
    </row>
    <row r="111" spans="15:34" hidden="1" x14ac:dyDescent="0.25">
      <c r="O111" s="4" t="s">
        <v>258</v>
      </c>
      <c r="P111" s="4" t="s">
        <v>713</v>
      </c>
      <c r="AA111" s="19">
        <f t="shared" si="11"/>
        <v>43209</v>
      </c>
      <c r="AB111" s="20">
        <f t="shared" si="8"/>
        <v>5</v>
      </c>
      <c r="AC111" s="21">
        <f t="shared" si="9"/>
        <v>5</v>
      </c>
      <c r="AD111" s="22" t="str">
        <f t="shared" si="10"/>
        <v>ÚTIL</v>
      </c>
      <c r="AE111" s="25"/>
      <c r="AF111" s="24"/>
      <c r="AG111" s="24"/>
      <c r="AH111" s="9"/>
    </row>
    <row r="112" spans="15:34" hidden="1" x14ac:dyDescent="0.25">
      <c r="O112" s="4" t="s">
        <v>260</v>
      </c>
      <c r="P112" s="4" t="s">
        <v>157</v>
      </c>
      <c r="AA112" s="19">
        <f t="shared" si="11"/>
        <v>43210</v>
      </c>
      <c r="AB112" s="20">
        <f t="shared" si="8"/>
        <v>6</v>
      </c>
      <c r="AC112" s="21">
        <f t="shared" si="9"/>
        <v>6</v>
      </c>
      <c r="AD112" s="22" t="str">
        <f t="shared" si="10"/>
        <v>ÚTIL</v>
      </c>
      <c r="AE112" s="25"/>
      <c r="AF112" s="24"/>
      <c r="AG112" s="24"/>
      <c r="AH112" s="9"/>
    </row>
    <row r="113" spans="15:34" hidden="1" x14ac:dyDescent="0.25">
      <c r="O113" s="4" t="s">
        <v>262</v>
      </c>
      <c r="P113" s="4" t="s">
        <v>681</v>
      </c>
      <c r="AA113" s="19">
        <f t="shared" si="11"/>
        <v>43211</v>
      </c>
      <c r="AB113" s="20">
        <f t="shared" si="8"/>
        <v>7</v>
      </c>
      <c r="AC113" s="21">
        <f t="shared" si="9"/>
        <v>7</v>
      </c>
      <c r="AD113" s="22" t="str">
        <f t="shared" si="10"/>
        <v>NÃO ÚTIL</v>
      </c>
      <c r="AE113" s="25"/>
      <c r="AF113" s="24"/>
      <c r="AG113" s="24"/>
      <c r="AH113" s="9"/>
    </row>
    <row r="114" spans="15:34" hidden="1" x14ac:dyDescent="0.25">
      <c r="O114" s="4" t="s">
        <v>264</v>
      </c>
      <c r="P114" s="4" t="s">
        <v>799</v>
      </c>
      <c r="AA114" s="19">
        <f t="shared" si="11"/>
        <v>43212</v>
      </c>
      <c r="AB114" s="20">
        <f t="shared" si="8"/>
        <v>1</v>
      </c>
      <c r="AC114" s="21">
        <f t="shared" si="9"/>
        <v>1</v>
      </c>
      <c r="AD114" s="22" t="str">
        <f t="shared" si="10"/>
        <v>NÃO ÚTIL</v>
      </c>
      <c r="AE114" s="25"/>
      <c r="AF114" s="24"/>
      <c r="AG114" s="24"/>
      <c r="AH114" s="9"/>
    </row>
    <row r="115" spans="15:34" hidden="1" x14ac:dyDescent="0.25">
      <c r="O115" s="4" t="s">
        <v>266</v>
      </c>
      <c r="P115" s="4" t="s">
        <v>481</v>
      </c>
      <c r="AA115" s="19">
        <f t="shared" si="11"/>
        <v>43213</v>
      </c>
      <c r="AB115" s="20">
        <f t="shared" si="8"/>
        <v>2</v>
      </c>
      <c r="AC115" s="21">
        <f t="shared" si="9"/>
        <v>2</v>
      </c>
      <c r="AD115" s="22" t="str">
        <f t="shared" si="10"/>
        <v>ÚTIL</v>
      </c>
      <c r="AE115" s="25"/>
      <c r="AF115" s="24"/>
      <c r="AG115" s="24"/>
      <c r="AH115" s="9"/>
    </row>
    <row r="116" spans="15:34" hidden="1" x14ac:dyDescent="0.25">
      <c r="O116" s="4" t="s">
        <v>268</v>
      </c>
      <c r="P116" s="4" t="s">
        <v>121</v>
      </c>
      <c r="AA116" s="19">
        <f t="shared" si="11"/>
        <v>43214</v>
      </c>
      <c r="AB116" s="20">
        <f t="shared" si="8"/>
        <v>3</v>
      </c>
      <c r="AC116" s="21">
        <f t="shared" si="9"/>
        <v>3</v>
      </c>
      <c r="AD116" s="22" t="str">
        <f t="shared" si="10"/>
        <v>ÚTIL</v>
      </c>
      <c r="AE116" s="25"/>
      <c r="AF116" s="24"/>
      <c r="AG116" s="24"/>
      <c r="AH116" s="9"/>
    </row>
    <row r="117" spans="15:34" hidden="1" x14ac:dyDescent="0.25">
      <c r="O117" s="4" t="s">
        <v>270</v>
      </c>
      <c r="P117" s="4" t="s">
        <v>443</v>
      </c>
      <c r="AA117" s="19">
        <f t="shared" si="11"/>
        <v>43215</v>
      </c>
      <c r="AB117" s="20">
        <f t="shared" si="8"/>
        <v>4</v>
      </c>
      <c r="AC117" s="21">
        <f t="shared" si="9"/>
        <v>4</v>
      </c>
      <c r="AD117" s="22" t="str">
        <f t="shared" si="10"/>
        <v>ÚTIL</v>
      </c>
      <c r="AE117" s="25"/>
      <c r="AF117" s="24"/>
      <c r="AG117" s="24"/>
      <c r="AH117" s="9"/>
    </row>
    <row r="118" spans="15:34" hidden="1" x14ac:dyDescent="0.25">
      <c r="O118" s="4" t="s">
        <v>272</v>
      </c>
      <c r="P118" s="4" t="s">
        <v>345</v>
      </c>
      <c r="AA118" s="19">
        <f t="shared" si="11"/>
        <v>43216</v>
      </c>
      <c r="AB118" s="20">
        <f t="shared" si="8"/>
        <v>5</v>
      </c>
      <c r="AC118" s="21">
        <f t="shared" si="9"/>
        <v>5</v>
      </c>
      <c r="AD118" s="22" t="str">
        <f t="shared" si="10"/>
        <v>ÚTIL</v>
      </c>
      <c r="AE118" s="25"/>
      <c r="AF118" s="24"/>
      <c r="AG118" s="24"/>
      <c r="AH118" s="9"/>
    </row>
    <row r="119" spans="15:34" hidden="1" x14ac:dyDescent="0.25">
      <c r="O119" s="4" t="s">
        <v>274</v>
      </c>
      <c r="P119" s="4" t="s">
        <v>655</v>
      </c>
      <c r="AA119" s="19">
        <f t="shared" si="11"/>
        <v>43217</v>
      </c>
      <c r="AB119" s="20">
        <f t="shared" si="8"/>
        <v>6</v>
      </c>
      <c r="AC119" s="21">
        <f t="shared" si="9"/>
        <v>6</v>
      </c>
      <c r="AD119" s="22" t="str">
        <f t="shared" si="10"/>
        <v>ÚTIL</v>
      </c>
      <c r="AE119" s="25"/>
      <c r="AF119" s="24"/>
      <c r="AG119" s="24"/>
      <c r="AH119" s="9"/>
    </row>
    <row r="120" spans="15:34" hidden="1" x14ac:dyDescent="0.25">
      <c r="O120" s="4" t="s">
        <v>276</v>
      </c>
      <c r="P120" s="4" t="s">
        <v>315</v>
      </c>
      <c r="AA120" s="19">
        <f t="shared" si="11"/>
        <v>43218</v>
      </c>
      <c r="AB120" s="20">
        <f t="shared" si="8"/>
        <v>7</v>
      </c>
      <c r="AC120" s="21">
        <f t="shared" si="9"/>
        <v>7</v>
      </c>
      <c r="AD120" s="22" t="str">
        <f t="shared" si="10"/>
        <v>NÃO ÚTIL</v>
      </c>
      <c r="AE120" s="25"/>
      <c r="AF120" s="24"/>
      <c r="AG120" s="24"/>
      <c r="AH120" s="9"/>
    </row>
    <row r="121" spans="15:34" hidden="1" x14ac:dyDescent="0.25">
      <c r="O121" s="4" t="s">
        <v>278</v>
      </c>
      <c r="P121" s="4" t="s">
        <v>585</v>
      </c>
      <c r="AA121" s="19">
        <f t="shared" si="11"/>
        <v>43219</v>
      </c>
      <c r="AB121" s="20">
        <f t="shared" si="8"/>
        <v>1</v>
      </c>
      <c r="AC121" s="21">
        <f t="shared" si="9"/>
        <v>1</v>
      </c>
      <c r="AD121" s="22" t="str">
        <f t="shared" si="10"/>
        <v>NÃO ÚTIL</v>
      </c>
      <c r="AE121" s="25"/>
      <c r="AF121" s="24"/>
      <c r="AG121" s="24"/>
      <c r="AH121" s="9"/>
    </row>
    <row r="122" spans="15:34" hidden="1" x14ac:dyDescent="0.25">
      <c r="O122" s="4" t="s">
        <v>280</v>
      </c>
      <c r="P122" s="4" t="s">
        <v>595</v>
      </c>
      <c r="AA122" s="19">
        <f t="shared" si="11"/>
        <v>43220</v>
      </c>
      <c r="AB122" s="20">
        <f t="shared" si="8"/>
        <v>2</v>
      </c>
      <c r="AC122" s="21">
        <f t="shared" si="9"/>
        <v>2</v>
      </c>
      <c r="AD122" s="22" t="str">
        <f t="shared" si="10"/>
        <v>ÚTIL</v>
      </c>
      <c r="AE122" s="25"/>
      <c r="AF122" s="24"/>
      <c r="AG122" s="24"/>
      <c r="AH122" s="9"/>
    </row>
    <row r="123" spans="15:34" hidden="1" x14ac:dyDescent="0.25">
      <c r="O123" s="4" t="s">
        <v>282</v>
      </c>
      <c r="P123" s="4" t="s">
        <v>653</v>
      </c>
      <c r="AA123" s="19">
        <f t="shared" si="11"/>
        <v>43221</v>
      </c>
      <c r="AB123" s="20">
        <f t="shared" si="8"/>
        <v>3</v>
      </c>
      <c r="AC123" s="21">
        <f t="shared" si="9"/>
        <v>3</v>
      </c>
      <c r="AD123" s="22" t="str">
        <f t="shared" si="10"/>
        <v>NÃO ÚTIL</v>
      </c>
      <c r="AE123" s="25"/>
      <c r="AF123" s="24"/>
      <c r="AG123" s="24"/>
      <c r="AH123" s="9"/>
    </row>
    <row r="124" spans="15:34" hidden="1" x14ac:dyDescent="0.25">
      <c r="O124" s="4" t="s">
        <v>284</v>
      </c>
      <c r="P124" s="4" t="s">
        <v>437</v>
      </c>
      <c r="AA124" s="19">
        <f t="shared" si="11"/>
        <v>43222</v>
      </c>
      <c r="AB124" s="20">
        <f t="shared" si="8"/>
        <v>4</v>
      </c>
      <c r="AC124" s="21">
        <f t="shared" si="9"/>
        <v>4</v>
      </c>
      <c r="AD124" s="22" t="str">
        <f t="shared" si="10"/>
        <v>ÚTIL</v>
      </c>
      <c r="AE124" s="25"/>
      <c r="AF124" s="24"/>
      <c r="AG124" s="24"/>
      <c r="AH124" s="9"/>
    </row>
    <row r="125" spans="15:34" hidden="1" x14ac:dyDescent="0.25">
      <c r="O125" s="4" t="s">
        <v>286</v>
      </c>
      <c r="P125" s="4" t="s">
        <v>757</v>
      </c>
      <c r="AA125" s="19">
        <f t="shared" si="11"/>
        <v>43223</v>
      </c>
      <c r="AB125" s="20">
        <f t="shared" si="8"/>
        <v>5</v>
      </c>
      <c r="AC125" s="21">
        <f t="shared" si="9"/>
        <v>5</v>
      </c>
      <c r="AD125" s="22" t="str">
        <f t="shared" si="10"/>
        <v>ÚTIL</v>
      </c>
      <c r="AE125" s="25"/>
      <c r="AF125" s="24"/>
      <c r="AG125" s="24"/>
      <c r="AH125" s="9"/>
    </row>
    <row r="126" spans="15:34" hidden="1" x14ac:dyDescent="0.25">
      <c r="O126" s="4" t="s">
        <v>288</v>
      </c>
      <c r="P126" s="4" t="s">
        <v>395</v>
      </c>
      <c r="AA126" s="19">
        <f t="shared" si="11"/>
        <v>43224</v>
      </c>
      <c r="AB126" s="20">
        <f t="shared" si="8"/>
        <v>6</v>
      </c>
      <c r="AC126" s="21">
        <f t="shared" si="9"/>
        <v>6</v>
      </c>
      <c r="AD126" s="22" t="str">
        <f t="shared" si="10"/>
        <v>ÚTIL</v>
      </c>
      <c r="AE126" s="25"/>
      <c r="AF126" s="24"/>
      <c r="AG126" s="24"/>
      <c r="AH126" s="9"/>
    </row>
    <row r="127" spans="15:34" hidden="1" x14ac:dyDescent="0.25">
      <c r="O127" s="4" t="s">
        <v>290</v>
      </c>
      <c r="P127" s="4" t="s">
        <v>401</v>
      </c>
      <c r="AA127" s="19">
        <f t="shared" si="11"/>
        <v>43225</v>
      </c>
      <c r="AB127" s="20">
        <f t="shared" si="8"/>
        <v>7</v>
      </c>
      <c r="AC127" s="21">
        <f t="shared" si="9"/>
        <v>7</v>
      </c>
      <c r="AD127" s="22" t="str">
        <f t="shared" si="10"/>
        <v>NÃO ÚTIL</v>
      </c>
      <c r="AE127" s="25"/>
      <c r="AF127" s="24"/>
      <c r="AG127" s="24"/>
      <c r="AH127" s="9"/>
    </row>
    <row r="128" spans="15:34" hidden="1" x14ac:dyDescent="0.25">
      <c r="O128" s="4" t="s">
        <v>292</v>
      </c>
      <c r="P128" s="4" t="s">
        <v>801</v>
      </c>
      <c r="AA128" s="19">
        <f t="shared" si="11"/>
        <v>43226</v>
      </c>
      <c r="AB128" s="20">
        <f t="shared" si="8"/>
        <v>1</v>
      </c>
      <c r="AC128" s="21">
        <f t="shared" si="9"/>
        <v>1</v>
      </c>
      <c r="AD128" s="22" t="str">
        <f t="shared" si="10"/>
        <v>NÃO ÚTIL</v>
      </c>
      <c r="AE128" s="25"/>
      <c r="AF128" s="24"/>
      <c r="AG128" s="24"/>
      <c r="AH128" s="9"/>
    </row>
    <row r="129" spans="15:34" hidden="1" x14ac:dyDescent="0.25">
      <c r="O129" s="4" t="s">
        <v>294</v>
      </c>
      <c r="P129" s="4" t="s">
        <v>719</v>
      </c>
      <c r="AA129" s="19">
        <f t="shared" si="11"/>
        <v>43227</v>
      </c>
      <c r="AB129" s="20">
        <f t="shared" si="8"/>
        <v>2</v>
      </c>
      <c r="AC129" s="21">
        <f t="shared" si="9"/>
        <v>2</v>
      </c>
      <c r="AD129" s="22" t="str">
        <f t="shared" si="10"/>
        <v>ÚTIL</v>
      </c>
      <c r="AE129" s="25"/>
      <c r="AF129" s="24"/>
      <c r="AG129" s="24"/>
      <c r="AH129" s="9"/>
    </row>
    <row r="130" spans="15:34" hidden="1" x14ac:dyDescent="0.25">
      <c r="O130" s="4" t="s">
        <v>296</v>
      </c>
      <c r="P130" s="4" t="s">
        <v>163</v>
      </c>
      <c r="AA130" s="19">
        <f t="shared" si="11"/>
        <v>43228</v>
      </c>
      <c r="AB130" s="20">
        <f t="shared" si="8"/>
        <v>3</v>
      </c>
      <c r="AC130" s="21">
        <f t="shared" si="9"/>
        <v>3</v>
      </c>
      <c r="AD130" s="22" t="str">
        <f t="shared" si="10"/>
        <v>ÚTIL</v>
      </c>
      <c r="AE130" s="25"/>
      <c r="AF130" s="24"/>
      <c r="AG130" s="24"/>
      <c r="AH130" s="9"/>
    </row>
    <row r="131" spans="15:34" hidden="1" x14ac:dyDescent="0.25">
      <c r="O131" s="4" t="s">
        <v>298</v>
      </c>
      <c r="P131" s="4" t="s">
        <v>483</v>
      </c>
      <c r="AA131" s="19">
        <f t="shared" si="11"/>
        <v>43229</v>
      </c>
      <c r="AB131" s="20">
        <f t="shared" ref="AB131:AB194" si="12">AC131</f>
        <v>4</v>
      </c>
      <c r="AC131" s="21">
        <f t="shared" ref="AC131:AC194" si="13">WEEKDAY(AA131)</f>
        <v>4</v>
      </c>
      <c r="AD131" s="22" t="str">
        <f t="shared" ref="AD131:AD194" si="14">IF(WORKDAY(AA131-1,1,$AE$3:$AE$14)=AA131,"ÚTIL","NÃO ÚTIL")</f>
        <v>ÚTIL</v>
      </c>
      <c r="AE131" s="25"/>
      <c r="AF131" s="24"/>
      <c r="AG131" s="24"/>
      <c r="AH131" s="9"/>
    </row>
    <row r="132" spans="15:34" hidden="1" x14ac:dyDescent="0.25">
      <c r="O132" s="4" t="s">
        <v>300</v>
      </c>
      <c r="P132" s="4" t="s">
        <v>389</v>
      </c>
      <c r="AA132" s="19">
        <f t="shared" ref="AA132:AA195" si="15">AA131+1</f>
        <v>43230</v>
      </c>
      <c r="AB132" s="20">
        <f t="shared" si="12"/>
        <v>5</v>
      </c>
      <c r="AC132" s="21">
        <f t="shared" si="13"/>
        <v>5</v>
      </c>
      <c r="AD132" s="22" t="str">
        <f t="shared" si="14"/>
        <v>ÚTIL</v>
      </c>
      <c r="AE132" s="25"/>
      <c r="AF132" s="24"/>
      <c r="AG132" s="24"/>
      <c r="AH132" s="9"/>
    </row>
    <row r="133" spans="15:34" hidden="1" x14ac:dyDescent="0.25">
      <c r="O133" s="4" t="s">
        <v>302</v>
      </c>
      <c r="P133" s="4" t="s">
        <v>641</v>
      </c>
      <c r="AA133" s="19">
        <f t="shared" si="15"/>
        <v>43231</v>
      </c>
      <c r="AB133" s="20">
        <f t="shared" si="12"/>
        <v>6</v>
      </c>
      <c r="AC133" s="21">
        <f t="shared" si="13"/>
        <v>6</v>
      </c>
      <c r="AD133" s="22" t="str">
        <f t="shared" si="14"/>
        <v>ÚTIL</v>
      </c>
      <c r="AE133" s="25"/>
      <c r="AF133" s="24"/>
      <c r="AG133" s="24"/>
      <c r="AH133" s="9"/>
    </row>
    <row r="134" spans="15:34" hidden="1" x14ac:dyDescent="0.25">
      <c r="O134" s="4" t="s">
        <v>304</v>
      </c>
      <c r="P134" s="4" t="s">
        <v>469</v>
      </c>
      <c r="AA134" s="19">
        <f t="shared" si="15"/>
        <v>43232</v>
      </c>
      <c r="AB134" s="20">
        <f t="shared" si="12"/>
        <v>7</v>
      </c>
      <c r="AC134" s="21">
        <f t="shared" si="13"/>
        <v>7</v>
      </c>
      <c r="AD134" s="22" t="str">
        <f t="shared" si="14"/>
        <v>NÃO ÚTIL</v>
      </c>
      <c r="AE134" s="25"/>
      <c r="AF134" s="24"/>
      <c r="AG134" s="24"/>
      <c r="AH134" s="9"/>
    </row>
    <row r="135" spans="15:34" hidden="1" x14ac:dyDescent="0.25">
      <c r="O135" s="4" t="s">
        <v>306</v>
      </c>
      <c r="P135" s="4" t="s">
        <v>587</v>
      </c>
      <c r="AA135" s="19">
        <f t="shared" si="15"/>
        <v>43233</v>
      </c>
      <c r="AB135" s="20">
        <f t="shared" si="12"/>
        <v>1</v>
      </c>
      <c r="AC135" s="21">
        <f t="shared" si="13"/>
        <v>1</v>
      </c>
      <c r="AD135" s="22" t="str">
        <f t="shared" si="14"/>
        <v>NÃO ÚTIL</v>
      </c>
      <c r="AE135" s="25"/>
      <c r="AF135" s="24"/>
      <c r="AG135" s="24"/>
      <c r="AH135" s="9"/>
    </row>
    <row r="136" spans="15:34" hidden="1" x14ac:dyDescent="0.25">
      <c r="O136" s="4" t="s">
        <v>308</v>
      </c>
      <c r="P136" s="4" t="s">
        <v>737</v>
      </c>
      <c r="AA136" s="19">
        <f t="shared" si="15"/>
        <v>43234</v>
      </c>
      <c r="AB136" s="20">
        <f t="shared" si="12"/>
        <v>2</v>
      </c>
      <c r="AC136" s="21">
        <f t="shared" si="13"/>
        <v>2</v>
      </c>
      <c r="AD136" s="22" t="str">
        <f t="shared" si="14"/>
        <v>ÚTIL</v>
      </c>
      <c r="AE136" s="25"/>
      <c r="AF136" s="24"/>
      <c r="AG136" s="24"/>
      <c r="AH136" s="9"/>
    </row>
    <row r="137" spans="15:34" hidden="1" x14ac:dyDescent="0.25">
      <c r="O137" s="4" t="s">
        <v>310</v>
      </c>
      <c r="P137" s="4" t="s">
        <v>291</v>
      </c>
      <c r="AA137" s="19">
        <f t="shared" si="15"/>
        <v>43235</v>
      </c>
      <c r="AB137" s="20">
        <f t="shared" si="12"/>
        <v>3</v>
      </c>
      <c r="AC137" s="21">
        <f t="shared" si="13"/>
        <v>3</v>
      </c>
      <c r="AD137" s="22" t="str">
        <f t="shared" si="14"/>
        <v>ÚTIL</v>
      </c>
      <c r="AE137" s="25"/>
      <c r="AF137" s="24"/>
      <c r="AG137" s="24"/>
      <c r="AH137" s="9"/>
    </row>
    <row r="138" spans="15:34" hidden="1" x14ac:dyDescent="0.25">
      <c r="O138" s="4" t="s">
        <v>312</v>
      </c>
      <c r="P138" s="4" t="s">
        <v>409</v>
      </c>
      <c r="AA138" s="19">
        <f t="shared" si="15"/>
        <v>43236</v>
      </c>
      <c r="AB138" s="20">
        <f t="shared" si="12"/>
        <v>4</v>
      </c>
      <c r="AC138" s="21">
        <f t="shared" si="13"/>
        <v>4</v>
      </c>
      <c r="AD138" s="22" t="str">
        <f t="shared" si="14"/>
        <v>ÚTIL</v>
      </c>
      <c r="AE138" s="25"/>
      <c r="AF138" s="24"/>
      <c r="AG138" s="24"/>
      <c r="AH138" s="9"/>
    </row>
    <row r="139" spans="15:34" hidden="1" x14ac:dyDescent="0.25">
      <c r="O139" s="4" t="s">
        <v>314</v>
      </c>
      <c r="P139" s="4" t="s">
        <v>277</v>
      </c>
      <c r="AA139" s="19">
        <f t="shared" si="15"/>
        <v>43237</v>
      </c>
      <c r="AB139" s="20">
        <f t="shared" si="12"/>
        <v>5</v>
      </c>
      <c r="AC139" s="21">
        <f t="shared" si="13"/>
        <v>5</v>
      </c>
      <c r="AD139" s="22" t="str">
        <f t="shared" si="14"/>
        <v>ÚTIL</v>
      </c>
      <c r="AE139" s="25"/>
      <c r="AF139" s="24"/>
      <c r="AG139" s="24"/>
      <c r="AH139" s="9"/>
    </row>
    <row r="140" spans="15:34" hidden="1" x14ac:dyDescent="0.25">
      <c r="O140" s="4" t="s">
        <v>316</v>
      </c>
      <c r="P140" s="4" t="s">
        <v>137</v>
      </c>
      <c r="AA140" s="19">
        <f t="shared" si="15"/>
        <v>43238</v>
      </c>
      <c r="AB140" s="20">
        <f t="shared" si="12"/>
        <v>6</v>
      </c>
      <c r="AC140" s="21">
        <f t="shared" si="13"/>
        <v>6</v>
      </c>
      <c r="AD140" s="22" t="str">
        <f t="shared" si="14"/>
        <v>ÚTIL</v>
      </c>
      <c r="AE140" s="25"/>
      <c r="AF140" s="24"/>
      <c r="AG140" s="24"/>
      <c r="AH140" s="9"/>
    </row>
    <row r="141" spans="15:34" hidden="1" x14ac:dyDescent="0.25">
      <c r="O141" s="4" t="s">
        <v>318</v>
      </c>
      <c r="P141" s="4" t="s">
        <v>675</v>
      </c>
      <c r="AA141" s="19">
        <f t="shared" si="15"/>
        <v>43239</v>
      </c>
      <c r="AB141" s="20">
        <f t="shared" si="12"/>
        <v>7</v>
      </c>
      <c r="AC141" s="21">
        <f t="shared" si="13"/>
        <v>7</v>
      </c>
      <c r="AD141" s="22" t="str">
        <f t="shared" si="14"/>
        <v>NÃO ÚTIL</v>
      </c>
      <c r="AE141" s="25"/>
      <c r="AF141" s="24"/>
      <c r="AG141" s="24"/>
      <c r="AH141" s="9"/>
    </row>
    <row r="142" spans="15:34" hidden="1" x14ac:dyDescent="0.25">
      <c r="O142" s="4" t="s">
        <v>320</v>
      </c>
      <c r="P142" s="4" t="s">
        <v>615</v>
      </c>
      <c r="AA142" s="19">
        <f t="shared" si="15"/>
        <v>43240</v>
      </c>
      <c r="AB142" s="20">
        <f t="shared" si="12"/>
        <v>1</v>
      </c>
      <c r="AC142" s="21">
        <f t="shared" si="13"/>
        <v>1</v>
      </c>
      <c r="AD142" s="22" t="str">
        <f t="shared" si="14"/>
        <v>NÃO ÚTIL</v>
      </c>
      <c r="AE142" s="25"/>
      <c r="AF142" s="24"/>
      <c r="AG142" s="24"/>
      <c r="AH142" s="9"/>
    </row>
    <row r="143" spans="15:34" hidden="1" x14ac:dyDescent="0.25">
      <c r="O143" s="4" t="s">
        <v>322</v>
      </c>
      <c r="P143" s="4" t="s">
        <v>371</v>
      </c>
      <c r="AA143" s="19">
        <f t="shared" si="15"/>
        <v>43241</v>
      </c>
      <c r="AB143" s="20">
        <f t="shared" si="12"/>
        <v>2</v>
      </c>
      <c r="AC143" s="21">
        <f t="shared" si="13"/>
        <v>2</v>
      </c>
      <c r="AD143" s="22" t="str">
        <f t="shared" si="14"/>
        <v>ÚTIL</v>
      </c>
      <c r="AE143" s="25"/>
      <c r="AF143" s="24"/>
      <c r="AG143" s="24"/>
      <c r="AH143" s="9"/>
    </row>
    <row r="144" spans="15:34" hidden="1" x14ac:dyDescent="0.25">
      <c r="O144" s="4" t="s">
        <v>324</v>
      </c>
      <c r="P144" s="4" t="s">
        <v>677</v>
      </c>
      <c r="AA144" s="19">
        <f t="shared" si="15"/>
        <v>43242</v>
      </c>
      <c r="AB144" s="20">
        <f t="shared" si="12"/>
        <v>3</v>
      </c>
      <c r="AC144" s="21">
        <f t="shared" si="13"/>
        <v>3</v>
      </c>
      <c r="AD144" s="22" t="str">
        <f t="shared" si="14"/>
        <v>ÚTIL</v>
      </c>
      <c r="AE144" s="25"/>
      <c r="AF144" s="24"/>
      <c r="AG144" s="24"/>
      <c r="AH144" s="9"/>
    </row>
    <row r="145" spans="15:34" hidden="1" x14ac:dyDescent="0.25">
      <c r="O145" s="4" t="s">
        <v>326</v>
      </c>
      <c r="P145" s="4" t="s">
        <v>379</v>
      </c>
      <c r="AA145" s="19">
        <f t="shared" si="15"/>
        <v>43243</v>
      </c>
      <c r="AB145" s="20">
        <f t="shared" si="12"/>
        <v>4</v>
      </c>
      <c r="AC145" s="21">
        <f t="shared" si="13"/>
        <v>4</v>
      </c>
      <c r="AD145" s="22" t="str">
        <f t="shared" si="14"/>
        <v>ÚTIL</v>
      </c>
      <c r="AE145" s="25"/>
      <c r="AF145" s="24"/>
      <c r="AG145" s="24"/>
      <c r="AH145" s="9"/>
    </row>
    <row r="146" spans="15:34" hidden="1" x14ac:dyDescent="0.25">
      <c r="O146" s="4" t="s">
        <v>328</v>
      </c>
      <c r="P146" s="4" t="s">
        <v>145</v>
      </c>
      <c r="AA146" s="19">
        <f t="shared" si="15"/>
        <v>43244</v>
      </c>
      <c r="AB146" s="20">
        <f t="shared" si="12"/>
        <v>5</v>
      </c>
      <c r="AC146" s="21">
        <f t="shared" si="13"/>
        <v>5</v>
      </c>
      <c r="AD146" s="22" t="str">
        <f t="shared" si="14"/>
        <v>ÚTIL</v>
      </c>
      <c r="AE146" s="25"/>
      <c r="AF146" s="24"/>
      <c r="AG146" s="24"/>
      <c r="AH146" s="9"/>
    </row>
    <row r="147" spans="15:34" hidden="1" x14ac:dyDescent="0.25">
      <c r="O147" s="4" t="s">
        <v>330</v>
      </c>
      <c r="P147" s="4" t="s">
        <v>571</v>
      </c>
      <c r="AA147" s="19">
        <f t="shared" si="15"/>
        <v>43245</v>
      </c>
      <c r="AB147" s="20">
        <f t="shared" si="12"/>
        <v>6</v>
      </c>
      <c r="AC147" s="21">
        <f t="shared" si="13"/>
        <v>6</v>
      </c>
      <c r="AD147" s="22" t="str">
        <f t="shared" si="14"/>
        <v>ÚTIL</v>
      </c>
      <c r="AE147" s="25"/>
      <c r="AF147" s="24"/>
      <c r="AG147" s="24"/>
      <c r="AH147" s="9"/>
    </row>
    <row r="148" spans="15:34" hidden="1" x14ac:dyDescent="0.25">
      <c r="O148" s="4" t="s">
        <v>332</v>
      </c>
      <c r="P148" s="4" t="s">
        <v>557</v>
      </c>
      <c r="AA148" s="19">
        <f t="shared" si="15"/>
        <v>43246</v>
      </c>
      <c r="AB148" s="20">
        <f t="shared" si="12"/>
        <v>7</v>
      </c>
      <c r="AC148" s="21">
        <f t="shared" si="13"/>
        <v>7</v>
      </c>
      <c r="AD148" s="22" t="str">
        <f t="shared" si="14"/>
        <v>NÃO ÚTIL</v>
      </c>
      <c r="AE148" s="25"/>
      <c r="AF148" s="24"/>
      <c r="AG148" s="24"/>
      <c r="AH148" s="9"/>
    </row>
    <row r="149" spans="15:34" hidden="1" x14ac:dyDescent="0.25">
      <c r="O149" s="4" t="s">
        <v>334</v>
      </c>
      <c r="P149" s="4" t="s">
        <v>597</v>
      </c>
      <c r="AA149" s="19">
        <f t="shared" si="15"/>
        <v>43247</v>
      </c>
      <c r="AB149" s="20">
        <f t="shared" si="12"/>
        <v>1</v>
      </c>
      <c r="AC149" s="21">
        <f t="shared" si="13"/>
        <v>1</v>
      </c>
      <c r="AD149" s="22" t="str">
        <f t="shared" si="14"/>
        <v>NÃO ÚTIL</v>
      </c>
      <c r="AE149" s="25"/>
      <c r="AF149" s="24"/>
      <c r="AG149" s="24"/>
      <c r="AH149" s="9"/>
    </row>
    <row r="150" spans="15:34" hidden="1" x14ac:dyDescent="0.25">
      <c r="O150" s="4" t="s">
        <v>336</v>
      </c>
      <c r="P150" s="4" t="s">
        <v>193</v>
      </c>
      <c r="AA150" s="19">
        <f t="shared" si="15"/>
        <v>43248</v>
      </c>
      <c r="AB150" s="20">
        <f t="shared" si="12"/>
        <v>2</v>
      </c>
      <c r="AC150" s="21">
        <f t="shared" si="13"/>
        <v>2</v>
      </c>
      <c r="AD150" s="22" t="str">
        <f t="shared" si="14"/>
        <v>ÚTIL</v>
      </c>
      <c r="AE150" s="25"/>
      <c r="AF150" s="24"/>
      <c r="AG150" s="24"/>
      <c r="AH150" s="9"/>
    </row>
    <row r="151" spans="15:34" hidden="1" x14ac:dyDescent="0.25">
      <c r="O151" s="4" t="s">
        <v>338</v>
      </c>
      <c r="P151" s="4" t="s">
        <v>495</v>
      </c>
      <c r="AA151" s="19">
        <f t="shared" si="15"/>
        <v>43249</v>
      </c>
      <c r="AB151" s="20">
        <f t="shared" si="12"/>
        <v>3</v>
      </c>
      <c r="AC151" s="21">
        <f t="shared" si="13"/>
        <v>3</v>
      </c>
      <c r="AD151" s="22" t="str">
        <f t="shared" si="14"/>
        <v>ÚTIL</v>
      </c>
      <c r="AE151" s="25"/>
      <c r="AF151" s="24"/>
      <c r="AG151" s="24"/>
      <c r="AH151" s="9"/>
    </row>
    <row r="152" spans="15:34" hidden="1" x14ac:dyDescent="0.25">
      <c r="O152" s="4" t="s">
        <v>340</v>
      </c>
      <c r="P152" s="4" t="s">
        <v>335</v>
      </c>
      <c r="AA152" s="19">
        <f t="shared" si="15"/>
        <v>43250</v>
      </c>
      <c r="AB152" s="20">
        <f t="shared" si="12"/>
        <v>4</v>
      </c>
      <c r="AC152" s="21">
        <f t="shared" si="13"/>
        <v>4</v>
      </c>
      <c r="AD152" s="22" t="str">
        <f t="shared" si="14"/>
        <v>ÚTIL</v>
      </c>
      <c r="AE152" s="25"/>
      <c r="AF152" s="24"/>
      <c r="AG152" s="24"/>
      <c r="AH152" s="9"/>
    </row>
    <row r="153" spans="15:34" hidden="1" x14ac:dyDescent="0.25">
      <c r="O153" s="4" t="s">
        <v>342</v>
      </c>
      <c r="P153" s="4" t="s">
        <v>153</v>
      </c>
      <c r="AA153" s="19">
        <f t="shared" si="15"/>
        <v>43251</v>
      </c>
      <c r="AB153" s="20">
        <f t="shared" si="12"/>
        <v>5</v>
      </c>
      <c r="AC153" s="21">
        <f t="shared" si="13"/>
        <v>5</v>
      </c>
      <c r="AD153" s="22" t="str">
        <f t="shared" si="14"/>
        <v>NÃO ÚTIL</v>
      </c>
      <c r="AE153" s="25"/>
      <c r="AF153" s="24"/>
      <c r="AG153" s="24"/>
      <c r="AH153" s="9"/>
    </row>
    <row r="154" spans="15:34" hidden="1" x14ac:dyDescent="0.25">
      <c r="O154" s="4" t="s">
        <v>344</v>
      </c>
      <c r="P154" s="4" t="s">
        <v>431</v>
      </c>
      <c r="AA154" s="19">
        <f t="shared" si="15"/>
        <v>43252</v>
      </c>
      <c r="AB154" s="20">
        <f t="shared" si="12"/>
        <v>6</v>
      </c>
      <c r="AC154" s="21">
        <f t="shared" si="13"/>
        <v>6</v>
      </c>
      <c r="AD154" s="22" t="str">
        <f t="shared" si="14"/>
        <v>ÚTIL</v>
      </c>
      <c r="AE154" s="25"/>
      <c r="AF154" s="24"/>
      <c r="AG154" s="24"/>
      <c r="AH154" s="9"/>
    </row>
    <row r="155" spans="15:34" hidden="1" x14ac:dyDescent="0.25">
      <c r="O155" s="4" t="s">
        <v>346</v>
      </c>
      <c r="P155" s="4" t="s">
        <v>349</v>
      </c>
      <c r="AA155" s="19">
        <f t="shared" si="15"/>
        <v>43253</v>
      </c>
      <c r="AB155" s="20">
        <f t="shared" si="12"/>
        <v>7</v>
      </c>
      <c r="AC155" s="21">
        <f t="shared" si="13"/>
        <v>7</v>
      </c>
      <c r="AD155" s="22" t="str">
        <f t="shared" si="14"/>
        <v>NÃO ÚTIL</v>
      </c>
      <c r="AE155" s="25"/>
      <c r="AF155" s="24"/>
      <c r="AG155" s="24"/>
      <c r="AH155" s="9"/>
    </row>
    <row r="156" spans="15:34" hidden="1" x14ac:dyDescent="0.25">
      <c r="O156" s="4" t="s">
        <v>348</v>
      </c>
      <c r="P156" s="4" t="s">
        <v>377</v>
      </c>
      <c r="AA156" s="19">
        <f t="shared" si="15"/>
        <v>43254</v>
      </c>
      <c r="AB156" s="20">
        <f t="shared" si="12"/>
        <v>1</v>
      </c>
      <c r="AC156" s="21">
        <f t="shared" si="13"/>
        <v>1</v>
      </c>
      <c r="AD156" s="22" t="str">
        <f t="shared" si="14"/>
        <v>NÃO ÚTIL</v>
      </c>
      <c r="AE156" s="25"/>
      <c r="AF156" s="24"/>
      <c r="AG156" s="24"/>
      <c r="AH156" s="9"/>
    </row>
    <row r="157" spans="15:34" hidden="1" x14ac:dyDescent="0.25">
      <c r="O157" s="4" t="s">
        <v>350</v>
      </c>
      <c r="P157" s="4" t="s">
        <v>643</v>
      </c>
      <c r="AA157" s="19">
        <f t="shared" si="15"/>
        <v>43255</v>
      </c>
      <c r="AB157" s="20">
        <f t="shared" si="12"/>
        <v>2</v>
      </c>
      <c r="AC157" s="21">
        <f t="shared" si="13"/>
        <v>2</v>
      </c>
      <c r="AD157" s="22" t="str">
        <f t="shared" si="14"/>
        <v>ÚTIL</v>
      </c>
      <c r="AE157" s="25"/>
      <c r="AF157" s="24"/>
      <c r="AG157" s="24"/>
      <c r="AH157" s="9"/>
    </row>
    <row r="158" spans="15:34" hidden="1" x14ac:dyDescent="0.25">
      <c r="O158" s="4" t="s">
        <v>352</v>
      </c>
      <c r="P158" s="4" t="s">
        <v>327</v>
      </c>
      <c r="AA158" s="19">
        <f t="shared" si="15"/>
        <v>43256</v>
      </c>
      <c r="AB158" s="20">
        <f t="shared" si="12"/>
        <v>3</v>
      </c>
      <c r="AC158" s="21">
        <f t="shared" si="13"/>
        <v>3</v>
      </c>
      <c r="AD158" s="22" t="str">
        <f t="shared" si="14"/>
        <v>ÚTIL</v>
      </c>
      <c r="AE158" s="25"/>
      <c r="AF158" s="24"/>
      <c r="AG158" s="24"/>
      <c r="AH158" s="9"/>
    </row>
    <row r="159" spans="15:34" hidden="1" x14ac:dyDescent="0.25">
      <c r="O159" s="4" t="s">
        <v>354</v>
      </c>
      <c r="P159" s="4" t="s">
        <v>645</v>
      </c>
      <c r="AA159" s="19">
        <f t="shared" si="15"/>
        <v>43257</v>
      </c>
      <c r="AB159" s="20">
        <f t="shared" si="12"/>
        <v>4</v>
      </c>
      <c r="AC159" s="21">
        <f t="shared" si="13"/>
        <v>4</v>
      </c>
      <c r="AD159" s="22" t="str">
        <f t="shared" si="14"/>
        <v>ÚTIL</v>
      </c>
      <c r="AE159" s="25"/>
      <c r="AF159" s="24"/>
      <c r="AG159" s="24"/>
      <c r="AH159" s="9"/>
    </row>
    <row r="160" spans="15:34" hidden="1" x14ac:dyDescent="0.25">
      <c r="O160" s="4" t="s">
        <v>356</v>
      </c>
      <c r="P160" s="4" t="s">
        <v>427</v>
      </c>
      <c r="AA160" s="19">
        <f t="shared" si="15"/>
        <v>43258</v>
      </c>
      <c r="AB160" s="20">
        <f t="shared" si="12"/>
        <v>5</v>
      </c>
      <c r="AC160" s="21">
        <f t="shared" si="13"/>
        <v>5</v>
      </c>
      <c r="AD160" s="22" t="str">
        <f t="shared" si="14"/>
        <v>ÚTIL</v>
      </c>
      <c r="AE160" s="25"/>
      <c r="AF160" s="24"/>
      <c r="AG160" s="24"/>
      <c r="AH160" s="9"/>
    </row>
    <row r="161" spans="15:34" hidden="1" x14ac:dyDescent="0.25">
      <c r="O161" s="4" t="s">
        <v>358</v>
      </c>
      <c r="P161" s="4" t="s">
        <v>797</v>
      </c>
      <c r="AA161" s="19">
        <f t="shared" si="15"/>
        <v>43259</v>
      </c>
      <c r="AB161" s="20">
        <f t="shared" si="12"/>
        <v>6</v>
      </c>
      <c r="AC161" s="21">
        <f t="shared" si="13"/>
        <v>6</v>
      </c>
      <c r="AD161" s="22" t="str">
        <f t="shared" si="14"/>
        <v>ÚTIL</v>
      </c>
      <c r="AE161" s="25"/>
      <c r="AF161" s="24"/>
      <c r="AG161" s="24"/>
      <c r="AH161" s="9"/>
    </row>
    <row r="162" spans="15:34" hidden="1" x14ac:dyDescent="0.25">
      <c r="O162" s="4" t="s">
        <v>360</v>
      </c>
      <c r="P162" s="4" t="s">
        <v>119</v>
      </c>
      <c r="AA162" s="19">
        <f t="shared" si="15"/>
        <v>43260</v>
      </c>
      <c r="AB162" s="20">
        <f t="shared" si="12"/>
        <v>7</v>
      </c>
      <c r="AC162" s="21">
        <f t="shared" si="13"/>
        <v>7</v>
      </c>
      <c r="AD162" s="22" t="str">
        <f t="shared" si="14"/>
        <v>NÃO ÚTIL</v>
      </c>
      <c r="AE162" s="25"/>
      <c r="AF162" s="24"/>
      <c r="AG162" s="24"/>
      <c r="AH162" s="9"/>
    </row>
    <row r="163" spans="15:34" hidden="1" x14ac:dyDescent="0.25">
      <c r="O163" s="4" t="s">
        <v>362</v>
      </c>
      <c r="P163" s="4" t="s">
        <v>811</v>
      </c>
      <c r="AA163" s="19">
        <f t="shared" si="15"/>
        <v>43261</v>
      </c>
      <c r="AB163" s="20">
        <f t="shared" si="12"/>
        <v>1</v>
      </c>
      <c r="AC163" s="21">
        <f t="shared" si="13"/>
        <v>1</v>
      </c>
      <c r="AD163" s="22" t="str">
        <f t="shared" si="14"/>
        <v>NÃO ÚTIL</v>
      </c>
      <c r="AE163" s="25"/>
      <c r="AF163" s="24"/>
      <c r="AG163" s="24"/>
      <c r="AH163" s="9"/>
    </row>
    <row r="164" spans="15:34" hidden="1" x14ac:dyDescent="0.25">
      <c r="O164" s="4" t="s">
        <v>364</v>
      </c>
      <c r="P164" s="4" t="s">
        <v>351</v>
      </c>
      <c r="AA164" s="19">
        <f t="shared" si="15"/>
        <v>43262</v>
      </c>
      <c r="AB164" s="20">
        <f t="shared" si="12"/>
        <v>2</v>
      </c>
      <c r="AC164" s="21">
        <f t="shared" si="13"/>
        <v>2</v>
      </c>
      <c r="AD164" s="22" t="str">
        <f t="shared" si="14"/>
        <v>ÚTIL</v>
      </c>
      <c r="AE164" s="25"/>
      <c r="AF164" s="24"/>
      <c r="AG164" s="24"/>
      <c r="AH164" s="9"/>
    </row>
    <row r="165" spans="15:34" hidden="1" x14ac:dyDescent="0.25">
      <c r="O165" s="4" t="s">
        <v>366</v>
      </c>
      <c r="P165" s="4" t="s">
        <v>399</v>
      </c>
      <c r="AA165" s="19">
        <f t="shared" si="15"/>
        <v>43263</v>
      </c>
      <c r="AB165" s="20">
        <f t="shared" si="12"/>
        <v>3</v>
      </c>
      <c r="AC165" s="21">
        <f t="shared" si="13"/>
        <v>3</v>
      </c>
      <c r="AD165" s="22" t="str">
        <f t="shared" si="14"/>
        <v>ÚTIL</v>
      </c>
      <c r="AE165" s="25"/>
      <c r="AF165" s="24"/>
      <c r="AG165" s="24"/>
      <c r="AH165" s="9"/>
    </row>
    <row r="166" spans="15:34" hidden="1" x14ac:dyDescent="0.25">
      <c r="O166" s="4" t="s">
        <v>368</v>
      </c>
      <c r="P166" s="4" t="s">
        <v>519</v>
      </c>
      <c r="AA166" s="19">
        <f t="shared" si="15"/>
        <v>43264</v>
      </c>
      <c r="AB166" s="20">
        <f t="shared" si="12"/>
        <v>4</v>
      </c>
      <c r="AC166" s="21">
        <f t="shared" si="13"/>
        <v>4</v>
      </c>
      <c r="AD166" s="22" t="str">
        <f t="shared" si="14"/>
        <v>ÚTIL</v>
      </c>
      <c r="AE166" s="25"/>
      <c r="AF166" s="24"/>
      <c r="AG166" s="24"/>
      <c r="AH166" s="9"/>
    </row>
    <row r="167" spans="15:34" hidden="1" x14ac:dyDescent="0.25">
      <c r="O167" s="4" t="s">
        <v>370</v>
      </c>
      <c r="P167" s="4" t="s">
        <v>439</v>
      </c>
      <c r="AA167" s="19">
        <f t="shared" si="15"/>
        <v>43265</v>
      </c>
      <c r="AB167" s="20">
        <f t="shared" si="12"/>
        <v>5</v>
      </c>
      <c r="AC167" s="21">
        <f t="shared" si="13"/>
        <v>5</v>
      </c>
      <c r="AD167" s="22" t="str">
        <f t="shared" si="14"/>
        <v>ÚTIL</v>
      </c>
      <c r="AE167" s="25"/>
      <c r="AF167" s="24"/>
      <c r="AG167" s="24"/>
      <c r="AH167" s="9"/>
    </row>
    <row r="168" spans="15:34" hidden="1" x14ac:dyDescent="0.25">
      <c r="O168" s="4" t="s">
        <v>372</v>
      </c>
      <c r="P168" s="4" t="s">
        <v>627</v>
      </c>
      <c r="AA168" s="19">
        <f t="shared" si="15"/>
        <v>43266</v>
      </c>
      <c r="AB168" s="20">
        <f t="shared" si="12"/>
        <v>6</v>
      </c>
      <c r="AC168" s="21">
        <f t="shared" si="13"/>
        <v>6</v>
      </c>
      <c r="AD168" s="22" t="str">
        <f t="shared" si="14"/>
        <v>ÚTIL</v>
      </c>
      <c r="AE168" s="25"/>
      <c r="AF168" s="24"/>
      <c r="AG168" s="24"/>
      <c r="AH168" s="9"/>
    </row>
    <row r="169" spans="15:34" hidden="1" x14ac:dyDescent="0.25">
      <c r="O169" s="4" t="s">
        <v>374</v>
      </c>
      <c r="P169" s="4" t="s">
        <v>647</v>
      </c>
      <c r="AA169" s="19">
        <f t="shared" si="15"/>
        <v>43267</v>
      </c>
      <c r="AB169" s="20">
        <f t="shared" si="12"/>
        <v>7</v>
      </c>
      <c r="AC169" s="21">
        <f t="shared" si="13"/>
        <v>7</v>
      </c>
      <c r="AD169" s="22" t="str">
        <f t="shared" si="14"/>
        <v>NÃO ÚTIL</v>
      </c>
      <c r="AE169" s="25"/>
      <c r="AF169" s="24"/>
      <c r="AG169" s="24"/>
      <c r="AH169" s="9"/>
    </row>
    <row r="170" spans="15:34" hidden="1" x14ac:dyDescent="0.25">
      <c r="O170" s="4" t="s">
        <v>376</v>
      </c>
      <c r="P170" s="4" t="s">
        <v>617</v>
      </c>
      <c r="AA170" s="19">
        <f t="shared" si="15"/>
        <v>43268</v>
      </c>
      <c r="AB170" s="20">
        <f t="shared" si="12"/>
        <v>1</v>
      </c>
      <c r="AC170" s="21">
        <f t="shared" si="13"/>
        <v>1</v>
      </c>
      <c r="AD170" s="22" t="str">
        <f t="shared" si="14"/>
        <v>NÃO ÚTIL</v>
      </c>
      <c r="AE170" s="25"/>
      <c r="AF170" s="24"/>
      <c r="AG170" s="24"/>
      <c r="AH170" s="9"/>
    </row>
    <row r="171" spans="15:34" hidden="1" x14ac:dyDescent="0.25">
      <c r="O171" s="4" t="s">
        <v>378</v>
      </c>
      <c r="P171" s="4" t="s">
        <v>579</v>
      </c>
      <c r="AA171" s="19">
        <f t="shared" si="15"/>
        <v>43269</v>
      </c>
      <c r="AB171" s="20">
        <f t="shared" si="12"/>
        <v>2</v>
      </c>
      <c r="AC171" s="21">
        <f t="shared" si="13"/>
        <v>2</v>
      </c>
      <c r="AD171" s="22" t="str">
        <f t="shared" si="14"/>
        <v>ÚTIL</v>
      </c>
      <c r="AE171" s="25"/>
      <c r="AF171" s="24"/>
      <c r="AG171" s="24"/>
      <c r="AH171" s="9"/>
    </row>
    <row r="172" spans="15:34" hidden="1" x14ac:dyDescent="0.25">
      <c r="O172" s="4" t="s">
        <v>380</v>
      </c>
      <c r="P172" s="4" t="s">
        <v>813</v>
      </c>
      <c r="AA172" s="19">
        <f t="shared" si="15"/>
        <v>43270</v>
      </c>
      <c r="AB172" s="20">
        <f t="shared" si="12"/>
        <v>3</v>
      </c>
      <c r="AC172" s="21">
        <f t="shared" si="13"/>
        <v>3</v>
      </c>
      <c r="AD172" s="22" t="str">
        <f t="shared" si="14"/>
        <v>ÚTIL</v>
      </c>
      <c r="AE172" s="25"/>
      <c r="AF172" s="24"/>
      <c r="AG172" s="24"/>
      <c r="AH172" s="9"/>
    </row>
    <row r="173" spans="15:34" hidden="1" x14ac:dyDescent="0.25">
      <c r="O173" s="4" t="s">
        <v>382</v>
      </c>
      <c r="P173" s="4" t="s">
        <v>753</v>
      </c>
      <c r="AA173" s="19">
        <f t="shared" si="15"/>
        <v>43271</v>
      </c>
      <c r="AB173" s="20">
        <f t="shared" si="12"/>
        <v>4</v>
      </c>
      <c r="AC173" s="21">
        <f t="shared" si="13"/>
        <v>4</v>
      </c>
      <c r="AD173" s="22" t="str">
        <f t="shared" si="14"/>
        <v>ÚTIL</v>
      </c>
      <c r="AE173" s="25"/>
      <c r="AF173" s="24"/>
      <c r="AG173" s="24"/>
      <c r="AH173" s="9"/>
    </row>
    <row r="174" spans="15:34" hidden="1" x14ac:dyDescent="0.25">
      <c r="O174" s="4" t="s">
        <v>384</v>
      </c>
      <c r="P174" s="4" t="s">
        <v>551</v>
      </c>
      <c r="AA174" s="19">
        <f t="shared" si="15"/>
        <v>43272</v>
      </c>
      <c r="AB174" s="20">
        <f t="shared" si="12"/>
        <v>5</v>
      </c>
      <c r="AC174" s="21">
        <f t="shared" si="13"/>
        <v>5</v>
      </c>
      <c r="AD174" s="22" t="str">
        <f t="shared" si="14"/>
        <v>ÚTIL</v>
      </c>
      <c r="AE174" s="25"/>
      <c r="AF174" s="24"/>
      <c r="AG174" s="24"/>
      <c r="AH174" s="9"/>
    </row>
    <row r="175" spans="15:34" hidden="1" x14ac:dyDescent="0.25">
      <c r="O175" s="4" t="s">
        <v>386</v>
      </c>
      <c r="P175" s="4" t="s">
        <v>599</v>
      </c>
      <c r="AA175" s="19">
        <f t="shared" si="15"/>
        <v>43273</v>
      </c>
      <c r="AB175" s="20">
        <f t="shared" si="12"/>
        <v>6</v>
      </c>
      <c r="AC175" s="21">
        <f t="shared" si="13"/>
        <v>6</v>
      </c>
      <c r="AD175" s="22" t="str">
        <f t="shared" si="14"/>
        <v>ÚTIL</v>
      </c>
      <c r="AE175" s="25"/>
      <c r="AF175" s="24"/>
      <c r="AG175" s="24"/>
      <c r="AH175" s="9"/>
    </row>
    <row r="176" spans="15:34" hidden="1" x14ac:dyDescent="0.25">
      <c r="O176" s="4" t="s">
        <v>388</v>
      </c>
      <c r="P176" s="4" t="s">
        <v>215</v>
      </c>
      <c r="AA176" s="19">
        <f t="shared" si="15"/>
        <v>43274</v>
      </c>
      <c r="AB176" s="20">
        <f t="shared" si="12"/>
        <v>7</v>
      </c>
      <c r="AC176" s="21">
        <f t="shared" si="13"/>
        <v>7</v>
      </c>
      <c r="AD176" s="22" t="str">
        <f t="shared" si="14"/>
        <v>NÃO ÚTIL</v>
      </c>
      <c r="AE176" s="25"/>
      <c r="AF176" s="24"/>
      <c r="AG176" s="24"/>
      <c r="AH176" s="9"/>
    </row>
    <row r="177" spans="15:34" hidden="1" x14ac:dyDescent="0.25">
      <c r="O177" s="4" t="s">
        <v>390</v>
      </c>
      <c r="P177" s="4" t="s">
        <v>563</v>
      </c>
      <c r="AA177" s="19">
        <f t="shared" si="15"/>
        <v>43275</v>
      </c>
      <c r="AB177" s="20">
        <f t="shared" si="12"/>
        <v>1</v>
      </c>
      <c r="AC177" s="21">
        <f t="shared" si="13"/>
        <v>1</v>
      </c>
      <c r="AD177" s="22" t="str">
        <f t="shared" si="14"/>
        <v>NÃO ÚTIL</v>
      </c>
      <c r="AE177" s="25"/>
      <c r="AF177" s="24"/>
      <c r="AG177" s="24"/>
      <c r="AH177" s="9"/>
    </row>
    <row r="178" spans="15:34" hidden="1" x14ac:dyDescent="0.25">
      <c r="O178" s="4" t="s">
        <v>392</v>
      </c>
      <c r="P178" s="4" t="s">
        <v>383</v>
      </c>
      <c r="AA178" s="19">
        <f t="shared" si="15"/>
        <v>43276</v>
      </c>
      <c r="AB178" s="20">
        <f t="shared" si="12"/>
        <v>2</v>
      </c>
      <c r="AC178" s="21">
        <f t="shared" si="13"/>
        <v>2</v>
      </c>
      <c r="AD178" s="22" t="str">
        <f t="shared" si="14"/>
        <v>ÚTIL</v>
      </c>
      <c r="AE178" s="25"/>
      <c r="AF178" s="24"/>
      <c r="AG178" s="24"/>
      <c r="AH178" s="9"/>
    </row>
    <row r="179" spans="15:34" hidden="1" x14ac:dyDescent="0.25">
      <c r="O179" s="4" t="s">
        <v>394</v>
      </c>
      <c r="P179" s="4" t="s">
        <v>545</v>
      </c>
      <c r="AA179" s="19">
        <f t="shared" si="15"/>
        <v>43277</v>
      </c>
      <c r="AB179" s="20">
        <f t="shared" si="12"/>
        <v>3</v>
      </c>
      <c r="AC179" s="21">
        <f t="shared" si="13"/>
        <v>3</v>
      </c>
      <c r="AD179" s="22" t="str">
        <f t="shared" si="14"/>
        <v>ÚTIL</v>
      </c>
      <c r="AE179" s="25"/>
      <c r="AF179" s="24"/>
      <c r="AG179" s="24"/>
      <c r="AH179" s="9"/>
    </row>
    <row r="180" spans="15:34" hidden="1" x14ac:dyDescent="0.25">
      <c r="O180" s="4" t="s">
        <v>396</v>
      </c>
      <c r="P180" s="4" t="s">
        <v>179</v>
      </c>
      <c r="AA180" s="19">
        <f t="shared" si="15"/>
        <v>43278</v>
      </c>
      <c r="AB180" s="20">
        <f t="shared" si="12"/>
        <v>4</v>
      </c>
      <c r="AC180" s="21">
        <f t="shared" si="13"/>
        <v>4</v>
      </c>
      <c r="AD180" s="22" t="str">
        <f t="shared" si="14"/>
        <v>ÚTIL</v>
      </c>
      <c r="AE180" s="25"/>
      <c r="AF180" s="24"/>
      <c r="AG180" s="24"/>
      <c r="AH180" s="9"/>
    </row>
    <row r="181" spans="15:34" hidden="1" x14ac:dyDescent="0.25">
      <c r="O181" s="4" t="s">
        <v>398</v>
      </c>
      <c r="P181" s="4" t="s">
        <v>573</v>
      </c>
      <c r="AA181" s="19">
        <f t="shared" si="15"/>
        <v>43279</v>
      </c>
      <c r="AB181" s="20">
        <f t="shared" si="12"/>
        <v>5</v>
      </c>
      <c r="AC181" s="21">
        <f t="shared" si="13"/>
        <v>5</v>
      </c>
      <c r="AD181" s="22" t="str">
        <f t="shared" si="14"/>
        <v>ÚTIL</v>
      </c>
      <c r="AE181" s="25"/>
      <c r="AF181" s="24"/>
      <c r="AG181" s="24"/>
      <c r="AH181" s="9"/>
    </row>
    <row r="182" spans="15:34" hidden="1" x14ac:dyDescent="0.25">
      <c r="O182" s="4" t="s">
        <v>400</v>
      </c>
      <c r="P182" s="4" t="s">
        <v>601</v>
      </c>
      <c r="AA182" s="19">
        <f t="shared" si="15"/>
        <v>43280</v>
      </c>
      <c r="AB182" s="20">
        <f t="shared" si="12"/>
        <v>6</v>
      </c>
      <c r="AC182" s="21">
        <f t="shared" si="13"/>
        <v>6</v>
      </c>
      <c r="AD182" s="22" t="str">
        <f t="shared" si="14"/>
        <v>ÚTIL</v>
      </c>
      <c r="AE182" s="25"/>
      <c r="AF182" s="24"/>
      <c r="AG182" s="24"/>
      <c r="AH182" s="9"/>
    </row>
    <row r="183" spans="15:34" hidden="1" x14ac:dyDescent="0.25">
      <c r="O183" s="4" t="s">
        <v>402</v>
      </c>
      <c r="P183" s="4" t="s">
        <v>683</v>
      </c>
      <c r="AA183" s="19">
        <f t="shared" si="15"/>
        <v>43281</v>
      </c>
      <c r="AB183" s="20">
        <f t="shared" si="12"/>
        <v>7</v>
      </c>
      <c r="AC183" s="21">
        <f t="shared" si="13"/>
        <v>7</v>
      </c>
      <c r="AD183" s="22" t="str">
        <f t="shared" si="14"/>
        <v>NÃO ÚTIL</v>
      </c>
      <c r="AE183" s="25"/>
      <c r="AF183" s="24"/>
      <c r="AG183" s="24"/>
      <c r="AH183" s="9"/>
    </row>
    <row r="184" spans="15:34" hidden="1" x14ac:dyDescent="0.25">
      <c r="O184" s="4" t="s">
        <v>404</v>
      </c>
      <c r="P184" s="4" t="s">
        <v>649</v>
      </c>
      <c r="AA184" s="19">
        <f t="shared" si="15"/>
        <v>43282</v>
      </c>
      <c r="AB184" s="20">
        <f t="shared" si="12"/>
        <v>1</v>
      </c>
      <c r="AC184" s="21">
        <f t="shared" si="13"/>
        <v>1</v>
      </c>
      <c r="AD184" s="22" t="str">
        <f t="shared" si="14"/>
        <v>NÃO ÚTIL</v>
      </c>
      <c r="AE184" s="25"/>
      <c r="AF184" s="24"/>
      <c r="AG184" s="24"/>
      <c r="AH184" s="9"/>
    </row>
    <row r="185" spans="15:34" hidden="1" x14ac:dyDescent="0.25">
      <c r="O185" s="4" t="s">
        <v>406</v>
      </c>
      <c r="P185" s="4" t="s">
        <v>273</v>
      </c>
      <c r="AA185" s="19">
        <f t="shared" si="15"/>
        <v>43283</v>
      </c>
      <c r="AB185" s="20">
        <f t="shared" si="12"/>
        <v>2</v>
      </c>
      <c r="AC185" s="21">
        <f t="shared" si="13"/>
        <v>2</v>
      </c>
      <c r="AD185" s="22" t="str">
        <f t="shared" si="14"/>
        <v>ÚTIL</v>
      </c>
      <c r="AE185" s="25"/>
      <c r="AF185" s="24"/>
      <c r="AG185" s="24"/>
      <c r="AH185" s="9"/>
    </row>
    <row r="186" spans="15:34" hidden="1" x14ac:dyDescent="0.25">
      <c r="O186" s="4" t="s">
        <v>408</v>
      </c>
      <c r="P186" s="4" t="s">
        <v>581</v>
      </c>
      <c r="AA186" s="19">
        <f t="shared" si="15"/>
        <v>43284</v>
      </c>
      <c r="AB186" s="20">
        <f t="shared" si="12"/>
        <v>3</v>
      </c>
      <c r="AC186" s="21">
        <f t="shared" si="13"/>
        <v>3</v>
      </c>
      <c r="AD186" s="22" t="str">
        <f t="shared" si="14"/>
        <v>ÚTIL</v>
      </c>
      <c r="AE186" s="25"/>
      <c r="AF186" s="24"/>
      <c r="AG186" s="24"/>
      <c r="AH186" s="9"/>
    </row>
    <row r="187" spans="15:34" hidden="1" x14ac:dyDescent="0.25">
      <c r="O187" s="4" t="s">
        <v>410</v>
      </c>
      <c r="P187" s="4" t="s">
        <v>709</v>
      </c>
      <c r="AA187" s="19">
        <f t="shared" si="15"/>
        <v>43285</v>
      </c>
      <c r="AB187" s="20">
        <f t="shared" si="12"/>
        <v>4</v>
      </c>
      <c r="AC187" s="21">
        <f t="shared" si="13"/>
        <v>4</v>
      </c>
      <c r="AD187" s="22" t="str">
        <f t="shared" si="14"/>
        <v>ÚTIL</v>
      </c>
      <c r="AE187" s="25"/>
      <c r="AF187" s="24"/>
      <c r="AG187" s="24"/>
      <c r="AH187" s="9"/>
    </row>
    <row r="188" spans="15:34" hidden="1" x14ac:dyDescent="0.25">
      <c r="O188" s="4" t="s">
        <v>412</v>
      </c>
      <c r="P188" s="4" t="s">
        <v>603</v>
      </c>
      <c r="AA188" s="19">
        <f t="shared" si="15"/>
        <v>43286</v>
      </c>
      <c r="AB188" s="20">
        <f t="shared" si="12"/>
        <v>5</v>
      </c>
      <c r="AC188" s="21">
        <f t="shared" si="13"/>
        <v>5</v>
      </c>
      <c r="AD188" s="22" t="str">
        <f t="shared" si="14"/>
        <v>ÚTIL</v>
      </c>
      <c r="AE188" s="25"/>
      <c r="AF188" s="24"/>
      <c r="AG188" s="24"/>
      <c r="AH188" s="9"/>
    </row>
    <row r="189" spans="15:34" hidden="1" x14ac:dyDescent="0.25">
      <c r="O189" s="4" t="s">
        <v>414</v>
      </c>
      <c r="P189" s="4" t="s">
        <v>313</v>
      </c>
      <c r="AA189" s="19">
        <f t="shared" si="15"/>
        <v>43287</v>
      </c>
      <c r="AB189" s="20">
        <f t="shared" si="12"/>
        <v>6</v>
      </c>
      <c r="AC189" s="21">
        <f t="shared" si="13"/>
        <v>6</v>
      </c>
      <c r="AD189" s="22" t="str">
        <f t="shared" si="14"/>
        <v>ÚTIL</v>
      </c>
      <c r="AE189" s="25"/>
      <c r="AF189" s="24"/>
      <c r="AG189" s="24"/>
      <c r="AH189" s="9"/>
    </row>
    <row r="190" spans="15:34" hidden="1" x14ac:dyDescent="0.25">
      <c r="O190" s="4" t="s">
        <v>416</v>
      </c>
      <c r="P190" s="4" t="s">
        <v>203</v>
      </c>
      <c r="AA190" s="19">
        <f t="shared" si="15"/>
        <v>43288</v>
      </c>
      <c r="AB190" s="20">
        <f t="shared" si="12"/>
        <v>7</v>
      </c>
      <c r="AC190" s="21">
        <f t="shared" si="13"/>
        <v>7</v>
      </c>
      <c r="AD190" s="22" t="str">
        <f t="shared" si="14"/>
        <v>NÃO ÚTIL</v>
      </c>
      <c r="AE190" s="25"/>
      <c r="AF190" s="24"/>
      <c r="AG190" s="24"/>
      <c r="AH190" s="9"/>
    </row>
    <row r="191" spans="15:34" hidden="1" x14ac:dyDescent="0.25">
      <c r="O191" s="4" t="s">
        <v>418</v>
      </c>
      <c r="P191" s="4" t="s">
        <v>517</v>
      </c>
      <c r="AA191" s="19">
        <f t="shared" si="15"/>
        <v>43289</v>
      </c>
      <c r="AB191" s="20">
        <f t="shared" si="12"/>
        <v>1</v>
      </c>
      <c r="AC191" s="21">
        <f t="shared" si="13"/>
        <v>1</v>
      </c>
      <c r="AD191" s="22" t="str">
        <f t="shared" si="14"/>
        <v>NÃO ÚTIL</v>
      </c>
      <c r="AE191" s="25"/>
      <c r="AF191" s="24"/>
      <c r="AG191" s="24"/>
      <c r="AH191" s="9"/>
    </row>
    <row r="192" spans="15:34" hidden="1" x14ac:dyDescent="0.25">
      <c r="O192" s="4" t="s">
        <v>420</v>
      </c>
      <c r="P192" s="4" t="s">
        <v>567</v>
      </c>
      <c r="AA192" s="19">
        <f t="shared" si="15"/>
        <v>43290</v>
      </c>
      <c r="AB192" s="20">
        <f t="shared" si="12"/>
        <v>2</v>
      </c>
      <c r="AC192" s="21">
        <f t="shared" si="13"/>
        <v>2</v>
      </c>
      <c r="AD192" s="22" t="str">
        <f t="shared" si="14"/>
        <v>ÚTIL</v>
      </c>
      <c r="AE192" s="25"/>
      <c r="AF192" s="24"/>
      <c r="AG192" s="24"/>
      <c r="AH192" s="9"/>
    </row>
    <row r="193" spans="15:34" hidden="1" x14ac:dyDescent="0.25">
      <c r="O193" s="4" t="s">
        <v>422</v>
      </c>
      <c r="P193" s="4" t="s">
        <v>537</v>
      </c>
      <c r="AA193" s="19">
        <f t="shared" si="15"/>
        <v>43291</v>
      </c>
      <c r="AB193" s="20">
        <f t="shared" si="12"/>
        <v>3</v>
      </c>
      <c r="AC193" s="21">
        <f t="shared" si="13"/>
        <v>3</v>
      </c>
      <c r="AD193" s="22" t="str">
        <f t="shared" si="14"/>
        <v>ÚTIL</v>
      </c>
      <c r="AE193" s="25"/>
      <c r="AF193" s="24"/>
      <c r="AG193" s="24"/>
      <c r="AH193" s="9"/>
    </row>
    <row r="194" spans="15:34" hidden="1" x14ac:dyDescent="0.25">
      <c r="O194" s="4" t="s">
        <v>424</v>
      </c>
      <c r="P194" s="4" t="s">
        <v>373</v>
      </c>
      <c r="AA194" s="19">
        <f t="shared" si="15"/>
        <v>43292</v>
      </c>
      <c r="AB194" s="20">
        <f t="shared" si="12"/>
        <v>4</v>
      </c>
      <c r="AC194" s="21">
        <f t="shared" si="13"/>
        <v>4</v>
      </c>
      <c r="AD194" s="22" t="str">
        <f t="shared" si="14"/>
        <v>ÚTIL</v>
      </c>
      <c r="AE194" s="25"/>
      <c r="AF194" s="24"/>
      <c r="AG194" s="24"/>
      <c r="AH194" s="9"/>
    </row>
    <row r="195" spans="15:34" hidden="1" x14ac:dyDescent="0.25">
      <c r="O195" s="4" t="s">
        <v>426</v>
      </c>
      <c r="P195" s="4" t="s">
        <v>715</v>
      </c>
      <c r="AA195" s="19">
        <f t="shared" si="15"/>
        <v>43293</v>
      </c>
      <c r="AB195" s="20">
        <f t="shared" ref="AB195:AB258" si="16">AC195</f>
        <v>5</v>
      </c>
      <c r="AC195" s="21">
        <f t="shared" ref="AC195:AC258" si="17">WEEKDAY(AA195)</f>
        <v>5</v>
      </c>
      <c r="AD195" s="22" t="str">
        <f t="shared" ref="AD195:AD258" si="18">IF(WORKDAY(AA195-1,1,$AE$3:$AE$14)=AA195,"ÚTIL","NÃO ÚTIL")</f>
        <v>ÚTIL</v>
      </c>
      <c r="AE195" s="25"/>
      <c r="AF195" s="24"/>
      <c r="AG195" s="24"/>
      <c r="AH195" s="9"/>
    </row>
    <row r="196" spans="15:34" hidden="1" x14ac:dyDescent="0.25">
      <c r="O196" s="4" t="s">
        <v>428</v>
      </c>
      <c r="P196" s="4" t="s">
        <v>413</v>
      </c>
      <c r="AA196" s="19">
        <f t="shared" ref="AA196:AA259" si="19">AA195+1</f>
        <v>43294</v>
      </c>
      <c r="AB196" s="20">
        <f t="shared" si="16"/>
        <v>6</v>
      </c>
      <c r="AC196" s="21">
        <f t="shared" si="17"/>
        <v>6</v>
      </c>
      <c r="AD196" s="22" t="str">
        <f t="shared" si="18"/>
        <v>ÚTIL</v>
      </c>
      <c r="AE196" s="25"/>
      <c r="AF196" s="24"/>
      <c r="AG196" s="24"/>
      <c r="AH196" s="9"/>
    </row>
    <row r="197" spans="15:34" hidden="1" x14ac:dyDescent="0.25">
      <c r="O197" s="4" t="s">
        <v>430</v>
      </c>
      <c r="P197" s="4" t="s">
        <v>699</v>
      </c>
      <c r="AA197" s="19">
        <f t="shared" si="19"/>
        <v>43295</v>
      </c>
      <c r="AB197" s="20">
        <f t="shared" si="16"/>
        <v>7</v>
      </c>
      <c r="AC197" s="21">
        <f t="shared" si="17"/>
        <v>7</v>
      </c>
      <c r="AD197" s="22" t="str">
        <f t="shared" si="18"/>
        <v>NÃO ÚTIL</v>
      </c>
      <c r="AE197" s="25"/>
      <c r="AF197" s="24"/>
      <c r="AG197" s="24"/>
      <c r="AH197" s="9"/>
    </row>
    <row r="198" spans="15:34" hidden="1" x14ac:dyDescent="0.25">
      <c r="O198" s="4" t="s">
        <v>432</v>
      </c>
      <c r="P198" s="4" t="s">
        <v>575</v>
      </c>
      <c r="AA198" s="19">
        <f t="shared" si="19"/>
        <v>43296</v>
      </c>
      <c r="AB198" s="20">
        <f t="shared" si="16"/>
        <v>1</v>
      </c>
      <c r="AC198" s="21">
        <f t="shared" si="17"/>
        <v>1</v>
      </c>
      <c r="AD198" s="22" t="str">
        <f t="shared" si="18"/>
        <v>NÃO ÚTIL</v>
      </c>
      <c r="AE198" s="25"/>
      <c r="AF198" s="24"/>
      <c r="AG198" s="24"/>
      <c r="AH198" s="9"/>
    </row>
    <row r="199" spans="15:34" hidden="1" x14ac:dyDescent="0.25">
      <c r="O199" s="4" t="s">
        <v>434</v>
      </c>
      <c r="P199" s="4" t="s">
        <v>605</v>
      </c>
      <c r="AA199" s="19">
        <f t="shared" si="19"/>
        <v>43297</v>
      </c>
      <c r="AB199" s="20">
        <f t="shared" si="16"/>
        <v>2</v>
      </c>
      <c r="AC199" s="21">
        <f t="shared" si="17"/>
        <v>2</v>
      </c>
      <c r="AD199" s="22" t="str">
        <f t="shared" si="18"/>
        <v>ÚTIL</v>
      </c>
      <c r="AE199" s="25"/>
      <c r="AF199" s="24"/>
      <c r="AG199" s="24"/>
      <c r="AH199" s="9"/>
    </row>
    <row r="200" spans="15:34" hidden="1" x14ac:dyDescent="0.25">
      <c r="O200" s="4" t="s">
        <v>436</v>
      </c>
      <c r="P200" s="4" t="s">
        <v>795</v>
      </c>
      <c r="AA200" s="19">
        <f t="shared" si="19"/>
        <v>43298</v>
      </c>
      <c r="AB200" s="20">
        <f t="shared" si="16"/>
        <v>3</v>
      </c>
      <c r="AC200" s="21">
        <f t="shared" si="17"/>
        <v>3</v>
      </c>
      <c r="AD200" s="22" t="str">
        <f t="shared" si="18"/>
        <v>ÚTIL</v>
      </c>
      <c r="AE200" s="25"/>
      <c r="AF200" s="24"/>
      <c r="AG200" s="24"/>
      <c r="AH200" s="9"/>
    </row>
    <row r="201" spans="15:34" hidden="1" x14ac:dyDescent="0.25">
      <c r="O201" s="4" t="s">
        <v>438</v>
      </c>
      <c r="P201" s="4" t="s">
        <v>487</v>
      </c>
      <c r="AA201" s="19">
        <f t="shared" si="19"/>
        <v>43299</v>
      </c>
      <c r="AB201" s="20">
        <f t="shared" si="16"/>
        <v>4</v>
      </c>
      <c r="AC201" s="21">
        <f t="shared" si="17"/>
        <v>4</v>
      </c>
      <c r="AD201" s="22" t="str">
        <f t="shared" si="18"/>
        <v>ÚTIL</v>
      </c>
      <c r="AE201" s="25"/>
      <c r="AF201" s="24"/>
      <c r="AG201" s="24"/>
      <c r="AH201" s="9"/>
    </row>
    <row r="202" spans="15:34" hidden="1" x14ac:dyDescent="0.25">
      <c r="O202" s="4" t="s">
        <v>440</v>
      </c>
      <c r="P202" s="4" t="s">
        <v>619</v>
      </c>
      <c r="AA202" s="19">
        <f t="shared" si="19"/>
        <v>43300</v>
      </c>
      <c r="AB202" s="20">
        <f t="shared" si="16"/>
        <v>5</v>
      </c>
      <c r="AC202" s="21">
        <f t="shared" si="17"/>
        <v>5</v>
      </c>
      <c r="AD202" s="22" t="str">
        <f t="shared" si="18"/>
        <v>ÚTIL</v>
      </c>
      <c r="AE202" s="25"/>
      <c r="AF202" s="24"/>
      <c r="AG202" s="24"/>
      <c r="AH202" s="9"/>
    </row>
    <row r="203" spans="15:34" hidden="1" x14ac:dyDescent="0.25">
      <c r="O203" s="4" t="s">
        <v>442</v>
      </c>
      <c r="P203" s="4" t="s">
        <v>143</v>
      </c>
      <c r="AA203" s="19">
        <f t="shared" si="19"/>
        <v>43301</v>
      </c>
      <c r="AB203" s="20">
        <f t="shared" si="16"/>
        <v>6</v>
      </c>
      <c r="AC203" s="21">
        <f t="shared" si="17"/>
        <v>6</v>
      </c>
      <c r="AD203" s="22" t="str">
        <f t="shared" si="18"/>
        <v>ÚTIL</v>
      </c>
      <c r="AE203" s="25"/>
      <c r="AF203" s="24"/>
      <c r="AG203" s="24"/>
      <c r="AH203" s="9"/>
    </row>
    <row r="204" spans="15:34" hidden="1" x14ac:dyDescent="0.25">
      <c r="O204" s="4" t="s">
        <v>444</v>
      </c>
      <c r="P204" s="4" t="s">
        <v>275</v>
      </c>
      <c r="AA204" s="19">
        <f t="shared" si="19"/>
        <v>43302</v>
      </c>
      <c r="AB204" s="20">
        <f t="shared" si="16"/>
        <v>7</v>
      </c>
      <c r="AC204" s="21">
        <f t="shared" si="17"/>
        <v>7</v>
      </c>
      <c r="AD204" s="22" t="str">
        <f t="shared" si="18"/>
        <v>NÃO ÚTIL</v>
      </c>
      <c r="AE204" s="25"/>
      <c r="AF204" s="24"/>
      <c r="AG204" s="24"/>
      <c r="AH204" s="9"/>
    </row>
    <row r="205" spans="15:34" hidden="1" x14ac:dyDescent="0.25">
      <c r="O205" s="4" t="s">
        <v>446</v>
      </c>
      <c r="P205" s="4" t="s">
        <v>553</v>
      </c>
      <c r="AA205" s="19">
        <f t="shared" si="19"/>
        <v>43303</v>
      </c>
      <c r="AB205" s="20">
        <f t="shared" si="16"/>
        <v>1</v>
      </c>
      <c r="AC205" s="21">
        <f t="shared" si="17"/>
        <v>1</v>
      </c>
      <c r="AD205" s="22" t="str">
        <f t="shared" si="18"/>
        <v>NÃO ÚTIL</v>
      </c>
      <c r="AE205" s="25"/>
      <c r="AF205" s="24"/>
      <c r="AG205" s="24"/>
      <c r="AH205" s="9"/>
    </row>
    <row r="206" spans="15:34" hidden="1" x14ac:dyDescent="0.25">
      <c r="O206" s="4" t="s">
        <v>448</v>
      </c>
      <c r="P206" s="4" t="s">
        <v>167</v>
      </c>
      <c r="AA206" s="19">
        <f t="shared" si="19"/>
        <v>43304</v>
      </c>
      <c r="AB206" s="20">
        <f t="shared" si="16"/>
        <v>2</v>
      </c>
      <c r="AC206" s="21">
        <f t="shared" si="17"/>
        <v>2</v>
      </c>
      <c r="AD206" s="22" t="str">
        <f t="shared" si="18"/>
        <v>ÚTIL</v>
      </c>
      <c r="AE206" s="25"/>
      <c r="AF206" s="24"/>
      <c r="AG206" s="24"/>
      <c r="AH206" s="9"/>
    </row>
    <row r="207" spans="15:34" hidden="1" x14ac:dyDescent="0.25">
      <c r="O207" s="4" t="s">
        <v>450</v>
      </c>
      <c r="P207" s="4" t="s">
        <v>391</v>
      </c>
      <c r="AA207" s="19">
        <f t="shared" si="19"/>
        <v>43305</v>
      </c>
      <c r="AB207" s="20">
        <f t="shared" si="16"/>
        <v>3</v>
      </c>
      <c r="AC207" s="21">
        <f t="shared" si="17"/>
        <v>3</v>
      </c>
      <c r="AD207" s="22" t="str">
        <f t="shared" si="18"/>
        <v>ÚTIL</v>
      </c>
      <c r="AE207" s="25"/>
      <c r="AF207" s="24"/>
      <c r="AG207" s="24"/>
      <c r="AH207" s="9"/>
    </row>
    <row r="208" spans="15:34" hidden="1" x14ac:dyDescent="0.25">
      <c r="O208" s="4" t="s">
        <v>452</v>
      </c>
      <c r="P208" s="4" t="s">
        <v>419</v>
      </c>
      <c r="AA208" s="19">
        <f t="shared" si="19"/>
        <v>43306</v>
      </c>
      <c r="AB208" s="20">
        <f t="shared" si="16"/>
        <v>4</v>
      </c>
      <c r="AC208" s="21">
        <f t="shared" si="17"/>
        <v>4</v>
      </c>
      <c r="AD208" s="22" t="str">
        <f t="shared" si="18"/>
        <v>ÚTIL</v>
      </c>
      <c r="AE208" s="25"/>
      <c r="AF208" s="24"/>
      <c r="AG208" s="24"/>
      <c r="AH208" s="9"/>
    </row>
    <row r="209" spans="15:34" hidden="1" x14ac:dyDescent="0.25">
      <c r="O209" s="4" t="s">
        <v>454</v>
      </c>
      <c r="P209" s="4" t="s">
        <v>559</v>
      </c>
      <c r="AA209" s="19">
        <f t="shared" si="19"/>
        <v>43307</v>
      </c>
      <c r="AB209" s="20">
        <f t="shared" si="16"/>
        <v>5</v>
      </c>
      <c r="AC209" s="21">
        <f t="shared" si="17"/>
        <v>5</v>
      </c>
      <c r="AD209" s="22" t="str">
        <f t="shared" si="18"/>
        <v>ÚTIL</v>
      </c>
      <c r="AE209" s="25"/>
      <c r="AF209" s="24"/>
      <c r="AG209" s="24"/>
      <c r="AH209" s="9"/>
    </row>
    <row r="210" spans="15:34" hidden="1" x14ac:dyDescent="0.25">
      <c r="O210" s="4" t="s">
        <v>456</v>
      </c>
      <c r="P210" s="4" t="s">
        <v>805</v>
      </c>
      <c r="AA210" s="19">
        <f t="shared" si="19"/>
        <v>43308</v>
      </c>
      <c r="AB210" s="20">
        <f t="shared" si="16"/>
        <v>6</v>
      </c>
      <c r="AC210" s="21">
        <f t="shared" si="17"/>
        <v>6</v>
      </c>
      <c r="AD210" s="22" t="str">
        <f t="shared" si="18"/>
        <v>ÚTIL</v>
      </c>
      <c r="AE210" s="25"/>
      <c r="AF210" s="24"/>
      <c r="AG210" s="24"/>
      <c r="AH210" s="9"/>
    </row>
    <row r="211" spans="15:34" hidden="1" x14ac:dyDescent="0.25">
      <c r="O211" s="4" t="s">
        <v>458</v>
      </c>
      <c r="P211" s="4" t="s">
        <v>187</v>
      </c>
      <c r="AA211" s="19">
        <f t="shared" si="19"/>
        <v>43309</v>
      </c>
      <c r="AB211" s="20">
        <f t="shared" si="16"/>
        <v>7</v>
      </c>
      <c r="AC211" s="21">
        <f t="shared" si="17"/>
        <v>7</v>
      </c>
      <c r="AD211" s="22" t="str">
        <f t="shared" si="18"/>
        <v>NÃO ÚTIL</v>
      </c>
      <c r="AE211" s="25"/>
      <c r="AF211" s="24"/>
      <c r="AG211" s="24"/>
      <c r="AH211" s="9"/>
    </row>
    <row r="212" spans="15:34" hidden="1" x14ac:dyDescent="0.25">
      <c r="O212" s="4" t="s">
        <v>460</v>
      </c>
      <c r="P212" s="4" t="s">
        <v>29</v>
      </c>
      <c r="AA212" s="19">
        <f t="shared" si="19"/>
        <v>43310</v>
      </c>
      <c r="AB212" s="20">
        <f t="shared" si="16"/>
        <v>1</v>
      </c>
      <c r="AC212" s="21">
        <f t="shared" si="17"/>
        <v>1</v>
      </c>
      <c r="AD212" s="22" t="str">
        <f t="shared" si="18"/>
        <v>NÃO ÚTIL</v>
      </c>
      <c r="AE212" s="25"/>
      <c r="AF212" s="24"/>
      <c r="AG212" s="24"/>
      <c r="AH212" s="9"/>
    </row>
    <row r="213" spans="15:34" hidden="1" x14ac:dyDescent="0.25">
      <c r="O213" s="4" t="s">
        <v>462</v>
      </c>
      <c r="P213" s="4" t="s">
        <v>689</v>
      </c>
      <c r="AA213" s="19">
        <f t="shared" si="19"/>
        <v>43311</v>
      </c>
      <c r="AB213" s="20">
        <f t="shared" si="16"/>
        <v>2</v>
      </c>
      <c r="AC213" s="21">
        <f t="shared" si="17"/>
        <v>2</v>
      </c>
      <c r="AD213" s="22" t="str">
        <f t="shared" si="18"/>
        <v>ÚTIL</v>
      </c>
      <c r="AE213" s="25"/>
      <c r="AF213" s="24"/>
      <c r="AG213" s="24"/>
      <c r="AH213" s="9"/>
    </row>
    <row r="214" spans="15:34" hidden="1" x14ac:dyDescent="0.25">
      <c r="O214" s="4" t="s">
        <v>464</v>
      </c>
      <c r="P214" s="4" t="s">
        <v>691</v>
      </c>
      <c r="AA214" s="19">
        <f t="shared" si="19"/>
        <v>43312</v>
      </c>
      <c r="AB214" s="20">
        <f t="shared" si="16"/>
        <v>3</v>
      </c>
      <c r="AC214" s="21">
        <f t="shared" si="17"/>
        <v>3</v>
      </c>
      <c r="AD214" s="22" t="str">
        <f t="shared" si="18"/>
        <v>ÚTIL</v>
      </c>
      <c r="AE214" s="25"/>
      <c r="AF214" s="24"/>
      <c r="AG214" s="24"/>
      <c r="AH214" s="9"/>
    </row>
    <row r="215" spans="15:34" hidden="1" x14ac:dyDescent="0.25">
      <c r="O215" s="4" t="s">
        <v>466</v>
      </c>
      <c r="P215" s="4" t="s">
        <v>375</v>
      </c>
      <c r="AA215" s="19">
        <f t="shared" si="19"/>
        <v>43313</v>
      </c>
      <c r="AB215" s="20">
        <f t="shared" si="16"/>
        <v>4</v>
      </c>
      <c r="AC215" s="21">
        <f t="shared" si="17"/>
        <v>4</v>
      </c>
      <c r="AD215" s="22" t="str">
        <f t="shared" si="18"/>
        <v>ÚTIL</v>
      </c>
      <c r="AE215" s="25"/>
      <c r="AF215" s="24"/>
      <c r="AG215" s="24"/>
      <c r="AH215" s="9"/>
    </row>
    <row r="216" spans="15:34" hidden="1" x14ac:dyDescent="0.25">
      <c r="O216" s="4" t="s">
        <v>468</v>
      </c>
      <c r="P216" s="4" t="s">
        <v>32</v>
      </c>
      <c r="AA216" s="19">
        <f t="shared" si="19"/>
        <v>43314</v>
      </c>
      <c r="AB216" s="20">
        <f t="shared" si="16"/>
        <v>5</v>
      </c>
      <c r="AC216" s="21">
        <f t="shared" si="17"/>
        <v>5</v>
      </c>
      <c r="AD216" s="22" t="str">
        <f t="shared" si="18"/>
        <v>ÚTIL</v>
      </c>
      <c r="AE216" s="25"/>
      <c r="AF216" s="24"/>
      <c r="AG216" s="24"/>
      <c r="AH216" s="9"/>
    </row>
    <row r="217" spans="15:34" hidden="1" x14ac:dyDescent="0.25">
      <c r="O217" s="4" t="s">
        <v>470</v>
      </c>
      <c r="P217" s="4" t="s">
        <v>693</v>
      </c>
      <c r="AA217" s="19">
        <f t="shared" si="19"/>
        <v>43315</v>
      </c>
      <c r="AB217" s="20">
        <f t="shared" si="16"/>
        <v>6</v>
      </c>
      <c r="AC217" s="21">
        <f t="shared" si="17"/>
        <v>6</v>
      </c>
      <c r="AD217" s="22" t="str">
        <f t="shared" si="18"/>
        <v>ÚTIL</v>
      </c>
      <c r="AE217" s="25"/>
      <c r="AF217" s="24"/>
      <c r="AG217" s="24"/>
      <c r="AH217" s="9"/>
    </row>
    <row r="218" spans="15:34" hidden="1" x14ac:dyDescent="0.25">
      <c r="O218" s="4" t="s">
        <v>472</v>
      </c>
      <c r="P218" s="4" t="s">
        <v>175</v>
      </c>
      <c r="AA218" s="19">
        <f t="shared" si="19"/>
        <v>43316</v>
      </c>
      <c r="AB218" s="20">
        <f t="shared" si="16"/>
        <v>7</v>
      </c>
      <c r="AC218" s="21">
        <f t="shared" si="17"/>
        <v>7</v>
      </c>
      <c r="AD218" s="22" t="str">
        <f t="shared" si="18"/>
        <v>NÃO ÚTIL</v>
      </c>
      <c r="AE218" s="25"/>
      <c r="AF218" s="24"/>
      <c r="AG218" s="24"/>
      <c r="AH218" s="9"/>
    </row>
    <row r="219" spans="15:34" hidden="1" x14ac:dyDescent="0.25">
      <c r="O219" s="4" t="s">
        <v>474</v>
      </c>
      <c r="P219" s="4" t="s">
        <v>703</v>
      </c>
      <c r="AA219" s="19">
        <f t="shared" si="19"/>
        <v>43317</v>
      </c>
      <c r="AB219" s="20">
        <f t="shared" si="16"/>
        <v>1</v>
      </c>
      <c r="AC219" s="21">
        <f t="shared" si="17"/>
        <v>1</v>
      </c>
      <c r="AD219" s="22" t="str">
        <f t="shared" si="18"/>
        <v>NÃO ÚTIL</v>
      </c>
      <c r="AE219" s="25"/>
      <c r="AF219" s="24"/>
      <c r="AG219" s="24"/>
      <c r="AH219" s="9"/>
    </row>
    <row r="220" spans="15:34" hidden="1" x14ac:dyDescent="0.25">
      <c r="O220" s="4" t="s">
        <v>476</v>
      </c>
      <c r="P220" s="4" t="s">
        <v>331</v>
      </c>
      <c r="AA220" s="19">
        <f t="shared" si="19"/>
        <v>43318</v>
      </c>
      <c r="AB220" s="20">
        <f t="shared" si="16"/>
        <v>2</v>
      </c>
      <c r="AC220" s="21">
        <f t="shared" si="17"/>
        <v>2</v>
      </c>
      <c r="AD220" s="22" t="str">
        <f t="shared" si="18"/>
        <v>ÚTIL</v>
      </c>
      <c r="AE220" s="25"/>
      <c r="AF220" s="24"/>
      <c r="AG220" s="24"/>
      <c r="AH220" s="9"/>
    </row>
    <row r="221" spans="15:34" hidden="1" x14ac:dyDescent="0.25">
      <c r="O221" s="4" t="s">
        <v>478</v>
      </c>
      <c r="P221" s="4" t="s">
        <v>731</v>
      </c>
      <c r="AA221" s="19">
        <f t="shared" si="19"/>
        <v>43319</v>
      </c>
      <c r="AB221" s="20">
        <f t="shared" si="16"/>
        <v>3</v>
      </c>
      <c r="AC221" s="21">
        <f t="shared" si="17"/>
        <v>3</v>
      </c>
      <c r="AD221" s="22" t="str">
        <f t="shared" si="18"/>
        <v>ÚTIL</v>
      </c>
      <c r="AE221" s="25"/>
      <c r="AF221" s="24"/>
      <c r="AG221" s="24"/>
      <c r="AH221" s="9"/>
    </row>
    <row r="222" spans="15:34" hidden="1" x14ac:dyDescent="0.25">
      <c r="O222" s="4" t="s">
        <v>480</v>
      </c>
      <c r="P222" s="4" t="s">
        <v>629</v>
      </c>
      <c r="AA222" s="19">
        <f t="shared" si="19"/>
        <v>43320</v>
      </c>
      <c r="AB222" s="20">
        <f t="shared" si="16"/>
        <v>4</v>
      </c>
      <c r="AC222" s="21">
        <f t="shared" si="17"/>
        <v>4</v>
      </c>
      <c r="AD222" s="22" t="str">
        <f t="shared" si="18"/>
        <v>ÚTIL</v>
      </c>
      <c r="AE222" s="25"/>
      <c r="AF222" s="24"/>
      <c r="AG222" s="24"/>
      <c r="AH222" s="9"/>
    </row>
    <row r="223" spans="15:34" hidden="1" x14ac:dyDescent="0.25">
      <c r="O223" s="4" t="s">
        <v>482</v>
      </c>
      <c r="P223" s="4" t="s">
        <v>347</v>
      </c>
      <c r="AA223" s="19">
        <f t="shared" si="19"/>
        <v>43321</v>
      </c>
      <c r="AB223" s="20">
        <f t="shared" si="16"/>
        <v>5</v>
      </c>
      <c r="AC223" s="21">
        <f t="shared" si="17"/>
        <v>5</v>
      </c>
      <c r="AD223" s="22" t="str">
        <f t="shared" si="18"/>
        <v>ÚTIL</v>
      </c>
      <c r="AE223" s="25"/>
      <c r="AF223" s="24"/>
      <c r="AG223" s="24"/>
      <c r="AH223" s="9"/>
    </row>
    <row r="224" spans="15:34" hidden="1" x14ac:dyDescent="0.25">
      <c r="O224" s="4" t="s">
        <v>484</v>
      </c>
      <c r="P224" s="4" t="s">
        <v>739</v>
      </c>
      <c r="AA224" s="19">
        <f t="shared" si="19"/>
        <v>43322</v>
      </c>
      <c r="AB224" s="20">
        <f t="shared" si="16"/>
        <v>6</v>
      </c>
      <c r="AC224" s="21">
        <f t="shared" si="17"/>
        <v>6</v>
      </c>
      <c r="AD224" s="22" t="str">
        <f t="shared" si="18"/>
        <v>ÚTIL</v>
      </c>
      <c r="AE224" s="25"/>
      <c r="AF224" s="24"/>
      <c r="AG224" s="24"/>
      <c r="AH224" s="9"/>
    </row>
    <row r="225" spans="15:34" hidden="1" x14ac:dyDescent="0.25">
      <c r="O225" s="4" t="s">
        <v>486</v>
      </c>
      <c r="P225" s="4" t="s">
        <v>79</v>
      </c>
      <c r="AA225" s="19">
        <f t="shared" si="19"/>
        <v>43323</v>
      </c>
      <c r="AB225" s="20">
        <f t="shared" si="16"/>
        <v>7</v>
      </c>
      <c r="AC225" s="21">
        <f t="shared" si="17"/>
        <v>7</v>
      </c>
      <c r="AD225" s="22" t="str">
        <f t="shared" si="18"/>
        <v>NÃO ÚTIL</v>
      </c>
      <c r="AE225" s="25"/>
      <c r="AF225" s="24"/>
      <c r="AG225" s="24"/>
      <c r="AH225" s="9"/>
    </row>
    <row r="226" spans="15:34" hidden="1" x14ac:dyDescent="0.25">
      <c r="O226" s="4" t="s">
        <v>488</v>
      </c>
      <c r="P226" s="4" t="s">
        <v>741</v>
      </c>
      <c r="AA226" s="19">
        <f t="shared" si="19"/>
        <v>43324</v>
      </c>
      <c r="AB226" s="20">
        <f t="shared" si="16"/>
        <v>1</v>
      </c>
      <c r="AC226" s="21">
        <f t="shared" si="17"/>
        <v>1</v>
      </c>
      <c r="AD226" s="22" t="str">
        <f t="shared" si="18"/>
        <v>NÃO ÚTIL</v>
      </c>
      <c r="AE226" s="25"/>
      <c r="AF226" s="24"/>
      <c r="AG226" s="24"/>
      <c r="AH226" s="9"/>
    </row>
    <row r="227" spans="15:34" hidden="1" x14ac:dyDescent="0.25">
      <c r="O227" s="4" t="s">
        <v>490</v>
      </c>
      <c r="P227" s="4" t="s">
        <v>411</v>
      </c>
      <c r="AA227" s="19">
        <f t="shared" si="19"/>
        <v>43325</v>
      </c>
      <c r="AB227" s="20">
        <f t="shared" si="16"/>
        <v>2</v>
      </c>
      <c r="AC227" s="21">
        <f t="shared" si="17"/>
        <v>2</v>
      </c>
      <c r="AD227" s="22" t="str">
        <f t="shared" si="18"/>
        <v>ÚTIL</v>
      </c>
      <c r="AE227" s="25"/>
      <c r="AF227" s="24"/>
      <c r="AG227" s="24"/>
      <c r="AH227" s="9"/>
    </row>
    <row r="228" spans="15:34" hidden="1" x14ac:dyDescent="0.25">
      <c r="O228" s="4" t="s">
        <v>492</v>
      </c>
      <c r="P228" s="4" t="s">
        <v>725</v>
      </c>
      <c r="AA228" s="19">
        <f t="shared" si="19"/>
        <v>43326</v>
      </c>
      <c r="AB228" s="20">
        <f t="shared" si="16"/>
        <v>3</v>
      </c>
      <c r="AC228" s="21">
        <f t="shared" si="17"/>
        <v>3</v>
      </c>
      <c r="AD228" s="22" t="str">
        <f t="shared" si="18"/>
        <v>ÚTIL</v>
      </c>
      <c r="AE228" s="25"/>
      <c r="AF228" s="24"/>
      <c r="AG228" s="24"/>
      <c r="AH228" s="9"/>
    </row>
    <row r="229" spans="15:34" hidden="1" x14ac:dyDescent="0.25">
      <c r="O229" s="4" t="s">
        <v>494</v>
      </c>
      <c r="P229" s="4" t="s">
        <v>723</v>
      </c>
      <c r="AA229" s="19">
        <f t="shared" si="19"/>
        <v>43327</v>
      </c>
      <c r="AB229" s="20">
        <f t="shared" si="16"/>
        <v>4</v>
      </c>
      <c r="AC229" s="21">
        <f t="shared" si="17"/>
        <v>4</v>
      </c>
      <c r="AD229" s="22" t="str">
        <f t="shared" si="18"/>
        <v>ÚTIL</v>
      </c>
      <c r="AE229" s="25"/>
      <c r="AF229" s="24"/>
      <c r="AG229" s="24"/>
      <c r="AH229" s="9"/>
    </row>
    <row r="230" spans="15:34" hidden="1" x14ac:dyDescent="0.25">
      <c r="O230" s="4" t="s">
        <v>496</v>
      </c>
      <c r="P230" s="4" t="s">
        <v>761</v>
      </c>
      <c r="AA230" s="19">
        <f t="shared" si="19"/>
        <v>43328</v>
      </c>
      <c r="AB230" s="20">
        <f t="shared" si="16"/>
        <v>5</v>
      </c>
      <c r="AC230" s="21">
        <f t="shared" si="17"/>
        <v>5</v>
      </c>
      <c r="AD230" s="22" t="str">
        <f t="shared" si="18"/>
        <v>ÚTIL</v>
      </c>
      <c r="AE230" s="25"/>
      <c r="AF230" s="24"/>
      <c r="AG230" s="24"/>
      <c r="AH230" s="9"/>
    </row>
    <row r="231" spans="15:34" hidden="1" x14ac:dyDescent="0.25">
      <c r="O231" s="4" t="s">
        <v>498</v>
      </c>
      <c r="P231" s="4" t="s">
        <v>83</v>
      </c>
      <c r="AA231" s="19">
        <f t="shared" si="19"/>
        <v>43329</v>
      </c>
      <c r="AB231" s="20">
        <f t="shared" si="16"/>
        <v>6</v>
      </c>
      <c r="AC231" s="21">
        <f t="shared" si="17"/>
        <v>6</v>
      </c>
      <c r="AD231" s="22" t="str">
        <f t="shared" si="18"/>
        <v>ÚTIL</v>
      </c>
      <c r="AE231" s="25"/>
      <c r="AF231" s="24"/>
      <c r="AG231" s="24"/>
      <c r="AH231" s="9"/>
    </row>
    <row r="232" spans="15:34" hidden="1" x14ac:dyDescent="0.25">
      <c r="O232" s="4" t="s">
        <v>500</v>
      </c>
      <c r="P232" s="4" t="s">
        <v>695</v>
      </c>
      <c r="AA232" s="19">
        <f t="shared" si="19"/>
        <v>43330</v>
      </c>
      <c r="AB232" s="20">
        <f t="shared" si="16"/>
        <v>7</v>
      </c>
      <c r="AC232" s="21">
        <f t="shared" si="17"/>
        <v>7</v>
      </c>
      <c r="AD232" s="22" t="str">
        <f t="shared" si="18"/>
        <v>NÃO ÚTIL</v>
      </c>
      <c r="AE232" s="25"/>
      <c r="AF232" s="24"/>
      <c r="AG232" s="24"/>
      <c r="AH232" s="9"/>
    </row>
    <row r="233" spans="15:34" hidden="1" x14ac:dyDescent="0.25">
      <c r="O233" s="4" t="s">
        <v>502</v>
      </c>
      <c r="P233" s="4" t="s">
        <v>743</v>
      </c>
      <c r="AA233" s="19">
        <f t="shared" si="19"/>
        <v>43331</v>
      </c>
      <c r="AB233" s="20">
        <f t="shared" si="16"/>
        <v>1</v>
      </c>
      <c r="AC233" s="21">
        <f t="shared" si="17"/>
        <v>1</v>
      </c>
      <c r="AD233" s="22" t="str">
        <f t="shared" si="18"/>
        <v>NÃO ÚTIL</v>
      </c>
      <c r="AE233" s="25"/>
      <c r="AF233" s="24"/>
      <c r="AG233" s="24"/>
      <c r="AH233" s="9"/>
    </row>
    <row r="234" spans="15:34" hidden="1" x14ac:dyDescent="0.25">
      <c r="O234" s="4" t="s">
        <v>504</v>
      </c>
      <c r="P234" s="4" t="s">
        <v>727</v>
      </c>
      <c r="AA234" s="19">
        <f t="shared" si="19"/>
        <v>43332</v>
      </c>
      <c r="AB234" s="20">
        <f t="shared" si="16"/>
        <v>2</v>
      </c>
      <c r="AC234" s="21">
        <f t="shared" si="17"/>
        <v>2</v>
      </c>
      <c r="AD234" s="22" t="str">
        <f t="shared" si="18"/>
        <v>ÚTIL</v>
      </c>
      <c r="AE234" s="25"/>
      <c r="AF234" s="24"/>
      <c r="AG234" s="24"/>
      <c r="AH234" s="9"/>
    </row>
    <row r="235" spans="15:34" hidden="1" x14ac:dyDescent="0.25">
      <c r="O235" s="4" t="s">
        <v>506</v>
      </c>
      <c r="P235" s="4" t="s">
        <v>679</v>
      </c>
      <c r="AA235" s="19">
        <f t="shared" si="19"/>
        <v>43333</v>
      </c>
      <c r="AB235" s="20">
        <f t="shared" si="16"/>
        <v>3</v>
      </c>
      <c r="AC235" s="21">
        <f t="shared" si="17"/>
        <v>3</v>
      </c>
      <c r="AD235" s="22" t="str">
        <f t="shared" si="18"/>
        <v>ÚTIL</v>
      </c>
      <c r="AE235" s="25"/>
      <c r="AF235" s="24"/>
      <c r="AG235" s="24"/>
      <c r="AH235" s="9"/>
    </row>
    <row r="236" spans="15:34" hidden="1" x14ac:dyDescent="0.25">
      <c r="O236" s="4" t="s">
        <v>508</v>
      </c>
      <c r="P236" s="4" t="s">
        <v>747</v>
      </c>
      <c r="AA236" s="19">
        <f t="shared" si="19"/>
        <v>43334</v>
      </c>
      <c r="AB236" s="20">
        <f t="shared" si="16"/>
        <v>4</v>
      </c>
      <c r="AC236" s="21">
        <f t="shared" si="17"/>
        <v>4</v>
      </c>
      <c r="AD236" s="22" t="str">
        <f t="shared" si="18"/>
        <v>ÚTIL</v>
      </c>
      <c r="AE236" s="25"/>
      <c r="AF236" s="24"/>
      <c r="AG236" s="24"/>
      <c r="AH236" s="9"/>
    </row>
    <row r="237" spans="15:34" hidden="1" x14ac:dyDescent="0.25">
      <c r="O237" s="4" t="s">
        <v>510</v>
      </c>
      <c r="P237" s="4" t="s">
        <v>697</v>
      </c>
      <c r="AA237" s="19">
        <f t="shared" si="19"/>
        <v>43335</v>
      </c>
      <c r="AB237" s="20">
        <f t="shared" si="16"/>
        <v>5</v>
      </c>
      <c r="AC237" s="21">
        <f t="shared" si="17"/>
        <v>5</v>
      </c>
      <c r="AD237" s="22" t="str">
        <f t="shared" si="18"/>
        <v>ÚTIL</v>
      </c>
      <c r="AE237" s="25"/>
      <c r="AF237" s="24"/>
      <c r="AG237" s="24"/>
      <c r="AH237" s="9"/>
    </row>
    <row r="238" spans="15:34" hidden="1" x14ac:dyDescent="0.25">
      <c r="O238" s="4" t="s">
        <v>512</v>
      </c>
      <c r="P238" s="4" t="s">
        <v>763</v>
      </c>
      <c r="AA238" s="19">
        <f t="shared" si="19"/>
        <v>43336</v>
      </c>
      <c r="AB238" s="20">
        <f t="shared" si="16"/>
        <v>6</v>
      </c>
      <c r="AC238" s="21">
        <f t="shared" si="17"/>
        <v>6</v>
      </c>
      <c r="AD238" s="22" t="str">
        <f t="shared" si="18"/>
        <v>ÚTIL</v>
      </c>
      <c r="AE238" s="25"/>
      <c r="AF238" s="24"/>
      <c r="AG238" s="24"/>
      <c r="AH238" s="9"/>
    </row>
    <row r="239" spans="15:34" hidden="1" x14ac:dyDescent="0.25">
      <c r="O239" s="4" t="s">
        <v>514</v>
      </c>
      <c r="P239" s="4" t="s">
        <v>749</v>
      </c>
      <c r="AA239" s="19">
        <f t="shared" si="19"/>
        <v>43337</v>
      </c>
      <c r="AB239" s="20">
        <f t="shared" si="16"/>
        <v>7</v>
      </c>
      <c r="AC239" s="21">
        <f t="shared" si="17"/>
        <v>7</v>
      </c>
      <c r="AD239" s="22" t="str">
        <f t="shared" si="18"/>
        <v>NÃO ÚTIL</v>
      </c>
      <c r="AE239" s="25"/>
      <c r="AF239" s="24"/>
      <c r="AG239" s="24"/>
      <c r="AH239" s="9"/>
    </row>
    <row r="240" spans="15:34" hidden="1" x14ac:dyDescent="0.25">
      <c r="O240" s="4" t="s">
        <v>516</v>
      </c>
      <c r="P240" s="4" t="s">
        <v>729</v>
      </c>
      <c r="AA240" s="19">
        <f t="shared" si="19"/>
        <v>43338</v>
      </c>
      <c r="AB240" s="20">
        <f t="shared" si="16"/>
        <v>1</v>
      </c>
      <c r="AC240" s="21">
        <f t="shared" si="17"/>
        <v>1</v>
      </c>
      <c r="AD240" s="22" t="str">
        <f t="shared" si="18"/>
        <v>NÃO ÚTIL</v>
      </c>
      <c r="AE240" s="25"/>
      <c r="AF240" s="24"/>
      <c r="AG240" s="24"/>
      <c r="AH240" s="9"/>
    </row>
    <row r="241" spans="15:34" hidden="1" x14ac:dyDescent="0.25">
      <c r="O241" s="4" t="s">
        <v>518</v>
      </c>
      <c r="P241" s="4" t="s">
        <v>139</v>
      </c>
      <c r="AA241" s="19">
        <f t="shared" si="19"/>
        <v>43339</v>
      </c>
      <c r="AB241" s="20">
        <f t="shared" si="16"/>
        <v>2</v>
      </c>
      <c r="AC241" s="21">
        <f t="shared" si="17"/>
        <v>2</v>
      </c>
      <c r="AD241" s="22" t="str">
        <f t="shared" si="18"/>
        <v>ÚTIL</v>
      </c>
      <c r="AE241" s="25"/>
      <c r="AF241" s="24"/>
      <c r="AG241" s="24"/>
      <c r="AH241" s="9"/>
    </row>
    <row r="242" spans="15:34" hidden="1" x14ac:dyDescent="0.25">
      <c r="O242" s="4" t="s">
        <v>520</v>
      </c>
      <c r="P242" s="4" t="s">
        <v>113</v>
      </c>
      <c r="AA242" s="19">
        <f t="shared" si="19"/>
        <v>43340</v>
      </c>
      <c r="AB242" s="20">
        <f t="shared" si="16"/>
        <v>3</v>
      </c>
      <c r="AC242" s="21">
        <f t="shared" si="17"/>
        <v>3</v>
      </c>
      <c r="AD242" s="22" t="str">
        <f t="shared" si="18"/>
        <v>ÚTIL</v>
      </c>
      <c r="AE242" s="25"/>
      <c r="AF242" s="24"/>
      <c r="AG242" s="24"/>
      <c r="AH242" s="9"/>
    </row>
    <row r="243" spans="15:34" hidden="1" x14ac:dyDescent="0.25">
      <c r="O243" s="4" t="s">
        <v>522</v>
      </c>
      <c r="P243" s="4" t="s">
        <v>57</v>
      </c>
      <c r="AA243" s="19">
        <f t="shared" si="19"/>
        <v>43341</v>
      </c>
      <c r="AB243" s="20">
        <f t="shared" si="16"/>
        <v>4</v>
      </c>
      <c r="AC243" s="21">
        <f t="shared" si="17"/>
        <v>4</v>
      </c>
      <c r="AD243" s="22" t="str">
        <f t="shared" si="18"/>
        <v>ÚTIL</v>
      </c>
      <c r="AE243" s="25"/>
      <c r="AF243" s="24"/>
      <c r="AG243" s="24"/>
      <c r="AH243" s="9"/>
    </row>
    <row r="244" spans="15:34" hidden="1" x14ac:dyDescent="0.25">
      <c r="O244" s="4" t="s">
        <v>524</v>
      </c>
      <c r="P244" s="4" t="s">
        <v>255</v>
      </c>
      <c r="AA244" s="19">
        <f t="shared" si="19"/>
        <v>43342</v>
      </c>
      <c r="AB244" s="20">
        <f t="shared" si="16"/>
        <v>5</v>
      </c>
      <c r="AC244" s="21">
        <f t="shared" si="17"/>
        <v>5</v>
      </c>
      <c r="AD244" s="22" t="str">
        <f t="shared" si="18"/>
        <v>ÚTIL</v>
      </c>
      <c r="AE244" s="25"/>
      <c r="AF244" s="24"/>
      <c r="AG244" s="24"/>
      <c r="AH244" s="9"/>
    </row>
    <row r="245" spans="15:34" hidden="1" x14ac:dyDescent="0.25">
      <c r="O245" s="4" t="s">
        <v>526</v>
      </c>
      <c r="P245" s="4" t="s">
        <v>129</v>
      </c>
      <c r="AA245" s="19">
        <f t="shared" si="19"/>
        <v>43343</v>
      </c>
      <c r="AB245" s="20">
        <f t="shared" si="16"/>
        <v>6</v>
      </c>
      <c r="AC245" s="21">
        <f t="shared" si="17"/>
        <v>6</v>
      </c>
      <c r="AD245" s="22" t="str">
        <f t="shared" si="18"/>
        <v>ÚTIL</v>
      </c>
      <c r="AE245" s="25"/>
      <c r="AF245" s="24"/>
      <c r="AG245" s="24"/>
      <c r="AH245" s="9"/>
    </row>
    <row r="246" spans="15:34" hidden="1" x14ac:dyDescent="0.25">
      <c r="O246" s="4" t="s">
        <v>528</v>
      </c>
      <c r="P246" s="4" t="s">
        <v>359</v>
      </c>
      <c r="AA246" s="19">
        <f t="shared" si="19"/>
        <v>43344</v>
      </c>
      <c r="AB246" s="20">
        <f t="shared" si="16"/>
        <v>7</v>
      </c>
      <c r="AC246" s="21">
        <f t="shared" si="17"/>
        <v>7</v>
      </c>
      <c r="AD246" s="22" t="str">
        <f t="shared" si="18"/>
        <v>NÃO ÚTIL</v>
      </c>
      <c r="AE246" s="25"/>
      <c r="AF246" s="24"/>
      <c r="AG246" s="24"/>
      <c r="AH246" s="9"/>
    </row>
    <row r="247" spans="15:34" hidden="1" x14ac:dyDescent="0.25">
      <c r="O247" s="4" t="s">
        <v>530</v>
      </c>
      <c r="P247" s="4" t="s">
        <v>205</v>
      </c>
      <c r="AA247" s="19">
        <f t="shared" si="19"/>
        <v>43345</v>
      </c>
      <c r="AB247" s="20">
        <f t="shared" si="16"/>
        <v>1</v>
      </c>
      <c r="AC247" s="21">
        <f t="shared" si="17"/>
        <v>1</v>
      </c>
      <c r="AD247" s="22" t="str">
        <f t="shared" si="18"/>
        <v>NÃO ÚTIL</v>
      </c>
      <c r="AE247" s="25"/>
      <c r="AF247" s="24"/>
      <c r="AG247" s="24"/>
      <c r="AH247" s="9"/>
    </row>
    <row r="248" spans="15:34" hidden="1" x14ac:dyDescent="0.25">
      <c r="O248" s="4" t="s">
        <v>532</v>
      </c>
      <c r="P248" s="4" t="s">
        <v>127</v>
      </c>
      <c r="AA248" s="19">
        <f t="shared" si="19"/>
        <v>43346</v>
      </c>
      <c r="AB248" s="20">
        <f t="shared" si="16"/>
        <v>2</v>
      </c>
      <c r="AC248" s="21">
        <f t="shared" si="17"/>
        <v>2</v>
      </c>
      <c r="AD248" s="22" t="str">
        <f t="shared" si="18"/>
        <v>ÚTIL</v>
      </c>
      <c r="AE248" s="25"/>
      <c r="AF248" s="24"/>
      <c r="AG248" s="24"/>
      <c r="AH248" s="9"/>
    </row>
    <row r="249" spans="15:34" hidden="1" x14ac:dyDescent="0.25">
      <c r="O249" s="4" t="s">
        <v>534</v>
      </c>
      <c r="P249" s="4" t="s">
        <v>147</v>
      </c>
      <c r="AA249" s="19">
        <f t="shared" si="19"/>
        <v>43347</v>
      </c>
      <c r="AB249" s="20">
        <f t="shared" si="16"/>
        <v>3</v>
      </c>
      <c r="AC249" s="21">
        <f t="shared" si="17"/>
        <v>3</v>
      </c>
      <c r="AD249" s="22" t="str">
        <f t="shared" si="18"/>
        <v>ÚTIL</v>
      </c>
      <c r="AE249" s="25"/>
      <c r="AF249" s="24"/>
      <c r="AG249" s="24"/>
      <c r="AH249" s="9"/>
    </row>
    <row r="250" spans="15:34" hidden="1" x14ac:dyDescent="0.25">
      <c r="O250" s="4" t="s">
        <v>536</v>
      </c>
      <c r="P250" s="4" t="s">
        <v>297</v>
      </c>
      <c r="AA250" s="19">
        <f t="shared" si="19"/>
        <v>43348</v>
      </c>
      <c r="AB250" s="20">
        <f t="shared" si="16"/>
        <v>4</v>
      </c>
      <c r="AC250" s="21">
        <f t="shared" si="17"/>
        <v>4</v>
      </c>
      <c r="AD250" s="22" t="str">
        <f t="shared" si="18"/>
        <v>ÚTIL</v>
      </c>
      <c r="AE250" s="25"/>
      <c r="AF250" s="24"/>
      <c r="AG250" s="24"/>
      <c r="AH250" s="9"/>
    </row>
    <row r="251" spans="15:34" hidden="1" x14ac:dyDescent="0.25">
      <c r="O251" s="4" t="s">
        <v>538</v>
      </c>
      <c r="P251" s="4" t="s">
        <v>81</v>
      </c>
      <c r="AA251" s="19">
        <f t="shared" si="19"/>
        <v>43349</v>
      </c>
      <c r="AB251" s="20">
        <f t="shared" si="16"/>
        <v>5</v>
      </c>
      <c r="AC251" s="21">
        <f t="shared" si="17"/>
        <v>5</v>
      </c>
      <c r="AD251" s="22" t="str">
        <f t="shared" si="18"/>
        <v>ÚTIL</v>
      </c>
      <c r="AE251" s="25"/>
      <c r="AF251" s="24"/>
      <c r="AG251" s="24"/>
      <c r="AH251" s="9"/>
    </row>
    <row r="252" spans="15:34" hidden="1" x14ac:dyDescent="0.25">
      <c r="O252" s="4" t="s">
        <v>540</v>
      </c>
      <c r="P252" s="4" t="s">
        <v>94</v>
      </c>
      <c r="AA252" s="19">
        <f t="shared" si="19"/>
        <v>43350</v>
      </c>
      <c r="AB252" s="20">
        <f t="shared" si="16"/>
        <v>6</v>
      </c>
      <c r="AC252" s="21">
        <f t="shared" si="17"/>
        <v>6</v>
      </c>
      <c r="AD252" s="22" t="str">
        <f t="shared" si="18"/>
        <v>NÃO ÚTIL</v>
      </c>
      <c r="AE252" s="25"/>
      <c r="AF252" s="24"/>
      <c r="AG252" s="24"/>
      <c r="AH252" s="9"/>
    </row>
    <row r="253" spans="15:34" hidden="1" x14ac:dyDescent="0.25">
      <c r="O253" s="4" t="s">
        <v>542</v>
      </c>
      <c r="P253" s="4" t="s">
        <v>87</v>
      </c>
      <c r="AA253" s="19">
        <f t="shared" si="19"/>
        <v>43351</v>
      </c>
      <c r="AB253" s="20">
        <f t="shared" si="16"/>
        <v>7</v>
      </c>
      <c r="AC253" s="21">
        <f t="shared" si="17"/>
        <v>7</v>
      </c>
      <c r="AD253" s="22" t="str">
        <f t="shared" si="18"/>
        <v>NÃO ÚTIL</v>
      </c>
      <c r="AE253" s="25"/>
      <c r="AF253" s="24"/>
      <c r="AG253" s="24"/>
      <c r="AH253" s="9"/>
    </row>
    <row r="254" spans="15:34" hidden="1" x14ac:dyDescent="0.25">
      <c r="O254" s="4" t="s">
        <v>544</v>
      </c>
      <c r="P254" s="4" t="s">
        <v>319</v>
      </c>
      <c r="AA254" s="19">
        <f t="shared" si="19"/>
        <v>43352</v>
      </c>
      <c r="AB254" s="20">
        <f t="shared" si="16"/>
        <v>1</v>
      </c>
      <c r="AC254" s="21">
        <f t="shared" si="17"/>
        <v>1</v>
      </c>
      <c r="AD254" s="22" t="str">
        <f t="shared" si="18"/>
        <v>NÃO ÚTIL</v>
      </c>
      <c r="AE254" s="25"/>
      <c r="AF254" s="24"/>
      <c r="AG254" s="24"/>
      <c r="AH254" s="9"/>
    </row>
    <row r="255" spans="15:34" hidden="1" x14ac:dyDescent="0.25">
      <c r="O255" s="4" t="s">
        <v>546</v>
      </c>
      <c r="P255" s="4" t="s">
        <v>355</v>
      </c>
      <c r="AA255" s="19">
        <f t="shared" si="19"/>
        <v>43353</v>
      </c>
      <c r="AB255" s="20">
        <f t="shared" si="16"/>
        <v>2</v>
      </c>
      <c r="AC255" s="21">
        <f t="shared" si="17"/>
        <v>2</v>
      </c>
      <c r="AD255" s="22" t="str">
        <f t="shared" si="18"/>
        <v>ÚTIL</v>
      </c>
      <c r="AE255" s="25"/>
      <c r="AF255" s="24"/>
      <c r="AG255" s="24"/>
      <c r="AH255" s="9"/>
    </row>
    <row r="256" spans="15:34" hidden="1" x14ac:dyDescent="0.25">
      <c r="O256" s="4" t="s">
        <v>548</v>
      </c>
      <c r="P256" s="4" t="s">
        <v>41</v>
      </c>
      <c r="AA256" s="19">
        <f t="shared" si="19"/>
        <v>43354</v>
      </c>
      <c r="AB256" s="20">
        <f t="shared" si="16"/>
        <v>3</v>
      </c>
      <c r="AC256" s="21">
        <f t="shared" si="17"/>
        <v>3</v>
      </c>
      <c r="AD256" s="22" t="str">
        <f t="shared" si="18"/>
        <v>ÚTIL</v>
      </c>
      <c r="AE256" s="25"/>
      <c r="AF256" s="24"/>
      <c r="AG256" s="24"/>
      <c r="AH256" s="9"/>
    </row>
    <row r="257" spans="15:34" hidden="1" x14ac:dyDescent="0.25">
      <c r="O257" s="4" t="s">
        <v>550</v>
      </c>
      <c r="P257" s="4" t="s">
        <v>177</v>
      </c>
      <c r="AA257" s="19">
        <f t="shared" si="19"/>
        <v>43355</v>
      </c>
      <c r="AB257" s="20">
        <f t="shared" si="16"/>
        <v>4</v>
      </c>
      <c r="AC257" s="21">
        <f t="shared" si="17"/>
        <v>4</v>
      </c>
      <c r="AD257" s="22" t="str">
        <f t="shared" si="18"/>
        <v>ÚTIL</v>
      </c>
      <c r="AE257" s="25"/>
      <c r="AF257" s="24"/>
      <c r="AG257" s="24"/>
      <c r="AH257" s="9"/>
    </row>
    <row r="258" spans="15:34" hidden="1" x14ac:dyDescent="0.25">
      <c r="O258" s="4" t="s">
        <v>552</v>
      </c>
      <c r="P258" s="4" t="s">
        <v>221</v>
      </c>
      <c r="AA258" s="19">
        <f t="shared" si="19"/>
        <v>43356</v>
      </c>
      <c r="AB258" s="20">
        <f t="shared" si="16"/>
        <v>5</v>
      </c>
      <c r="AC258" s="21">
        <f t="shared" si="17"/>
        <v>5</v>
      </c>
      <c r="AD258" s="22" t="str">
        <f t="shared" si="18"/>
        <v>ÚTIL</v>
      </c>
      <c r="AE258" s="25"/>
      <c r="AF258" s="24"/>
      <c r="AG258" s="24"/>
      <c r="AH258" s="9"/>
    </row>
    <row r="259" spans="15:34" hidden="1" x14ac:dyDescent="0.25">
      <c r="O259" s="4" t="s">
        <v>554</v>
      </c>
      <c r="P259" s="4" t="s">
        <v>257</v>
      </c>
      <c r="AA259" s="19">
        <f t="shared" si="19"/>
        <v>43357</v>
      </c>
      <c r="AB259" s="20">
        <f t="shared" ref="AB259:AB322" si="20">AC259</f>
        <v>6</v>
      </c>
      <c r="AC259" s="21">
        <f t="shared" ref="AC259:AC322" si="21">WEEKDAY(AA259)</f>
        <v>6</v>
      </c>
      <c r="AD259" s="22" t="str">
        <f t="shared" ref="AD259:AD322" si="22">IF(WORKDAY(AA259-1,1,$AE$3:$AE$14)=AA259,"ÚTIL","NÃO ÚTIL")</f>
        <v>ÚTIL</v>
      </c>
      <c r="AE259" s="25"/>
      <c r="AF259" s="24"/>
      <c r="AG259" s="24"/>
      <c r="AH259" s="9"/>
    </row>
    <row r="260" spans="15:34" hidden="1" x14ac:dyDescent="0.25">
      <c r="O260" s="4" t="s">
        <v>556</v>
      </c>
      <c r="P260" s="4" t="s">
        <v>141</v>
      </c>
      <c r="AA260" s="19">
        <f t="shared" ref="AA260:AA323" si="23">AA259+1</f>
        <v>43358</v>
      </c>
      <c r="AB260" s="20">
        <f t="shared" si="20"/>
        <v>7</v>
      </c>
      <c r="AC260" s="21">
        <f t="shared" si="21"/>
        <v>7</v>
      </c>
      <c r="AD260" s="22" t="str">
        <f t="shared" si="22"/>
        <v>NÃO ÚTIL</v>
      </c>
      <c r="AE260" s="25"/>
      <c r="AF260" s="24"/>
      <c r="AG260" s="24"/>
      <c r="AH260" s="9"/>
    </row>
    <row r="261" spans="15:34" hidden="1" x14ac:dyDescent="0.25">
      <c r="O261" s="4" t="s">
        <v>558</v>
      </c>
      <c r="P261" s="4" t="s">
        <v>509</v>
      </c>
      <c r="AA261" s="19">
        <f t="shared" si="23"/>
        <v>43359</v>
      </c>
      <c r="AB261" s="20">
        <f t="shared" si="20"/>
        <v>1</v>
      </c>
      <c r="AC261" s="21">
        <f t="shared" si="21"/>
        <v>1</v>
      </c>
      <c r="AD261" s="22" t="str">
        <f t="shared" si="22"/>
        <v>NÃO ÚTIL</v>
      </c>
      <c r="AE261" s="25"/>
      <c r="AF261" s="24"/>
      <c r="AG261" s="24"/>
      <c r="AH261" s="9"/>
    </row>
    <row r="262" spans="15:34" hidden="1" x14ac:dyDescent="0.25">
      <c r="O262" s="4" t="s">
        <v>560</v>
      </c>
      <c r="P262" s="4" t="s">
        <v>261</v>
      </c>
      <c r="AA262" s="19">
        <f t="shared" si="23"/>
        <v>43360</v>
      </c>
      <c r="AB262" s="20">
        <f t="shared" si="20"/>
        <v>2</v>
      </c>
      <c r="AC262" s="21">
        <f t="shared" si="21"/>
        <v>2</v>
      </c>
      <c r="AD262" s="22" t="str">
        <f t="shared" si="22"/>
        <v>ÚTIL</v>
      </c>
      <c r="AE262" s="25"/>
      <c r="AF262" s="24"/>
      <c r="AG262" s="24"/>
      <c r="AH262" s="9"/>
    </row>
    <row r="263" spans="15:34" hidden="1" x14ac:dyDescent="0.25">
      <c r="O263" s="4" t="s">
        <v>562</v>
      </c>
      <c r="P263" s="4" t="s">
        <v>133</v>
      </c>
      <c r="AA263" s="19">
        <f t="shared" si="23"/>
        <v>43361</v>
      </c>
      <c r="AB263" s="20">
        <f t="shared" si="20"/>
        <v>3</v>
      </c>
      <c r="AC263" s="21">
        <f t="shared" si="21"/>
        <v>3</v>
      </c>
      <c r="AD263" s="22" t="str">
        <f t="shared" si="22"/>
        <v>ÚTIL</v>
      </c>
      <c r="AE263" s="25"/>
      <c r="AF263" s="24"/>
      <c r="AG263" s="24"/>
      <c r="AH263" s="9"/>
    </row>
    <row r="264" spans="15:34" hidden="1" x14ac:dyDescent="0.25">
      <c r="O264" s="4" t="s">
        <v>564</v>
      </c>
      <c r="P264" s="4" t="s">
        <v>35</v>
      </c>
      <c r="AA264" s="19">
        <f t="shared" si="23"/>
        <v>43362</v>
      </c>
      <c r="AB264" s="20">
        <f t="shared" si="20"/>
        <v>4</v>
      </c>
      <c r="AC264" s="21">
        <f t="shared" si="21"/>
        <v>4</v>
      </c>
      <c r="AD264" s="22" t="str">
        <f t="shared" si="22"/>
        <v>ÚTIL</v>
      </c>
      <c r="AE264" s="25"/>
      <c r="AF264" s="24"/>
      <c r="AG264" s="24"/>
      <c r="AH264" s="9"/>
    </row>
    <row r="265" spans="15:34" hidden="1" x14ac:dyDescent="0.25">
      <c r="O265" s="4" t="s">
        <v>566</v>
      </c>
      <c r="P265" s="4" t="s">
        <v>66</v>
      </c>
      <c r="AA265" s="19">
        <f t="shared" si="23"/>
        <v>43363</v>
      </c>
      <c r="AB265" s="20">
        <f t="shared" si="20"/>
        <v>5</v>
      </c>
      <c r="AC265" s="21">
        <f t="shared" si="21"/>
        <v>5</v>
      </c>
      <c r="AD265" s="22" t="str">
        <f t="shared" si="22"/>
        <v>ÚTIL</v>
      </c>
      <c r="AE265" s="25"/>
      <c r="AF265" s="24"/>
      <c r="AG265" s="24"/>
      <c r="AH265" s="9"/>
    </row>
    <row r="266" spans="15:34" hidden="1" x14ac:dyDescent="0.25">
      <c r="O266" s="4" t="s">
        <v>568</v>
      </c>
      <c r="P266" s="4" t="s">
        <v>189</v>
      </c>
      <c r="AA266" s="19">
        <f t="shared" si="23"/>
        <v>43364</v>
      </c>
      <c r="AB266" s="20">
        <f t="shared" si="20"/>
        <v>6</v>
      </c>
      <c r="AC266" s="21">
        <f t="shared" si="21"/>
        <v>6</v>
      </c>
      <c r="AD266" s="22" t="str">
        <f t="shared" si="22"/>
        <v>ÚTIL</v>
      </c>
      <c r="AE266" s="25"/>
      <c r="AF266" s="24"/>
      <c r="AG266" s="24"/>
      <c r="AH266" s="9"/>
    </row>
    <row r="267" spans="15:34" hidden="1" x14ac:dyDescent="0.25">
      <c r="O267" s="4" t="s">
        <v>570</v>
      </c>
      <c r="P267" s="4" t="s">
        <v>265</v>
      </c>
      <c r="AA267" s="19">
        <f t="shared" si="23"/>
        <v>43365</v>
      </c>
      <c r="AB267" s="20">
        <f t="shared" si="20"/>
        <v>7</v>
      </c>
      <c r="AC267" s="21">
        <f t="shared" si="21"/>
        <v>7</v>
      </c>
      <c r="AD267" s="22" t="str">
        <f t="shared" si="22"/>
        <v>NÃO ÚTIL</v>
      </c>
      <c r="AE267" s="25"/>
      <c r="AF267" s="24"/>
      <c r="AG267" s="24"/>
      <c r="AH267" s="9"/>
    </row>
    <row r="268" spans="15:34" hidden="1" x14ac:dyDescent="0.25">
      <c r="O268" s="4" t="s">
        <v>572</v>
      </c>
      <c r="P268" s="4" t="s">
        <v>287</v>
      </c>
      <c r="AA268" s="19">
        <f t="shared" si="23"/>
        <v>43366</v>
      </c>
      <c r="AB268" s="20">
        <f t="shared" si="20"/>
        <v>1</v>
      </c>
      <c r="AC268" s="21">
        <f t="shared" si="21"/>
        <v>1</v>
      </c>
      <c r="AD268" s="22" t="str">
        <f t="shared" si="22"/>
        <v>NÃO ÚTIL</v>
      </c>
      <c r="AE268" s="25"/>
      <c r="AF268" s="24"/>
      <c r="AG268" s="24"/>
      <c r="AH268" s="9"/>
    </row>
    <row r="269" spans="15:34" hidden="1" x14ac:dyDescent="0.25">
      <c r="O269" s="4" t="s">
        <v>574</v>
      </c>
      <c r="P269" s="4" t="s">
        <v>329</v>
      </c>
      <c r="AA269" s="19">
        <f t="shared" si="23"/>
        <v>43367</v>
      </c>
      <c r="AB269" s="20">
        <f t="shared" si="20"/>
        <v>2</v>
      </c>
      <c r="AC269" s="21">
        <f t="shared" si="21"/>
        <v>2</v>
      </c>
      <c r="AD269" s="22" t="str">
        <f t="shared" si="22"/>
        <v>ÚTIL</v>
      </c>
      <c r="AE269" s="25"/>
      <c r="AF269" s="24"/>
      <c r="AG269" s="24"/>
      <c r="AH269" s="9"/>
    </row>
    <row r="270" spans="15:34" hidden="1" x14ac:dyDescent="0.25">
      <c r="O270" s="4" t="s">
        <v>576</v>
      </c>
      <c r="P270" s="4" t="s">
        <v>363</v>
      </c>
      <c r="AA270" s="19">
        <f t="shared" si="23"/>
        <v>43368</v>
      </c>
      <c r="AB270" s="20">
        <f t="shared" si="20"/>
        <v>3</v>
      </c>
      <c r="AC270" s="21">
        <f t="shared" si="21"/>
        <v>3</v>
      </c>
      <c r="AD270" s="22" t="str">
        <f t="shared" si="22"/>
        <v>ÚTIL</v>
      </c>
      <c r="AE270" s="25"/>
      <c r="AF270" s="24"/>
      <c r="AG270" s="24"/>
      <c r="AH270" s="9"/>
    </row>
    <row r="271" spans="15:34" hidden="1" x14ac:dyDescent="0.25">
      <c r="O271" s="4" t="s">
        <v>578</v>
      </c>
      <c r="P271" s="4" t="s">
        <v>405</v>
      </c>
      <c r="AA271" s="19">
        <f t="shared" si="23"/>
        <v>43369</v>
      </c>
      <c r="AB271" s="20">
        <f t="shared" si="20"/>
        <v>4</v>
      </c>
      <c r="AC271" s="21">
        <f t="shared" si="21"/>
        <v>4</v>
      </c>
      <c r="AD271" s="22" t="str">
        <f t="shared" si="22"/>
        <v>ÚTIL</v>
      </c>
      <c r="AE271" s="25"/>
      <c r="AF271" s="24"/>
      <c r="AG271" s="24"/>
      <c r="AH271" s="9"/>
    </row>
    <row r="272" spans="15:34" hidden="1" x14ac:dyDescent="0.25">
      <c r="O272" s="4" t="s">
        <v>580</v>
      </c>
      <c r="P272" s="4" t="s">
        <v>311</v>
      </c>
      <c r="AA272" s="19">
        <f t="shared" si="23"/>
        <v>43370</v>
      </c>
      <c r="AB272" s="20">
        <f t="shared" si="20"/>
        <v>5</v>
      </c>
      <c r="AC272" s="21">
        <f t="shared" si="21"/>
        <v>5</v>
      </c>
      <c r="AD272" s="22" t="str">
        <f t="shared" si="22"/>
        <v>ÚTIL</v>
      </c>
      <c r="AE272" s="25"/>
      <c r="AF272" s="24"/>
      <c r="AG272" s="24"/>
      <c r="AH272" s="9"/>
    </row>
    <row r="273" spans="15:34" hidden="1" x14ac:dyDescent="0.25">
      <c r="O273" s="4" t="s">
        <v>582</v>
      </c>
      <c r="P273" s="4" t="s">
        <v>687</v>
      </c>
      <c r="AA273" s="19">
        <f t="shared" si="23"/>
        <v>43371</v>
      </c>
      <c r="AB273" s="20">
        <f t="shared" si="20"/>
        <v>6</v>
      </c>
      <c r="AC273" s="21">
        <f t="shared" si="21"/>
        <v>6</v>
      </c>
      <c r="AD273" s="22" t="str">
        <f t="shared" si="22"/>
        <v>ÚTIL</v>
      </c>
      <c r="AE273" s="25"/>
      <c r="AF273" s="24"/>
      <c r="AG273" s="24"/>
      <c r="AH273" s="9"/>
    </row>
    <row r="274" spans="15:34" hidden="1" x14ac:dyDescent="0.25">
      <c r="O274" s="4" t="s">
        <v>584</v>
      </c>
      <c r="P274" s="4" t="s">
        <v>707</v>
      </c>
      <c r="AA274" s="19">
        <f t="shared" si="23"/>
        <v>43372</v>
      </c>
      <c r="AB274" s="20">
        <f t="shared" si="20"/>
        <v>7</v>
      </c>
      <c r="AC274" s="21">
        <f t="shared" si="21"/>
        <v>7</v>
      </c>
      <c r="AD274" s="22" t="str">
        <f t="shared" si="22"/>
        <v>NÃO ÚTIL</v>
      </c>
      <c r="AE274" s="25"/>
      <c r="AF274" s="24"/>
      <c r="AG274" s="24"/>
      <c r="AH274" s="9"/>
    </row>
    <row r="275" spans="15:34" hidden="1" x14ac:dyDescent="0.25">
      <c r="O275" s="4" t="s">
        <v>586</v>
      </c>
      <c r="P275" s="4" t="s">
        <v>361</v>
      </c>
      <c r="AA275" s="19">
        <f t="shared" si="23"/>
        <v>43373</v>
      </c>
      <c r="AB275" s="20">
        <f t="shared" si="20"/>
        <v>1</v>
      </c>
      <c r="AC275" s="21">
        <f t="shared" si="21"/>
        <v>1</v>
      </c>
      <c r="AD275" s="22" t="str">
        <f t="shared" si="22"/>
        <v>NÃO ÚTIL</v>
      </c>
      <c r="AE275" s="25"/>
      <c r="AF275" s="24"/>
      <c r="AG275" s="24"/>
      <c r="AH275" s="9"/>
    </row>
    <row r="276" spans="15:34" hidden="1" x14ac:dyDescent="0.25">
      <c r="O276" s="4" t="s">
        <v>588</v>
      </c>
      <c r="P276" s="4" t="s">
        <v>99</v>
      </c>
      <c r="AA276" s="19">
        <f t="shared" si="23"/>
        <v>43374</v>
      </c>
      <c r="AB276" s="20">
        <f t="shared" si="20"/>
        <v>2</v>
      </c>
      <c r="AC276" s="21">
        <f t="shared" si="21"/>
        <v>2</v>
      </c>
      <c r="AD276" s="22" t="str">
        <f t="shared" si="22"/>
        <v>ÚTIL</v>
      </c>
      <c r="AE276" s="25"/>
      <c r="AF276" s="24"/>
      <c r="AG276" s="24"/>
      <c r="AH276" s="9"/>
    </row>
    <row r="277" spans="15:34" hidden="1" x14ac:dyDescent="0.25">
      <c r="O277" s="4" t="s">
        <v>590</v>
      </c>
      <c r="P277" s="4" t="s">
        <v>441</v>
      </c>
      <c r="AA277" s="19">
        <f t="shared" si="23"/>
        <v>43375</v>
      </c>
      <c r="AB277" s="20">
        <f t="shared" si="20"/>
        <v>3</v>
      </c>
      <c r="AC277" s="21">
        <f t="shared" si="21"/>
        <v>3</v>
      </c>
      <c r="AD277" s="22" t="str">
        <f t="shared" si="22"/>
        <v>ÚTIL</v>
      </c>
      <c r="AE277" s="25"/>
      <c r="AF277" s="24"/>
      <c r="AG277" s="24"/>
      <c r="AH277" s="9"/>
    </row>
    <row r="278" spans="15:34" hidden="1" x14ac:dyDescent="0.25">
      <c r="O278" s="4" t="s">
        <v>592</v>
      </c>
      <c r="P278" s="4" t="s">
        <v>535</v>
      </c>
      <c r="AA278" s="19">
        <f t="shared" si="23"/>
        <v>43376</v>
      </c>
      <c r="AB278" s="20">
        <f t="shared" si="20"/>
        <v>4</v>
      </c>
      <c r="AC278" s="21">
        <f t="shared" si="21"/>
        <v>4</v>
      </c>
      <c r="AD278" s="22" t="str">
        <f t="shared" si="22"/>
        <v>ÚTIL</v>
      </c>
      <c r="AE278" s="25"/>
      <c r="AF278" s="24"/>
      <c r="AG278" s="24"/>
      <c r="AH278" s="9"/>
    </row>
    <row r="279" spans="15:34" hidden="1" x14ac:dyDescent="0.25">
      <c r="O279" s="4" t="s">
        <v>594</v>
      </c>
      <c r="P279" s="4" t="s">
        <v>471</v>
      </c>
      <c r="AA279" s="19">
        <f t="shared" si="23"/>
        <v>43377</v>
      </c>
      <c r="AB279" s="20">
        <f t="shared" si="20"/>
        <v>5</v>
      </c>
      <c r="AC279" s="21">
        <f t="shared" si="21"/>
        <v>5</v>
      </c>
      <c r="AD279" s="22" t="str">
        <f t="shared" si="22"/>
        <v>ÚTIL</v>
      </c>
      <c r="AE279" s="25"/>
      <c r="AF279" s="24"/>
      <c r="AG279" s="24"/>
      <c r="AH279" s="9"/>
    </row>
    <row r="280" spans="15:34" hidden="1" x14ac:dyDescent="0.25">
      <c r="O280" s="4" t="s">
        <v>596</v>
      </c>
      <c r="P280" s="4" t="s">
        <v>759</v>
      </c>
      <c r="AA280" s="19">
        <f t="shared" si="23"/>
        <v>43378</v>
      </c>
      <c r="AB280" s="20">
        <f t="shared" si="20"/>
        <v>6</v>
      </c>
      <c r="AC280" s="21">
        <f t="shared" si="21"/>
        <v>6</v>
      </c>
      <c r="AD280" s="22" t="str">
        <f t="shared" si="22"/>
        <v>ÚTIL</v>
      </c>
      <c r="AE280" s="25"/>
      <c r="AF280" s="24"/>
      <c r="AG280" s="24"/>
      <c r="AH280" s="9"/>
    </row>
    <row r="281" spans="15:34" hidden="1" x14ac:dyDescent="0.25">
      <c r="O281" s="4" t="s">
        <v>598</v>
      </c>
      <c r="P281" s="4" t="s">
        <v>705</v>
      </c>
      <c r="AA281" s="19">
        <f t="shared" si="23"/>
        <v>43379</v>
      </c>
      <c r="AB281" s="20">
        <f t="shared" si="20"/>
        <v>7</v>
      </c>
      <c r="AC281" s="21">
        <f t="shared" si="21"/>
        <v>7</v>
      </c>
      <c r="AD281" s="22" t="str">
        <f t="shared" si="22"/>
        <v>NÃO ÚTIL</v>
      </c>
      <c r="AE281" s="25"/>
      <c r="AF281" s="24"/>
      <c r="AG281" s="24"/>
      <c r="AH281" s="9"/>
    </row>
    <row r="282" spans="15:34" hidden="1" x14ac:dyDescent="0.25">
      <c r="O282" s="4" t="s">
        <v>600</v>
      </c>
      <c r="P282" s="4" t="s">
        <v>54</v>
      </c>
      <c r="AA282" s="19">
        <f t="shared" si="23"/>
        <v>43380</v>
      </c>
      <c r="AB282" s="20">
        <f t="shared" si="20"/>
        <v>1</v>
      </c>
      <c r="AC282" s="21">
        <f t="shared" si="21"/>
        <v>1</v>
      </c>
      <c r="AD282" s="22" t="str">
        <f t="shared" si="22"/>
        <v>NÃO ÚTIL</v>
      </c>
      <c r="AE282" s="25"/>
      <c r="AF282" s="24"/>
      <c r="AG282" s="24"/>
      <c r="AH282" s="9"/>
    </row>
    <row r="283" spans="15:34" hidden="1" x14ac:dyDescent="0.25">
      <c r="O283" s="4" t="s">
        <v>602</v>
      </c>
      <c r="P283" s="4" t="s">
        <v>185</v>
      </c>
      <c r="AA283" s="19">
        <f t="shared" si="23"/>
        <v>43381</v>
      </c>
      <c r="AB283" s="20">
        <f t="shared" si="20"/>
        <v>2</v>
      </c>
      <c r="AC283" s="21">
        <f t="shared" si="21"/>
        <v>2</v>
      </c>
      <c r="AD283" s="22" t="str">
        <f t="shared" si="22"/>
        <v>ÚTIL</v>
      </c>
      <c r="AE283" s="25"/>
      <c r="AF283" s="24"/>
      <c r="AG283" s="24"/>
      <c r="AH283" s="9"/>
    </row>
    <row r="284" spans="15:34" hidden="1" x14ac:dyDescent="0.25">
      <c r="O284" s="4" t="s">
        <v>604</v>
      </c>
      <c r="P284" s="4" t="s">
        <v>123</v>
      </c>
      <c r="AA284" s="19">
        <f t="shared" si="23"/>
        <v>43382</v>
      </c>
      <c r="AB284" s="20">
        <f t="shared" si="20"/>
        <v>3</v>
      </c>
      <c r="AC284" s="21">
        <f t="shared" si="21"/>
        <v>3</v>
      </c>
      <c r="AD284" s="22" t="str">
        <f t="shared" si="22"/>
        <v>ÚTIL</v>
      </c>
      <c r="AE284" s="25"/>
      <c r="AF284" s="24"/>
      <c r="AG284" s="24"/>
      <c r="AH284" s="9"/>
    </row>
    <row r="285" spans="15:34" hidden="1" x14ac:dyDescent="0.25">
      <c r="O285" s="4" t="s">
        <v>606</v>
      </c>
      <c r="P285" s="4" t="s">
        <v>285</v>
      </c>
      <c r="AA285" s="19">
        <f t="shared" si="23"/>
        <v>43383</v>
      </c>
      <c r="AB285" s="20">
        <f t="shared" si="20"/>
        <v>4</v>
      </c>
      <c r="AC285" s="21">
        <f t="shared" si="21"/>
        <v>4</v>
      </c>
      <c r="AD285" s="22" t="str">
        <f t="shared" si="22"/>
        <v>ÚTIL</v>
      </c>
      <c r="AE285" s="25"/>
      <c r="AF285" s="24"/>
      <c r="AG285" s="24"/>
      <c r="AH285" s="9"/>
    </row>
    <row r="286" spans="15:34" hidden="1" x14ac:dyDescent="0.25">
      <c r="O286" s="4" t="s">
        <v>608</v>
      </c>
      <c r="P286" s="4" t="s">
        <v>269</v>
      </c>
      <c r="AA286" s="19">
        <f t="shared" si="23"/>
        <v>43384</v>
      </c>
      <c r="AB286" s="20">
        <f t="shared" si="20"/>
        <v>5</v>
      </c>
      <c r="AC286" s="21">
        <f t="shared" si="21"/>
        <v>5</v>
      </c>
      <c r="AD286" s="22" t="str">
        <f t="shared" si="22"/>
        <v>ÚTIL</v>
      </c>
      <c r="AE286" s="25"/>
      <c r="AF286" s="24"/>
      <c r="AG286" s="24"/>
      <c r="AH286" s="9"/>
    </row>
    <row r="287" spans="15:34" hidden="1" x14ac:dyDescent="0.25">
      <c r="O287" s="4" t="s">
        <v>610</v>
      </c>
      <c r="P287" s="4" t="s">
        <v>387</v>
      </c>
      <c r="AA287" s="19">
        <f t="shared" si="23"/>
        <v>43385</v>
      </c>
      <c r="AB287" s="20">
        <f t="shared" si="20"/>
        <v>6</v>
      </c>
      <c r="AC287" s="21">
        <f t="shared" si="21"/>
        <v>6</v>
      </c>
      <c r="AD287" s="22" t="str">
        <f t="shared" si="22"/>
        <v>NÃO ÚTIL</v>
      </c>
      <c r="AE287" s="25"/>
      <c r="AF287" s="24"/>
      <c r="AG287" s="24"/>
      <c r="AH287" s="9"/>
    </row>
    <row r="288" spans="15:34" hidden="1" x14ac:dyDescent="0.25">
      <c r="O288" s="4" t="s">
        <v>612</v>
      </c>
      <c r="P288" s="4" t="s">
        <v>281</v>
      </c>
      <c r="AA288" s="19">
        <f t="shared" si="23"/>
        <v>43386</v>
      </c>
      <c r="AB288" s="20">
        <f t="shared" si="20"/>
        <v>7</v>
      </c>
      <c r="AC288" s="21">
        <f t="shared" si="21"/>
        <v>7</v>
      </c>
      <c r="AD288" s="22" t="str">
        <f t="shared" si="22"/>
        <v>NÃO ÚTIL</v>
      </c>
      <c r="AE288" s="25"/>
      <c r="AF288" s="24"/>
      <c r="AG288" s="24"/>
      <c r="AH288" s="9"/>
    </row>
    <row r="289" spans="15:34" hidden="1" x14ac:dyDescent="0.25">
      <c r="O289" s="4" t="s">
        <v>614</v>
      </c>
      <c r="P289" s="4" t="s">
        <v>365</v>
      </c>
      <c r="AA289" s="19">
        <f t="shared" si="23"/>
        <v>43387</v>
      </c>
      <c r="AB289" s="20">
        <f t="shared" si="20"/>
        <v>1</v>
      </c>
      <c r="AC289" s="21">
        <f t="shared" si="21"/>
        <v>1</v>
      </c>
      <c r="AD289" s="22" t="str">
        <f t="shared" si="22"/>
        <v>NÃO ÚTIL</v>
      </c>
      <c r="AE289" s="25"/>
      <c r="AF289" s="24"/>
      <c r="AG289" s="24"/>
      <c r="AH289" s="9"/>
    </row>
    <row r="290" spans="15:34" hidden="1" x14ac:dyDescent="0.25">
      <c r="O290" s="4" t="s">
        <v>616</v>
      </c>
      <c r="P290" s="4" t="s">
        <v>367</v>
      </c>
      <c r="AA290" s="19">
        <f t="shared" si="23"/>
        <v>43388</v>
      </c>
      <c r="AB290" s="20">
        <f t="shared" si="20"/>
        <v>2</v>
      </c>
      <c r="AC290" s="21">
        <f t="shared" si="21"/>
        <v>2</v>
      </c>
      <c r="AD290" s="22" t="str">
        <f t="shared" si="22"/>
        <v>ÚTIL</v>
      </c>
      <c r="AE290" s="25"/>
      <c r="AF290" s="24"/>
      <c r="AG290" s="24"/>
      <c r="AH290" s="9"/>
    </row>
    <row r="291" spans="15:34" hidden="1" x14ac:dyDescent="0.25">
      <c r="O291" s="4" t="s">
        <v>618</v>
      </c>
      <c r="P291" s="4" t="s">
        <v>485</v>
      </c>
      <c r="AA291" s="19">
        <f t="shared" si="23"/>
        <v>43389</v>
      </c>
      <c r="AB291" s="20">
        <f t="shared" si="20"/>
        <v>3</v>
      </c>
      <c r="AC291" s="21">
        <f t="shared" si="21"/>
        <v>3</v>
      </c>
      <c r="AD291" s="22" t="str">
        <f t="shared" si="22"/>
        <v>ÚTIL</v>
      </c>
      <c r="AE291" s="25"/>
      <c r="AF291" s="24"/>
      <c r="AG291" s="24"/>
      <c r="AH291" s="9"/>
    </row>
    <row r="292" spans="15:34" hidden="1" x14ac:dyDescent="0.25">
      <c r="O292" s="4" t="s">
        <v>620</v>
      </c>
      <c r="P292" s="4" t="s">
        <v>417</v>
      </c>
      <c r="AA292" s="19">
        <f t="shared" si="23"/>
        <v>43390</v>
      </c>
      <c r="AB292" s="20">
        <f t="shared" si="20"/>
        <v>4</v>
      </c>
      <c r="AC292" s="21">
        <f t="shared" si="21"/>
        <v>4</v>
      </c>
      <c r="AD292" s="22" t="str">
        <f t="shared" si="22"/>
        <v>ÚTIL</v>
      </c>
      <c r="AE292" s="25"/>
      <c r="AF292" s="24"/>
      <c r="AG292" s="24"/>
      <c r="AH292" s="9"/>
    </row>
    <row r="293" spans="15:34" hidden="1" x14ac:dyDescent="0.25">
      <c r="O293" s="4" t="s">
        <v>622</v>
      </c>
      <c r="P293" s="4" t="s">
        <v>421</v>
      </c>
      <c r="AA293" s="19">
        <f t="shared" si="23"/>
        <v>43391</v>
      </c>
      <c r="AB293" s="20">
        <f t="shared" si="20"/>
        <v>5</v>
      </c>
      <c r="AC293" s="21">
        <f t="shared" si="21"/>
        <v>5</v>
      </c>
      <c r="AD293" s="22" t="str">
        <f t="shared" si="22"/>
        <v>ÚTIL</v>
      </c>
      <c r="AE293" s="25"/>
      <c r="AF293" s="24"/>
      <c r="AG293" s="24"/>
      <c r="AH293" s="9"/>
    </row>
    <row r="294" spans="15:34" hidden="1" x14ac:dyDescent="0.25">
      <c r="O294" s="4" t="s">
        <v>624</v>
      </c>
      <c r="P294" s="4" t="s">
        <v>295</v>
      </c>
      <c r="AA294" s="19">
        <f t="shared" si="23"/>
        <v>43392</v>
      </c>
      <c r="AB294" s="20">
        <f t="shared" si="20"/>
        <v>6</v>
      </c>
      <c r="AC294" s="21">
        <f t="shared" si="21"/>
        <v>6</v>
      </c>
      <c r="AD294" s="22" t="str">
        <f t="shared" si="22"/>
        <v>ÚTIL</v>
      </c>
      <c r="AE294" s="25"/>
      <c r="AF294" s="24"/>
      <c r="AG294" s="24"/>
      <c r="AH294" s="9"/>
    </row>
    <row r="295" spans="15:34" hidden="1" x14ac:dyDescent="0.25">
      <c r="O295" s="4" t="s">
        <v>626</v>
      </c>
      <c r="P295" s="4" t="s">
        <v>415</v>
      </c>
      <c r="AA295" s="19">
        <f t="shared" si="23"/>
        <v>43393</v>
      </c>
      <c r="AB295" s="20">
        <f t="shared" si="20"/>
        <v>7</v>
      </c>
      <c r="AC295" s="21">
        <f t="shared" si="21"/>
        <v>7</v>
      </c>
      <c r="AD295" s="22" t="str">
        <f t="shared" si="22"/>
        <v>NÃO ÚTIL</v>
      </c>
      <c r="AE295" s="25"/>
      <c r="AF295" s="24"/>
      <c r="AG295" s="24"/>
      <c r="AH295" s="9"/>
    </row>
    <row r="296" spans="15:34" hidden="1" x14ac:dyDescent="0.25">
      <c r="O296" s="4" t="s">
        <v>628</v>
      </c>
      <c r="P296" s="4" t="s">
        <v>449</v>
      </c>
      <c r="AA296" s="19">
        <f t="shared" si="23"/>
        <v>43394</v>
      </c>
      <c r="AB296" s="20">
        <f t="shared" si="20"/>
        <v>1</v>
      </c>
      <c r="AC296" s="21">
        <f t="shared" si="21"/>
        <v>1</v>
      </c>
      <c r="AD296" s="22" t="str">
        <f t="shared" si="22"/>
        <v>NÃO ÚTIL</v>
      </c>
      <c r="AE296" s="25"/>
      <c r="AF296" s="24"/>
      <c r="AG296" s="24"/>
      <c r="AH296" s="9"/>
    </row>
    <row r="297" spans="15:34" hidden="1" x14ac:dyDescent="0.25">
      <c r="O297" s="4" t="s">
        <v>630</v>
      </c>
      <c r="P297" s="4" t="s">
        <v>733</v>
      </c>
      <c r="AA297" s="19">
        <f t="shared" si="23"/>
        <v>43395</v>
      </c>
      <c r="AB297" s="20">
        <f t="shared" si="20"/>
        <v>2</v>
      </c>
      <c r="AC297" s="21">
        <f t="shared" si="21"/>
        <v>2</v>
      </c>
      <c r="AD297" s="22" t="str">
        <f t="shared" si="22"/>
        <v>ÚTIL</v>
      </c>
      <c r="AE297" s="25"/>
      <c r="AF297" s="24"/>
      <c r="AG297" s="24"/>
      <c r="AH297" s="9"/>
    </row>
    <row r="298" spans="15:34" hidden="1" x14ac:dyDescent="0.25">
      <c r="O298" s="4" t="s">
        <v>632</v>
      </c>
      <c r="P298" s="4" t="s">
        <v>353</v>
      </c>
      <c r="AA298" s="19">
        <f t="shared" si="23"/>
        <v>43396</v>
      </c>
      <c r="AB298" s="20">
        <f t="shared" si="20"/>
        <v>3</v>
      </c>
      <c r="AC298" s="21">
        <f t="shared" si="21"/>
        <v>3</v>
      </c>
      <c r="AD298" s="22" t="str">
        <f t="shared" si="22"/>
        <v>ÚTIL</v>
      </c>
      <c r="AE298" s="25"/>
      <c r="AF298" s="24"/>
      <c r="AG298" s="24"/>
      <c r="AH298" s="9"/>
    </row>
    <row r="299" spans="15:34" hidden="1" x14ac:dyDescent="0.25">
      <c r="O299" s="4" t="s">
        <v>634</v>
      </c>
      <c r="P299" s="4" t="s">
        <v>183</v>
      </c>
      <c r="AA299" s="19">
        <f t="shared" si="23"/>
        <v>43397</v>
      </c>
      <c r="AB299" s="20">
        <f t="shared" si="20"/>
        <v>4</v>
      </c>
      <c r="AC299" s="21">
        <f t="shared" si="21"/>
        <v>4</v>
      </c>
      <c r="AD299" s="22" t="str">
        <f t="shared" si="22"/>
        <v>NÃO ÚTIL</v>
      </c>
      <c r="AE299" s="25"/>
      <c r="AF299" s="24"/>
      <c r="AG299" s="24"/>
      <c r="AH299" s="9"/>
    </row>
    <row r="300" spans="15:34" hidden="1" x14ac:dyDescent="0.25">
      <c r="O300" s="4" t="s">
        <v>636</v>
      </c>
      <c r="P300" s="4" t="s">
        <v>303</v>
      </c>
      <c r="AA300" s="19">
        <f t="shared" si="23"/>
        <v>43398</v>
      </c>
      <c r="AB300" s="20">
        <f t="shared" si="20"/>
        <v>5</v>
      </c>
      <c r="AC300" s="21">
        <f t="shared" si="21"/>
        <v>5</v>
      </c>
      <c r="AD300" s="22" t="str">
        <f t="shared" si="22"/>
        <v>ÚTIL</v>
      </c>
      <c r="AE300" s="25"/>
      <c r="AF300" s="24"/>
      <c r="AG300" s="24"/>
      <c r="AH300" s="9"/>
    </row>
    <row r="301" spans="15:34" hidden="1" x14ac:dyDescent="0.25">
      <c r="O301" s="4" t="s">
        <v>638</v>
      </c>
      <c r="P301" s="4" t="s">
        <v>499</v>
      </c>
      <c r="AA301" s="19">
        <f t="shared" si="23"/>
        <v>43399</v>
      </c>
      <c r="AB301" s="20">
        <f t="shared" si="20"/>
        <v>6</v>
      </c>
      <c r="AC301" s="21">
        <f t="shared" si="21"/>
        <v>6</v>
      </c>
      <c r="AD301" s="22" t="str">
        <f t="shared" si="22"/>
        <v>ÚTIL</v>
      </c>
      <c r="AE301" s="25"/>
      <c r="AF301" s="24"/>
      <c r="AG301" s="24"/>
      <c r="AH301" s="9"/>
    </row>
    <row r="302" spans="15:34" hidden="1" x14ac:dyDescent="0.25">
      <c r="O302" s="4" t="s">
        <v>640</v>
      </c>
      <c r="P302" s="4" t="s">
        <v>745</v>
      </c>
      <c r="AA302" s="19">
        <f t="shared" si="23"/>
        <v>43400</v>
      </c>
      <c r="AB302" s="20">
        <f t="shared" si="20"/>
        <v>7</v>
      </c>
      <c r="AC302" s="21">
        <f t="shared" si="21"/>
        <v>7</v>
      </c>
      <c r="AD302" s="22" t="str">
        <f t="shared" si="22"/>
        <v>NÃO ÚTIL</v>
      </c>
      <c r="AE302" s="25"/>
      <c r="AF302" s="24"/>
      <c r="AG302" s="24"/>
      <c r="AH302" s="9"/>
    </row>
    <row r="303" spans="15:34" hidden="1" x14ac:dyDescent="0.25">
      <c r="O303" s="4" t="s">
        <v>642</v>
      </c>
      <c r="P303" s="4" t="s">
        <v>789</v>
      </c>
      <c r="AA303" s="19">
        <f t="shared" si="23"/>
        <v>43401</v>
      </c>
      <c r="AB303" s="20">
        <f t="shared" si="20"/>
        <v>1</v>
      </c>
      <c r="AC303" s="21">
        <f t="shared" si="21"/>
        <v>1</v>
      </c>
      <c r="AD303" s="22" t="str">
        <f t="shared" si="22"/>
        <v>NÃO ÚTIL</v>
      </c>
      <c r="AE303" s="25"/>
      <c r="AF303" s="24"/>
      <c r="AG303" s="24"/>
      <c r="AH303" s="9"/>
    </row>
    <row r="304" spans="15:34" hidden="1" x14ac:dyDescent="0.25">
      <c r="O304" s="4" t="s">
        <v>644</v>
      </c>
      <c r="P304" s="4" t="s">
        <v>791</v>
      </c>
      <c r="AA304" s="19">
        <f t="shared" si="23"/>
        <v>43402</v>
      </c>
      <c r="AB304" s="20">
        <f t="shared" si="20"/>
        <v>2</v>
      </c>
      <c r="AC304" s="21">
        <f t="shared" si="21"/>
        <v>2</v>
      </c>
      <c r="AD304" s="22" t="str">
        <f t="shared" si="22"/>
        <v>ÚTIL</v>
      </c>
      <c r="AE304" s="25"/>
      <c r="AF304" s="24"/>
      <c r="AG304" s="24"/>
      <c r="AH304" s="9"/>
    </row>
    <row r="305" spans="15:34" hidden="1" x14ac:dyDescent="0.25">
      <c r="O305" s="4" t="s">
        <v>646</v>
      </c>
      <c r="P305" s="4" t="s">
        <v>793</v>
      </c>
      <c r="AA305" s="19">
        <f t="shared" si="23"/>
        <v>43403</v>
      </c>
      <c r="AB305" s="20">
        <f t="shared" si="20"/>
        <v>3</v>
      </c>
      <c r="AC305" s="21">
        <f t="shared" si="21"/>
        <v>3</v>
      </c>
      <c r="AD305" s="22" t="str">
        <f t="shared" si="22"/>
        <v>ÚTIL</v>
      </c>
      <c r="AE305" s="25"/>
      <c r="AF305" s="24"/>
      <c r="AG305" s="24"/>
      <c r="AH305" s="9"/>
    </row>
    <row r="306" spans="15:34" hidden="1" x14ac:dyDescent="0.25">
      <c r="O306" s="4" t="s">
        <v>648</v>
      </c>
      <c r="P306" s="4" t="s">
        <v>803</v>
      </c>
      <c r="AA306" s="19">
        <f t="shared" si="23"/>
        <v>43404</v>
      </c>
      <c r="AB306" s="20">
        <f t="shared" si="20"/>
        <v>4</v>
      </c>
      <c r="AC306" s="21">
        <f t="shared" si="21"/>
        <v>4</v>
      </c>
      <c r="AD306" s="22" t="str">
        <f t="shared" si="22"/>
        <v>ÚTIL</v>
      </c>
      <c r="AE306" s="25"/>
      <c r="AF306" s="24"/>
      <c r="AG306" s="24"/>
      <c r="AH306" s="9"/>
    </row>
    <row r="307" spans="15:34" hidden="1" x14ac:dyDescent="0.25">
      <c r="O307" s="4" t="s">
        <v>650</v>
      </c>
      <c r="P307" s="4" t="s">
        <v>821</v>
      </c>
      <c r="AA307" s="19">
        <f t="shared" si="23"/>
        <v>43405</v>
      </c>
      <c r="AB307" s="20">
        <f t="shared" si="20"/>
        <v>5</v>
      </c>
      <c r="AC307" s="21">
        <f t="shared" si="21"/>
        <v>5</v>
      </c>
      <c r="AD307" s="22" t="str">
        <f t="shared" si="22"/>
        <v>ÚTIL</v>
      </c>
      <c r="AE307" s="25"/>
      <c r="AF307" s="24"/>
      <c r="AG307" s="24"/>
      <c r="AH307" s="9"/>
    </row>
    <row r="308" spans="15:34" hidden="1" x14ac:dyDescent="0.25">
      <c r="O308" s="4" t="s">
        <v>652</v>
      </c>
      <c r="P308" s="4" t="s">
        <v>815</v>
      </c>
      <c r="AA308" s="19">
        <f t="shared" si="23"/>
        <v>43406</v>
      </c>
      <c r="AB308" s="20">
        <f t="shared" si="20"/>
        <v>6</v>
      </c>
      <c r="AC308" s="21">
        <f t="shared" si="21"/>
        <v>6</v>
      </c>
      <c r="AD308" s="22" t="str">
        <f t="shared" si="22"/>
        <v>NÃO ÚTIL</v>
      </c>
      <c r="AE308" s="25"/>
      <c r="AF308" s="24"/>
      <c r="AG308" s="24"/>
      <c r="AH308" s="9"/>
    </row>
    <row r="309" spans="15:34" hidden="1" x14ac:dyDescent="0.25">
      <c r="O309" s="4" t="s">
        <v>654</v>
      </c>
      <c r="P309" s="4" t="s">
        <v>819</v>
      </c>
      <c r="AA309" s="19">
        <f t="shared" si="23"/>
        <v>43407</v>
      </c>
      <c r="AB309" s="20">
        <f t="shared" si="20"/>
        <v>7</v>
      </c>
      <c r="AC309" s="21">
        <f t="shared" si="21"/>
        <v>7</v>
      </c>
      <c r="AD309" s="22" t="str">
        <f t="shared" si="22"/>
        <v>NÃO ÚTIL</v>
      </c>
      <c r="AE309" s="25"/>
      <c r="AF309" s="24"/>
      <c r="AG309" s="24"/>
      <c r="AH309" s="9"/>
    </row>
    <row r="310" spans="15:34" hidden="1" x14ac:dyDescent="0.25">
      <c r="O310" s="4" t="s">
        <v>656</v>
      </c>
      <c r="P310" s="4" t="s">
        <v>817</v>
      </c>
      <c r="AA310" s="19">
        <f t="shared" si="23"/>
        <v>43408</v>
      </c>
      <c r="AB310" s="20">
        <f t="shared" si="20"/>
        <v>1</v>
      </c>
      <c r="AC310" s="21">
        <f t="shared" si="21"/>
        <v>1</v>
      </c>
      <c r="AD310" s="22" t="str">
        <f t="shared" si="22"/>
        <v>NÃO ÚTIL</v>
      </c>
      <c r="AE310" s="25"/>
      <c r="AF310" s="24"/>
      <c r="AG310" s="24"/>
      <c r="AH310" s="9"/>
    </row>
    <row r="311" spans="15:34" hidden="1" x14ac:dyDescent="0.25">
      <c r="O311" s="4" t="s">
        <v>658</v>
      </c>
      <c r="P311" s="4" t="s">
        <v>671</v>
      </c>
      <c r="AA311" s="19">
        <f t="shared" si="23"/>
        <v>43409</v>
      </c>
      <c r="AB311" s="20">
        <f t="shared" si="20"/>
        <v>2</v>
      </c>
      <c r="AC311" s="21">
        <f t="shared" si="21"/>
        <v>2</v>
      </c>
      <c r="AD311" s="22" t="str">
        <f t="shared" si="22"/>
        <v>ÚTIL</v>
      </c>
      <c r="AE311" s="25"/>
      <c r="AF311" s="24"/>
      <c r="AG311" s="24"/>
      <c r="AH311" s="9"/>
    </row>
    <row r="312" spans="15:34" hidden="1" x14ac:dyDescent="0.25">
      <c r="O312" s="4" t="s">
        <v>660</v>
      </c>
      <c r="P312" s="4" t="s">
        <v>289</v>
      </c>
      <c r="AA312" s="19">
        <f t="shared" si="23"/>
        <v>43410</v>
      </c>
      <c r="AB312" s="20">
        <f t="shared" si="20"/>
        <v>3</v>
      </c>
      <c r="AC312" s="21">
        <f t="shared" si="21"/>
        <v>3</v>
      </c>
      <c r="AD312" s="22" t="str">
        <f t="shared" si="22"/>
        <v>ÚTIL</v>
      </c>
      <c r="AE312" s="25"/>
      <c r="AF312" s="24"/>
      <c r="AG312" s="24"/>
      <c r="AH312" s="9"/>
    </row>
    <row r="313" spans="15:34" hidden="1" x14ac:dyDescent="0.25">
      <c r="O313" s="4" t="s">
        <v>662</v>
      </c>
      <c r="P313" s="4" t="s">
        <v>339</v>
      </c>
      <c r="AA313" s="19">
        <f t="shared" si="23"/>
        <v>43411</v>
      </c>
      <c r="AB313" s="20">
        <f t="shared" si="20"/>
        <v>4</v>
      </c>
      <c r="AC313" s="21">
        <f t="shared" si="21"/>
        <v>4</v>
      </c>
      <c r="AD313" s="22" t="str">
        <f t="shared" si="22"/>
        <v>ÚTIL</v>
      </c>
      <c r="AE313" s="25"/>
      <c r="AF313" s="24"/>
      <c r="AG313" s="24"/>
      <c r="AH313" s="9"/>
    </row>
    <row r="314" spans="15:34" hidden="1" x14ac:dyDescent="0.25">
      <c r="O314" s="4" t="s">
        <v>664</v>
      </c>
      <c r="P314" s="4" t="s">
        <v>237</v>
      </c>
      <c r="AA314" s="19">
        <f t="shared" si="23"/>
        <v>43412</v>
      </c>
      <c r="AB314" s="20">
        <f t="shared" si="20"/>
        <v>5</v>
      </c>
      <c r="AC314" s="21">
        <f t="shared" si="21"/>
        <v>5</v>
      </c>
      <c r="AD314" s="22" t="str">
        <f t="shared" si="22"/>
        <v>ÚTIL</v>
      </c>
      <c r="AE314" s="25"/>
      <c r="AF314" s="24"/>
      <c r="AG314" s="24"/>
      <c r="AH314" s="9"/>
    </row>
    <row r="315" spans="15:34" hidden="1" x14ac:dyDescent="0.25">
      <c r="O315" s="4" t="s">
        <v>666</v>
      </c>
      <c r="P315" s="4" t="s">
        <v>717</v>
      </c>
      <c r="AA315" s="19">
        <f t="shared" si="23"/>
        <v>43413</v>
      </c>
      <c r="AB315" s="20">
        <f t="shared" si="20"/>
        <v>6</v>
      </c>
      <c r="AC315" s="21">
        <f t="shared" si="21"/>
        <v>6</v>
      </c>
      <c r="AD315" s="22" t="str">
        <f t="shared" si="22"/>
        <v>ÚTIL</v>
      </c>
      <c r="AE315" s="25"/>
      <c r="AF315" s="24"/>
      <c r="AG315" s="24"/>
      <c r="AH315" s="9"/>
    </row>
    <row r="316" spans="15:34" hidden="1" x14ac:dyDescent="0.25">
      <c r="O316" s="4" t="s">
        <v>668</v>
      </c>
      <c r="P316" s="4" t="s">
        <v>259</v>
      </c>
      <c r="AA316" s="19">
        <f t="shared" si="23"/>
        <v>43414</v>
      </c>
      <c r="AB316" s="20">
        <f t="shared" si="20"/>
        <v>7</v>
      </c>
      <c r="AC316" s="21">
        <f t="shared" si="21"/>
        <v>7</v>
      </c>
      <c r="AD316" s="22" t="str">
        <f t="shared" si="22"/>
        <v>NÃO ÚTIL</v>
      </c>
      <c r="AE316" s="25"/>
      <c r="AF316" s="24"/>
      <c r="AG316" s="24"/>
      <c r="AH316" s="9"/>
    </row>
    <row r="317" spans="15:34" hidden="1" x14ac:dyDescent="0.25">
      <c r="O317" s="4" t="s">
        <v>670</v>
      </c>
      <c r="P317" s="4" t="s">
        <v>207</v>
      </c>
      <c r="AA317" s="19">
        <f t="shared" si="23"/>
        <v>43415</v>
      </c>
      <c r="AB317" s="20">
        <f t="shared" si="20"/>
        <v>1</v>
      </c>
      <c r="AC317" s="21">
        <f t="shared" si="21"/>
        <v>1</v>
      </c>
      <c r="AD317" s="22" t="str">
        <f t="shared" si="22"/>
        <v>NÃO ÚTIL</v>
      </c>
      <c r="AE317" s="25"/>
      <c r="AF317" s="24"/>
      <c r="AG317" s="24"/>
      <c r="AH317" s="9"/>
    </row>
    <row r="318" spans="15:34" hidden="1" x14ac:dyDescent="0.25">
      <c r="O318" s="4" t="s">
        <v>672</v>
      </c>
      <c r="P318" s="4" t="s">
        <v>38</v>
      </c>
      <c r="AA318" s="19">
        <f t="shared" si="23"/>
        <v>43416</v>
      </c>
      <c r="AB318" s="20">
        <f t="shared" si="20"/>
        <v>2</v>
      </c>
      <c r="AC318" s="21">
        <f t="shared" si="21"/>
        <v>2</v>
      </c>
      <c r="AD318" s="22" t="str">
        <f t="shared" si="22"/>
        <v>ÚTIL</v>
      </c>
      <c r="AE318" s="25"/>
      <c r="AF318" s="24"/>
      <c r="AG318" s="24"/>
      <c r="AH318" s="9"/>
    </row>
    <row r="319" spans="15:34" hidden="1" x14ac:dyDescent="0.25">
      <c r="O319" s="4" t="s">
        <v>674</v>
      </c>
      <c r="P319" s="4" t="s">
        <v>201</v>
      </c>
      <c r="AA319" s="19">
        <f t="shared" si="23"/>
        <v>43417</v>
      </c>
      <c r="AB319" s="20">
        <f t="shared" si="20"/>
        <v>3</v>
      </c>
      <c r="AC319" s="21">
        <f t="shared" si="21"/>
        <v>3</v>
      </c>
      <c r="AD319" s="22" t="str">
        <f t="shared" si="22"/>
        <v>ÚTIL</v>
      </c>
      <c r="AE319" s="25"/>
      <c r="AF319" s="24"/>
      <c r="AG319" s="24"/>
      <c r="AH319" s="9"/>
    </row>
    <row r="320" spans="15:34" hidden="1" x14ac:dyDescent="0.25">
      <c r="O320" s="4" t="s">
        <v>676</v>
      </c>
      <c r="P320" s="4" t="s">
        <v>455</v>
      </c>
      <c r="AA320" s="19">
        <f t="shared" si="23"/>
        <v>43418</v>
      </c>
      <c r="AB320" s="20">
        <f t="shared" si="20"/>
        <v>4</v>
      </c>
      <c r="AC320" s="21">
        <f t="shared" si="21"/>
        <v>4</v>
      </c>
      <c r="AD320" s="22" t="str">
        <f t="shared" si="22"/>
        <v>ÚTIL</v>
      </c>
      <c r="AE320" s="25"/>
      <c r="AF320" s="24"/>
      <c r="AG320" s="24"/>
      <c r="AH320" s="9"/>
    </row>
    <row r="321" spans="15:34" hidden="1" x14ac:dyDescent="0.25">
      <c r="O321" s="4" t="s">
        <v>678</v>
      </c>
      <c r="P321" s="4" t="s">
        <v>457</v>
      </c>
      <c r="AA321" s="19">
        <f t="shared" si="23"/>
        <v>43419</v>
      </c>
      <c r="AB321" s="20">
        <f t="shared" si="20"/>
        <v>5</v>
      </c>
      <c r="AC321" s="21">
        <f t="shared" si="21"/>
        <v>5</v>
      </c>
      <c r="AD321" s="22" t="str">
        <f t="shared" si="22"/>
        <v>NÃO ÚTIL</v>
      </c>
      <c r="AE321" s="25"/>
      <c r="AF321" s="24"/>
      <c r="AG321" s="24"/>
      <c r="AH321" s="9"/>
    </row>
    <row r="322" spans="15:34" hidden="1" x14ac:dyDescent="0.25">
      <c r="O322" s="4" t="s">
        <v>680</v>
      </c>
      <c r="P322" s="4" t="s">
        <v>241</v>
      </c>
      <c r="AA322" s="19">
        <f t="shared" si="23"/>
        <v>43420</v>
      </c>
      <c r="AB322" s="20">
        <f t="shared" si="20"/>
        <v>6</v>
      </c>
      <c r="AC322" s="21">
        <f t="shared" si="21"/>
        <v>6</v>
      </c>
      <c r="AD322" s="22" t="str">
        <f t="shared" si="22"/>
        <v>ÚTIL</v>
      </c>
      <c r="AE322" s="25"/>
      <c r="AF322" s="24"/>
      <c r="AG322" s="24"/>
      <c r="AH322" s="9"/>
    </row>
    <row r="323" spans="15:34" hidden="1" x14ac:dyDescent="0.25">
      <c r="O323" s="4" t="s">
        <v>682</v>
      </c>
      <c r="P323" s="4" t="s">
        <v>243</v>
      </c>
      <c r="AA323" s="19">
        <f t="shared" si="23"/>
        <v>43421</v>
      </c>
      <c r="AB323" s="20">
        <f t="shared" ref="AB323:AB386" si="24">AC323</f>
        <v>7</v>
      </c>
      <c r="AC323" s="21">
        <f t="shared" ref="AC323:AC386" si="25">WEEKDAY(AA323)</f>
        <v>7</v>
      </c>
      <c r="AD323" s="22" t="str">
        <f t="shared" ref="AD323:AD386" si="26">IF(WORKDAY(AA323-1,1,$AE$3:$AE$14)=AA323,"ÚTIL","NÃO ÚTIL")</f>
        <v>NÃO ÚTIL</v>
      </c>
      <c r="AE323" s="25"/>
      <c r="AF323" s="24"/>
      <c r="AG323" s="24"/>
      <c r="AH323" s="9"/>
    </row>
    <row r="324" spans="15:34" hidden="1" x14ac:dyDescent="0.25">
      <c r="O324" s="4" t="s">
        <v>684</v>
      </c>
      <c r="P324" s="4" t="s">
        <v>223</v>
      </c>
      <c r="AA324" s="19">
        <f t="shared" ref="AA324:AA387" si="27">AA323+1</f>
        <v>43422</v>
      </c>
      <c r="AB324" s="20">
        <f t="shared" si="24"/>
        <v>1</v>
      </c>
      <c r="AC324" s="21">
        <f t="shared" si="25"/>
        <v>1</v>
      </c>
      <c r="AD324" s="22" t="str">
        <f t="shared" si="26"/>
        <v>NÃO ÚTIL</v>
      </c>
      <c r="AE324" s="25"/>
      <c r="AF324" s="24"/>
      <c r="AG324" s="24"/>
      <c r="AH324" s="9"/>
    </row>
    <row r="325" spans="15:34" hidden="1" x14ac:dyDescent="0.25">
      <c r="O325" s="4" t="s">
        <v>686</v>
      </c>
      <c r="P325" s="4" t="s">
        <v>219</v>
      </c>
      <c r="AA325" s="19">
        <f t="shared" si="27"/>
        <v>43423</v>
      </c>
      <c r="AB325" s="20">
        <f t="shared" si="24"/>
        <v>2</v>
      </c>
      <c r="AC325" s="21">
        <f t="shared" si="25"/>
        <v>2</v>
      </c>
      <c r="AD325" s="22" t="str">
        <f t="shared" si="26"/>
        <v>ÚTIL</v>
      </c>
      <c r="AE325" s="25"/>
      <c r="AF325" s="24"/>
      <c r="AG325" s="24"/>
      <c r="AH325" s="9"/>
    </row>
    <row r="326" spans="15:34" hidden="1" x14ac:dyDescent="0.25">
      <c r="O326" s="4" t="s">
        <v>688</v>
      </c>
      <c r="P326" s="4" t="s">
        <v>765</v>
      </c>
      <c r="AA326" s="19">
        <f t="shared" si="27"/>
        <v>43424</v>
      </c>
      <c r="AB326" s="20">
        <f t="shared" si="24"/>
        <v>3</v>
      </c>
      <c r="AC326" s="21">
        <f t="shared" si="25"/>
        <v>3</v>
      </c>
      <c r="AD326" s="22" t="str">
        <f t="shared" si="26"/>
        <v>ÚTIL</v>
      </c>
      <c r="AE326" s="25"/>
      <c r="AF326" s="24"/>
      <c r="AG326" s="24"/>
      <c r="AH326" s="9"/>
    </row>
    <row r="327" spans="15:34" hidden="1" x14ac:dyDescent="0.25">
      <c r="O327" s="4" t="s">
        <v>690</v>
      </c>
      <c r="P327" s="4" t="s">
        <v>385</v>
      </c>
      <c r="AA327" s="19">
        <f t="shared" si="27"/>
        <v>43425</v>
      </c>
      <c r="AB327" s="20">
        <f t="shared" si="24"/>
        <v>4</v>
      </c>
      <c r="AC327" s="21">
        <f t="shared" si="25"/>
        <v>4</v>
      </c>
      <c r="AD327" s="22" t="str">
        <f t="shared" si="26"/>
        <v>ÚTIL</v>
      </c>
      <c r="AE327" s="25"/>
      <c r="AF327" s="24"/>
      <c r="AG327" s="24"/>
      <c r="AH327" s="9"/>
    </row>
    <row r="328" spans="15:34" hidden="1" x14ac:dyDescent="0.25">
      <c r="O328" s="4" t="s">
        <v>692</v>
      </c>
      <c r="P328" s="4" t="s">
        <v>767</v>
      </c>
      <c r="AA328" s="19">
        <f t="shared" si="27"/>
        <v>43426</v>
      </c>
      <c r="AB328" s="20">
        <f t="shared" si="24"/>
        <v>5</v>
      </c>
      <c r="AC328" s="21">
        <f t="shared" si="25"/>
        <v>5</v>
      </c>
      <c r="AD328" s="22" t="str">
        <f t="shared" si="26"/>
        <v>ÚTIL</v>
      </c>
      <c r="AE328" s="25"/>
      <c r="AF328" s="24"/>
      <c r="AG328" s="24"/>
      <c r="AH328" s="9"/>
    </row>
    <row r="329" spans="15:34" hidden="1" x14ac:dyDescent="0.25">
      <c r="O329" s="4" t="s">
        <v>694</v>
      </c>
      <c r="P329" s="4" t="s">
        <v>769</v>
      </c>
      <c r="AA329" s="19">
        <f t="shared" si="27"/>
        <v>43427</v>
      </c>
      <c r="AB329" s="20">
        <f t="shared" si="24"/>
        <v>6</v>
      </c>
      <c r="AC329" s="21">
        <f t="shared" si="25"/>
        <v>6</v>
      </c>
      <c r="AD329" s="22" t="str">
        <f t="shared" si="26"/>
        <v>ÚTIL</v>
      </c>
      <c r="AE329" s="25"/>
      <c r="AF329" s="24"/>
      <c r="AG329" s="24"/>
      <c r="AH329" s="9"/>
    </row>
    <row r="330" spans="15:34" hidden="1" x14ac:dyDescent="0.25">
      <c r="O330" s="4" t="s">
        <v>696</v>
      </c>
      <c r="P330" s="4" t="s">
        <v>247</v>
      </c>
      <c r="AA330" s="19">
        <f t="shared" si="27"/>
        <v>43428</v>
      </c>
      <c r="AB330" s="20">
        <f t="shared" si="24"/>
        <v>7</v>
      </c>
      <c r="AC330" s="21">
        <f t="shared" si="25"/>
        <v>7</v>
      </c>
      <c r="AD330" s="22" t="str">
        <f t="shared" si="26"/>
        <v>NÃO ÚTIL</v>
      </c>
      <c r="AE330" s="25"/>
      <c r="AF330" s="24"/>
      <c r="AG330" s="24"/>
      <c r="AH330" s="9"/>
    </row>
    <row r="331" spans="15:34" hidden="1" x14ac:dyDescent="0.25">
      <c r="O331" s="4" t="s">
        <v>698</v>
      </c>
      <c r="P331" s="4" t="s">
        <v>771</v>
      </c>
      <c r="AA331" s="19">
        <f t="shared" si="27"/>
        <v>43429</v>
      </c>
      <c r="AB331" s="20">
        <f t="shared" si="24"/>
        <v>1</v>
      </c>
      <c r="AC331" s="21">
        <f t="shared" si="25"/>
        <v>1</v>
      </c>
      <c r="AD331" s="22" t="str">
        <f t="shared" si="26"/>
        <v>NÃO ÚTIL</v>
      </c>
      <c r="AE331" s="25"/>
      <c r="AF331" s="24"/>
      <c r="AG331" s="24"/>
      <c r="AH331" s="9"/>
    </row>
    <row r="332" spans="15:34" hidden="1" x14ac:dyDescent="0.25">
      <c r="O332" s="4" t="s">
        <v>700</v>
      </c>
      <c r="P332" s="4" t="s">
        <v>69</v>
      </c>
      <c r="AA332" s="19">
        <f t="shared" si="27"/>
        <v>43430</v>
      </c>
      <c r="AB332" s="20">
        <f t="shared" si="24"/>
        <v>2</v>
      </c>
      <c r="AC332" s="21">
        <f t="shared" si="25"/>
        <v>2</v>
      </c>
      <c r="AD332" s="22" t="str">
        <f t="shared" si="26"/>
        <v>ÚTIL</v>
      </c>
      <c r="AE332" s="25"/>
      <c r="AF332" s="24"/>
      <c r="AG332" s="24"/>
      <c r="AH332" s="9"/>
    </row>
    <row r="333" spans="15:34" hidden="1" x14ac:dyDescent="0.25">
      <c r="O333" s="4" t="s">
        <v>702</v>
      </c>
      <c r="P333" s="4" t="s">
        <v>685</v>
      </c>
      <c r="AA333" s="19">
        <f t="shared" si="27"/>
        <v>43431</v>
      </c>
      <c r="AB333" s="20">
        <f t="shared" si="24"/>
        <v>3</v>
      </c>
      <c r="AC333" s="21">
        <f t="shared" si="25"/>
        <v>3</v>
      </c>
      <c r="AD333" s="22" t="str">
        <f t="shared" si="26"/>
        <v>ÚTIL</v>
      </c>
      <c r="AE333" s="25"/>
      <c r="AF333" s="24"/>
      <c r="AG333" s="24"/>
      <c r="AH333" s="9"/>
    </row>
    <row r="334" spans="15:34" hidden="1" x14ac:dyDescent="0.25">
      <c r="O334" s="4" t="s">
        <v>704</v>
      </c>
      <c r="P334" s="4" t="s">
        <v>451</v>
      </c>
      <c r="AA334" s="19">
        <f t="shared" si="27"/>
        <v>43432</v>
      </c>
      <c r="AB334" s="20">
        <f t="shared" si="24"/>
        <v>4</v>
      </c>
      <c r="AC334" s="21">
        <f t="shared" si="25"/>
        <v>4</v>
      </c>
      <c r="AD334" s="22" t="str">
        <f t="shared" si="26"/>
        <v>ÚTIL</v>
      </c>
      <c r="AE334" s="25"/>
      <c r="AF334" s="24"/>
      <c r="AG334" s="24"/>
      <c r="AH334" s="9"/>
    </row>
    <row r="335" spans="15:34" hidden="1" x14ac:dyDescent="0.25">
      <c r="O335" s="4" t="s">
        <v>706</v>
      </c>
      <c r="P335" s="4" t="s">
        <v>263</v>
      </c>
      <c r="AA335" s="19">
        <f t="shared" si="27"/>
        <v>43433</v>
      </c>
      <c r="AB335" s="20">
        <f t="shared" si="24"/>
        <v>5</v>
      </c>
      <c r="AC335" s="21">
        <f t="shared" si="25"/>
        <v>5</v>
      </c>
      <c r="AD335" s="22" t="str">
        <f t="shared" si="26"/>
        <v>ÚTIL</v>
      </c>
      <c r="AE335" s="25"/>
      <c r="AF335" s="24"/>
      <c r="AG335" s="24"/>
      <c r="AH335" s="9"/>
    </row>
    <row r="336" spans="15:34" hidden="1" x14ac:dyDescent="0.25">
      <c r="O336" s="4" t="s">
        <v>708</v>
      </c>
      <c r="P336" s="4" t="s">
        <v>773</v>
      </c>
      <c r="AA336" s="19">
        <f t="shared" si="27"/>
        <v>43434</v>
      </c>
      <c r="AB336" s="20">
        <f t="shared" si="24"/>
        <v>6</v>
      </c>
      <c r="AC336" s="21">
        <f t="shared" si="25"/>
        <v>6</v>
      </c>
      <c r="AD336" s="22" t="str">
        <f t="shared" si="26"/>
        <v>ÚTIL</v>
      </c>
      <c r="AE336" s="25"/>
      <c r="AF336" s="24"/>
      <c r="AG336" s="24"/>
      <c r="AH336" s="9"/>
    </row>
    <row r="337" spans="15:34" hidden="1" x14ac:dyDescent="0.25">
      <c r="O337" s="4" t="s">
        <v>710</v>
      </c>
      <c r="P337" s="4" t="s">
        <v>109</v>
      </c>
      <c r="AA337" s="19">
        <f t="shared" si="27"/>
        <v>43435</v>
      </c>
      <c r="AB337" s="20">
        <f t="shared" si="24"/>
        <v>7</v>
      </c>
      <c r="AC337" s="21">
        <f t="shared" si="25"/>
        <v>7</v>
      </c>
      <c r="AD337" s="22" t="str">
        <f t="shared" si="26"/>
        <v>NÃO ÚTIL</v>
      </c>
      <c r="AE337" s="25"/>
      <c r="AF337" s="24"/>
      <c r="AG337" s="24"/>
      <c r="AH337" s="9"/>
    </row>
    <row r="338" spans="15:34" hidden="1" x14ac:dyDescent="0.25">
      <c r="O338" s="4" t="s">
        <v>712</v>
      </c>
      <c r="P338" s="4" t="s">
        <v>211</v>
      </c>
      <c r="AA338" s="19">
        <f t="shared" si="27"/>
        <v>43436</v>
      </c>
      <c r="AB338" s="20">
        <f t="shared" si="24"/>
        <v>1</v>
      </c>
      <c r="AC338" s="21">
        <f t="shared" si="25"/>
        <v>1</v>
      </c>
      <c r="AD338" s="22" t="str">
        <f t="shared" si="26"/>
        <v>NÃO ÚTIL</v>
      </c>
      <c r="AE338" s="25"/>
      <c r="AF338" s="24"/>
      <c r="AG338" s="24"/>
      <c r="AH338" s="9"/>
    </row>
    <row r="339" spans="15:34" hidden="1" x14ac:dyDescent="0.25">
      <c r="O339" s="4" t="s">
        <v>714</v>
      </c>
      <c r="P339" s="4" t="s">
        <v>195</v>
      </c>
      <c r="AA339" s="19">
        <f t="shared" si="27"/>
        <v>43437</v>
      </c>
      <c r="AB339" s="20">
        <f t="shared" si="24"/>
        <v>2</v>
      </c>
      <c r="AC339" s="21">
        <f t="shared" si="25"/>
        <v>2</v>
      </c>
      <c r="AD339" s="22" t="str">
        <f t="shared" si="26"/>
        <v>ÚTIL</v>
      </c>
      <c r="AE339" s="25"/>
      <c r="AF339" s="24"/>
      <c r="AG339" s="24"/>
      <c r="AH339" s="9"/>
    </row>
    <row r="340" spans="15:34" hidden="1" x14ac:dyDescent="0.25">
      <c r="O340" s="4" t="s">
        <v>716</v>
      </c>
      <c r="P340" s="4" t="s">
        <v>777</v>
      </c>
      <c r="AA340" s="19">
        <f t="shared" si="27"/>
        <v>43438</v>
      </c>
      <c r="AB340" s="20">
        <f t="shared" si="24"/>
        <v>3</v>
      </c>
      <c r="AC340" s="21">
        <f t="shared" si="25"/>
        <v>3</v>
      </c>
      <c r="AD340" s="22" t="str">
        <f t="shared" si="26"/>
        <v>ÚTIL</v>
      </c>
      <c r="AE340" s="25"/>
      <c r="AF340" s="24"/>
      <c r="AG340" s="24"/>
      <c r="AH340" s="9"/>
    </row>
    <row r="341" spans="15:34" hidden="1" x14ac:dyDescent="0.25">
      <c r="O341" s="4" t="s">
        <v>718</v>
      </c>
      <c r="P341" s="4" t="s">
        <v>775</v>
      </c>
      <c r="AA341" s="19">
        <f t="shared" si="27"/>
        <v>43439</v>
      </c>
      <c r="AB341" s="20">
        <f t="shared" si="24"/>
        <v>4</v>
      </c>
      <c r="AC341" s="21">
        <f t="shared" si="25"/>
        <v>4</v>
      </c>
      <c r="AD341" s="22" t="str">
        <f t="shared" si="26"/>
        <v>ÚTIL</v>
      </c>
      <c r="AE341" s="25"/>
      <c r="AF341" s="24"/>
      <c r="AG341" s="24"/>
      <c r="AH341" s="9"/>
    </row>
    <row r="342" spans="15:34" hidden="1" x14ac:dyDescent="0.25">
      <c r="O342" s="4" t="s">
        <v>720</v>
      </c>
      <c r="P342" s="4" t="s">
        <v>173</v>
      </c>
      <c r="AA342" s="19">
        <f t="shared" si="27"/>
        <v>43440</v>
      </c>
      <c r="AB342" s="20">
        <f t="shared" si="24"/>
        <v>5</v>
      </c>
      <c r="AC342" s="21">
        <f t="shared" si="25"/>
        <v>5</v>
      </c>
      <c r="AD342" s="22" t="str">
        <f t="shared" si="26"/>
        <v>ÚTIL</v>
      </c>
      <c r="AE342" s="25"/>
      <c r="AF342" s="24"/>
      <c r="AG342" s="24"/>
      <c r="AH342" s="9"/>
    </row>
    <row r="343" spans="15:34" hidden="1" x14ac:dyDescent="0.25">
      <c r="O343" s="4" t="s">
        <v>722</v>
      </c>
      <c r="P343" s="4" t="s">
        <v>117</v>
      </c>
      <c r="AA343" s="19">
        <f t="shared" si="27"/>
        <v>43441</v>
      </c>
      <c r="AB343" s="20">
        <f t="shared" si="24"/>
        <v>6</v>
      </c>
      <c r="AC343" s="21">
        <f t="shared" si="25"/>
        <v>6</v>
      </c>
      <c r="AD343" s="22" t="str">
        <f t="shared" si="26"/>
        <v>ÚTIL</v>
      </c>
      <c r="AE343" s="25"/>
      <c r="AF343" s="24"/>
      <c r="AG343" s="24"/>
      <c r="AH343" s="9"/>
    </row>
    <row r="344" spans="15:34" hidden="1" x14ac:dyDescent="0.25">
      <c r="O344" s="4" t="s">
        <v>724</v>
      </c>
      <c r="P344" s="4" t="s">
        <v>779</v>
      </c>
      <c r="AA344" s="19">
        <f t="shared" si="27"/>
        <v>43442</v>
      </c>
      <c r="AB344" s="20">
        <f t="shared" si="24"/>
        <v>7</v>
      </c>
      <c r="AC344" s="21">
        <f t="shared" si="25"/>
        <v>7</v>
      </c>
      <c r="AD344" s="22" t="str">
        <f t="shared" si="26"/>
        <v>NÃO ÚTIL</v>
      </c>
      <c r="AE344" s="25"/>
      <c r="AF344" s="24"/>
      <c r="AG344" s="24"/>
      <c r="AH344" s="9"/>
    </row>
    <row r="345" spans="15:34" hidden="1" x14ac:dyDescent="0.25">
      <c r="O345" s="4" t="s">
        <v>726</v>
      </c>
      <c r="P345" s="4" t="s">
        <v>253</v>
      </c>
      <c r="AA345" s="19">
        <f t="shared" si="27"/>
        <v>43443</v>
      </c>
      <c r="AB345" s="20">
        <f t="shared" si="24"/>
        <v>1</v>
      </c>
      <c r="AC345" s="21">
        <f t="shared" si="25"/>
        <v>1</v>
      </c>
      <c r="AD345" s="22" t="str">
        <f t="shared" si="26"/>
        <v>NÃO ÚTIL</v>
      </c>
      <c r="AE345" s="25"/>
      <c r="AF345" s="24"/>
      <c r="AG345" s="24"/>
      <c r="AH345" s="9"/>
    </row>
    <row r="346" spans="15:34" hidden="1" x14ac:dyDescent="0.25">
      <c r="O346" s="4" t="s">
        <v>728</v>
      </c>
      <c r="P346" s="4" t="s">
        <v>149</v>
      </c>
      <c r="AA346" s="19">
        <f t="shared" si="27"/>
        <v>43444</v>
      </c>
      <c r="AB346" s="20">
        <f t="shared" si="24"/>
        <v>2</v>
      </c>
      <c r="AC346" s="21">
        <f t="shared" si="25"/>
        <v>2</v>
      </c>
      <c r="AD346" s="22" t="str">
        <f t="shared" si="26"/>
        <v>ÚTIL</v>
      </c>
      <c r="AE346" s="25"/>
      <c r="AF346" s="24"/>
      <c r="AG346" s="24"/>
      <c r="AH346" s="9"/>
    </row>
    <row r="347" spans="15:34" hidden="1" x14ac:dyDescent="0.25">
      <c r="O347" s="4" t="s">
        <v>730</v>
      </c>
      <c r="P347" s="4" t="s">
        <v>453</v>
      </c>
      <c r="AA347" s="19">
        <f t="shared" si="27"/>
        <v>43445</v>
      </c>
      <c r="AB347" s="20">
        <f t="shared" si="24"/>
        <v>3</v>
      </c>
      <c r="AC347" s="21">
        <f t="shared" si="25"/>
        <v>3</v>
      </c>
      <c r="AD347" s="22" t="str">
        <f t="shared" si="26"/>
        <v>ÚTIL</v>
      </c>
      <c r="AE347" s="25"/>
      <c r="AF347" s="24"/>
      <c r="AG347" s="24"/>
      <c r="AH347" s="9"/>
    </row>
    <row r="348" spans="15:34" hidden="1" x14ac:dyDescent="0.25">
      <c r="O348" s="4" t="s">
        <v>732</v>
      </c>
      <c r="P348" s="4" t="s">
        <v>781</v>
      </c>
      <c r="AA348" s="19">
        <f t="shared" si="27"/>
        <v>43446</v>
      </c>
      <c r="AB348" s="20">
        <f t="shared" si="24"/>
        <v>4</v>
      </c>
      <c r="AC348" s="21">
        <f t="shared" si="25"/>
        <v>4</v>
      </c>
      <c r="AD348" s="22" t="str">
        <f t="shared" si="26"/>
        <v>ÚTIL</v>
      </c>
      <c r="AE348" s="25"/>
      <c r="AF348" s="24"/>
      <c r="AG348" s="24"/>
      <c r="AH348" s="9"/>
    </row>
    <row r="349" spans="15:34" hidden="1" x14ac:dyDescent="0.25">
      <c r="O349" s="4" t="s">
        <v>734</v>
      </c>
      <c r="P349" s="4" t="s">
        <v>459</v>
      </c>
      <c r="AA349" s="19">
        <f t="shared" si="27"/>
        <v>43447</v>
      </c>
      <c r="AB349" s="20">
        <f t="shared" si="24"/>
        <v>5</v>
      </c>
      <c r="AC349" s="21">
        <f t="shared" si="25"/>
        <v>5</v>
      </c>
      <c r="AD349" s="22" t="str">
        <f t="shared" si="26"/>
        <v>ÚTIL</v>
      </c>
      <c r="AE349" s="25"/>
      <c r="AF349" s="24"/>
      <c r="AG349" s="24"/>
      <c r="AH349" s="9"/>
    </row>
    <row r="350" spans="15:34" hidden="1" x14ac:dyDescent="0.25">
      <c r="O350" s="4" t="s">
        <v>736</v>
      </c>
      <c r="P350" s="4" t="s">
        <v>155</v>
      </c>
      <c r="AA350" s="19">
        <f t="shared" si="27"/>
        <v>43448</v>
      </c>
      <c r="AB350" s="20">
        <f t="shared" si="24"/>
        <v>6</v>
      </c>
      <c r="AC350" s="21">
        <f t="shared" si="25"/>
        <v>6</v>
      </c>
      <c r="AD350" s="22" t="str">
        <f t="shared" si="26"/>
        <v>ÚTIL</v>
      </c>
      <c r="AE350" s="25"/>
      <c r="AF350" s="24"/>
      <c r="AG350" s="24"/>
      <c r="AH350" s="9"/>
    </row>
    <row r="351" spans="15:34" hidden="1" x14ac:dyDescent="0.25">
      <c r="O351" s="4" t="s">
        <v>738</v>
      </c>
      <c r="P351" s="4" t="s">
        <v>225</v>
      </c>
      <c r="AA351" s="19">
        <f t="shared" si="27"/>
        <v>43449</v>
      </c>
      <c r="AB351" s="20">
        <f t="shared" si="24"/>
        <v>7</v>
      </c>
      <c r="AC351" s="21">
        <f t="shared" si="25"/>
        <v>7</v>
      </c>
      <c r="AD351" s="22" t="str">
        <f t="shared" si="26"/>
        <v>NÃO ÚTIL</v>
      </c>
      <c r="AE351" s="25"/>
      <c r="AF351" s="24"/>
      <c r="AG351" s="24"/>
      <c r="AH351" s="9"/>
    </row>
    <row r="352" spans="15:34" hidden="1" x14ac:dyDescent="0.25">
      <c r="O352" s="4" t="s">
        <v>740</v>
      </c>
      <c r="P352" s="4" t="s">
        <v>381</v>
      </c>
      <c r="AA352" s="19">
        <f t="shared" si="27"/>
        <v>43450</v>
      </c>
      <c r="AB352" s="20">
        <f t="shared" si="24"/>
        <v>1</v>
      </c>
      <c r="AC352" s="21">
        <f t="shared" si="25"/>
        <v>1</v>
      </c>
      <c r="AD352" s="22" t="str">
        <f t="shared" si="26"/>
        <v>NÃO ÚTIL</v>
      </c>
      <c r="AE352" s="25"/>
      <c r="AF352" s="24"/>
      <c r="AG352" s="24"/>
      <c r="AH352" s="9"/>
    </row>
    <row r="353" spans="15:34" hidden="1" x14ac:dyDescent="0.25">
      <c r="O353" s="4" t="s">
        <v>742</v>
      </c>
      <c r="P353" s="4" t="s">
        <v>25</v>
      </c>
      <c r="AA353" s="19">
        <f t="shared" si="27"/>
        <v>43451</v>
      </c>
      <c r="AB353" s="20">
        <f t="shared" si="24"/>
        <v>2</v>
      </c>
      <c r="AC353" s="21">
        <f t="shared" si="25"/>
        <v>2</v>
      </c>
      <c r="AD353" s="22" t="str">
        <f t="shared" si="26"/>
        <v>ÚTIL</v>
      </c>
      <c r="AE353" s="25"/>
      <c r="AF353" s="24"/>
      <c r="AG353" s="24"/>
      <c r="AH353" s="9"/>
    </row>
    <row r="354" spans="15:34" hidden="1" x14ac:dyDescent="0.25">
      <c r="O354" s="4" t="s">
        <v>744</v>
      </c>
      <c r="P354" s="4" t="s">
        <v>199</v>
      </c>
      <c r="AA354" s="19">
        <f t="shared" si="27"/>
        <v>43452</v>
      </c>
      <c r="AB354" s="20">
        <f t="shared" si="24"/>
        <v>3</v>
      </c>
      <c r="AC354" s="21">
        <f t="shared" si="25"/>
        <v>3</v>
      </c>
      <c r="AD354" s="22" t="str">
        <f t="shared" si="26"/>
        <v>ÚTIL</v>
      </c>
      <c r="AE354" s="25"/>
      <c r="AF354" s="24"/>
      <c r="AG354" s="24"/>
      <c r="AH354" s="9"/>
    </row>
    <row r="355" spans="15:34" hidden="1" x14ac:dyDescent="0.25">
      <c r="O355" s="4" t="s">
        <v>746</v>
      </c>
      <c r="P355" s="4" t="s">
        <v>461</v>
      </c>
      <c r="AA355" s="19">
        <f t="shared" si="27"/>
        <v>43453</v>
      </c>
      <c r="AB355" s="20">
        <f t="shared" si="24"/>
        <v>4</v>
      </c>
      <c r="AC355" s="21">
        <f t="shared" si="25"/>
        <v>4</v>
      </c>
      <c r="AD355" s="22" t="str">
        <f t="shared" si="26"/>
        <v>ÚTIL</v>
      </c>
      <c r="AE355" s="25"/>
      <c r="AF355" s="24"/>
      <c r="AG355" s="24"/>
      <c r="AH355" s="9"/>
    </row>
    <row r="356" spans="15:34" hidden="1" x14ac:dyDescent="0.25">
      <c r="O356" s="4" t="s">
        <v>748</v>
      </c>
      <c r="P356" s="4" t="s">
        <v>783</v>
      </c>
      <c r="AA356" s="19">
        <f t="shared" si="27"/>
        <v>43454</v>
      </c>
      <c r="AB356" s="20">
        <f t="shared" si="24"/>
        <v>5</v>
      </c>
      <c r="AC356" s="21">
        <f t="shared" si="25"/>
        <v>5</v>
      </c>
      <c r="AD356" s="22" t="str">
        <f t="shared" si="26"/>
        <v>ÚTIL</v>
      </c>
      <c r="AE356" s="25"/>
      <c r="AF356" s="24"/>
      <c r="AG356" s="24"/>
      <c r="AH356" s="9"/>
    </row>
    <row r="357" spans="15:34" hidden="1" x14ac:dyDescent="0.25">
      <c r="O357" s="4" t="s">
        <v>750</v>
      </c>
      <c r="P357" s="4" t="s">
        <v>323</v>
      </c>
      <c r="AA357" s="19">
        <f t="shared" si="27"/>
        <v>43455</v>
      </c>
      <c r="AB357" s="20">
        <f t="shared" si="24"/>
        <v>6</v>
      </c>
      <c r="AC357" s="21">
        <f t="shared" si="25"/>
        <v>6</v>
      </c>
      <c r="AD357" s="22" t="str">
        <f t="shared" si="26"/>
        <v>ÚTIL</v>
      </c>
      <c r="AE357" s="25"/>
      <c r="AF357" s="24"/>
      <c r="AG357" s="24"/>
      <c r="AH357" s="9"/>
    </row>
    <row r="358" spans="15:34" hidden="1" x14ac:dyDescent="0.25">
      <c r="O358" s="4" t="s">
        <v>752</v>
      </c>
      <c r="P358" s="4" t="s">
        <v>131</v>
      </c>
      <c r="AA358" s="19">
        <f t="shared" si="27"/>
        <v>43456</v>
      </c>
      <c r="AB358" s="20">
        <f t="shared" si="24"/>
        <v>7</v>
      </c>
      <c r="AC358" s="21">
        <f t="shared" si="25"/>
        <v>7</v>
      </c>
      <c r="AD358" s="22" t="str">
        <f t="shared" si="26"/>
        <v>NÃO ÚTIL</v>
      </c>
      <c r="AE358" s="25"/>
      <c r="AF358" s="24"/>
      <c r="AG358" s="24"/>
      <c r="AH358" s="9"/>
    </row>
    <row r="359" spans="15:34" hidden="1" x14ac:dyDescent="0.25">
      <c r="O359" s="4" t="s">
        <v>754</v>
      </c>
      <c r="P359" s="4" t="s">
        <v>197</v>
      </c>
      <c r="AA359" s="19">
        <f t="shared" si="27"/>
        <v>43457</v>
      </c>
      <c r="AB359" s="20">
        <f t="shared" si="24"/>
        <v>1</v>
      </c>
      <c r="AC359" s="21">
        <f t="shared" si="25"/>
        <v>1</v>
      </c>
      <c r="AD359" s="22" t="str">
        <f t="shared" si="26"/>
        <v>NÃO ÚTIL</v>
      </c>
      <c r="AE359" s="25"/>
      <c r="AF359" s="24"/>
      <c r="AG359" s="24"/>
      <c r="AH359" s="9"/>
    </row>
    <row r="360" spans="15:34" hidden="1" x14ac:dyDescent="0.25">
      <c r="O360" s="4" t="s">
        <v>756</v>
      </c>
      <c r="P360" s="4" t="s">
        <v>213</v>
      </c>
      <c r="AA360" s="19">
        <f t="shared" si="27"/>
        <v>43458</v>
      </c>
      <c r="AB360" s="20">
        <f t="shared" si="24"/>
        <v>2</v>
      </c>
      <c r="AC360" s="21">
        <f t="shared" si="25"/>
        <v>2</v>
      </c>
      <c r="AD360" s="22" t="str">
        <f t="shared" si="26"/>
        <v>ÚTIL</v>
      </c>
      <c r="AE360" s="25"/>
      <c r="AF360" s="24"/>
      <c r="AG360" s="24"/>
      <c r="AH360" s="9"/>
    </row>
    <row r="361" spans="15:34" hidden="1" x14ac:dyDescent="0.25">
      <c r="O361" s="4" t="s">
        <v>758</v>
      </c>
      <c r="P361" s="4" t="s">
        <v>251</v>
      </c>
      <c r="AA361" s="19">
        <f t="shared" si="27"/>
        <v>43459</v>
      </c>
      <c r="AB361" s="20">
        <f t="shared" si="24"/>
        <v>3</v>
      </c>
      <c r="AC361" s="21">
        <f t="shared" si="25"/>
        <v>3</v>
      </c>
      <c r="AD361" s="22" t="str">
        <f t="shared" si="26"/>
        <v>NÃO ÚTIL</v>
      </c>
      <c r="AE361" s="25"/>
      <c r="AF361" s="24"/>
      <c r="AG361" s="24"/>
      <c r="AH361" s="9"/>
    </row>
    <row r="362" spans="15:34" hidden="1" x14ac:dyDescent="0.25">
      <c r="O362" s="4" t="s">
        <v>760</v>
      </c>
      <c r="P362" s="4" t="s">
        <v>407</v>
      </c>
      <c r="AA362" s="19">
        <f t="shared" si="27"/>
        <v>43460</v>
      </c>
      <c r="AB362" s="20">
        <f t="shared" si="24"/>
        <v>4</v>
      </c>
      <c r="AC362" s="21">
        <f t="shared" si="25"/>
        <v>4</v>
      </c>
      <c r="AD362" s="22" t="str">
        <f t="shared" si="26"/>
        <v>ÚTIL</v>
      </c>
      <c r="AE362" s="25"/>
      <c r="AF362" s="24"/>
      <c r="AG362" s="24"/>
      <c r="AH362" s="9"/>
    </row>
    <row r="363" spans="15:34" hidden="1" x14ac:dyDescent="0.25">
      <c r="O363" s="4" t="s">
        <v>762</v>
      </c>
      <c r="P363" s="4" t="s">
        <v>63</v>
      </c>
      <c r="AA363" s="19">
        <f t="shared" si="27"/>
        <v>43461</v>
      </c>
      <c r="AB363" s="20">
        <f t="shared" si="24"/>
        <v>5</v>
      </c>
      <c r="AC363" s="21">
        <f t="shared" si="25"/>
        <v>5</v>
      </c>
      <c r="AD363" s="22" t="str">
        <f t="shared" si="26"/>
        <v>ÚTIL</v>
      </c>
      <c r="AE363" s="25"/>
      <c r="AF363" s="24"/>
      <c r="AG363" s="24"/>
      <c r="AH363" s="9"/>
    </row>
    <row r="364" spans="15:34" hidden="1" x14ac:dyDescent="0.25">
      <c r="O364" s="4" t="s">
        <v>764</v>
      </c>
      <c r="P364" s="4" t="s">
        <v>107</v>
      </c>
      <c r="AA364" s="19">
        <f t="shared" si="27"/>
        <v>43462</v>
      </c>
      <c r="AB364" s="20">
        <f t="shared" si="24"/>
        <v>6</v>
      </c>
      <c r="AC364" s="21">
        <f t="shared" si="25"/>
        <v>6</v>
      </c>
      <c r="AD364" s="22" t="str">
        <f t="shared" si="26"/>
        <v>ÚTIL</v>
      </c>
      <c r="AE364" s="25"/>
      <c r="AF364" s="24"/>
      <c r="AG364" s="24"/>
      <c r="AH364" s="9"/>
    </row>
    <row r="365" spans="15:34" hidden="1" x14ac:dyDescent="0.25">
      <c r="O365" s="4" t="s">
        <v>766</v>
      </c>
      <c r="P365" s="4" t="s">
        <v>72</v>
      </c>
      <c r="AA365" s="19">
        <f t="shared" si="27"/>
        <v>43463</v>
      </c>
      <c r="AB365" s="20">
        <f t="shared" si="24"/>
        <v>7</v>
      </c>
      <c r="AC365" s="21">
        <f t="shared" si="25"/>
        <v>7</v>
      </c>
      <c r="AD365" s="22" t="str">
        <f t="shared" si="26"/>
        <v>NÃO ÚTIL</v>
      </c>
      <c r="AE365" s="25"/>
      <c r="AF365" s="24"/>
      <c r="AG365" s="24"/>
      <c r="AH365" s="9"/>
    </row>
    <row r="366" spans="15:34" hidden="1" x14ac:dyDescent="0.25">
      <c r="O366" s="4" t="s">
        <v>768</v>
      </c>
      <c r="P366" s="4" t="s">
        <v>229</v>
      </c>
      <c r="AA366" s="19">
        <f t="shared" si="27"/>
        <v>43464</v>
      </c>
      <c r="AB366" s="20">
        <f t="shared" si="24"/>
        <v>1</v>
      </c>
      <c r="AC366" s="21">
        <f t="shared" si="25"/>
        <v>1</v>
      </c>
      <c r="AD366" s="22" t="str">
        <f t="shared" si="26"/>
        <v>NÃO ÚTIL</v>
      </c>
      <c r="AE366" s="25"/>
      <c r="AF366" s="24"/>
      <c r="AG366" s="24"/>
      <c r="AH366" s="9"/>
    </row>
    <row r="367" spans="15:34" hidden="1" x14ac:dyDescent="0.25">
      <c r="O367" s="4" t="s">
        <v>770</v>
      </c>
      <c r="P367" s="4" t="s">
        <v>397</v>
      </c>
      <c r="AA367" s="19">
        <f t="shared" si="27"/>
        <v>43465</v>
      </c>
      <c r="AB367" s="20">
        <f t="shared" si="24"/>
        <v>2</v>
      </c>
      <c r="AC367" s="21">
        <f t="shared" si="25"/>
        <v>2</v>
      </c>
      <c r="AD367" s="22" t="str">
        <f t="shared" si="26"/>
        <v>ÚTIL</v>
      </c>
      <c r="AE367" s="25"/>
      <c r="AF367" s="24"/>
      <c r="AG367" s="24"/>
      <c r="AH367" s="9"/>
    </row>
    <row r="368" spans="15:34" hidden="1" x14ac:dyDescent="0.25">
      <c r="O368" s="4" t="s">
        <v>772</v>
      </c>
      <c r="P368" s="4" t="s">
        <v>101</v>
      </c>
      <c r="AA368" s="19">
        <f t="shared" si="27"/>
        <v>43466</v>
      </c>
      <c r="AB368" s="20">
        <f t="shared" si="24"/>
        <v>3</v>
      </c>
      <c r="AC368" s="21">
        <f t="shared" si="25"/>
        <v>3</v>
      </c>
      <c r="AD368" s="22" t="str">
        <f t="shared" si="26"/>
        <v>ÚTIL</v>
      </c>
      <c r="AE368" s="25"/>
      <c r="AF368" s="9"/>
      <c r="AG368" s="9"/>
      <c r="AH368" s="9"/>
    </row>
    <row r="369" spans="15:34" hidden="1" x14ac:dyDescent="0.25">
      <c r="O369" s="4" t="s">
        <v>774</v>
      </c>
      <c r="P369" s="4" t="s">
        <v>239</v>
      </c>
      <c r="AA369" s="19">
        <f t="shared" si="27"/>
        <v>43467</v>
      </c>
      <c r="AB369" s="20">
        <f t="shared" si="24"/>
        <v>4</v>
      </c>
      <c r="AC369" s="21">
        <f t="shared" si="25"/>
        <v>4</v>
      </c>
      <c r="AD369" s="22" t="str">
        <f t="shared" si="26"/>
        <v>ÚTIL</v>
      </c>
      <c r="AE369" s="25"/>
      <c r="AF369" s="9"/>
      <c r="AG369" s="9"/>
      <c r="AH369" s="9"/>
    </row>
    <row r="370" spans="15:34" hidden="1" x14ac:dyDescent="0.25">
      <c r="O370" s="4" t="s">
        <v>776</v>
      </c>
      <c r="P370" s="4" t="s">
        <v>77</v>
      </c>
      <c r="AA370" s="19">
        <f t="shared" si="27"/>
        <v>43468</v>
      </c>
      <c r="AB370" s="20">
        <f t="shared" si="24"/>
        <v>5</v>
      </c>
      <c r="AC370" s="21">
        <f t="shared" si="25"/>
        <v>5</v>
      </c>
      <c r="AD370" s="22" t="str">
        <f t="shared" si="26"/>
        <v>ÚTIL</v>
      </c>
      <c r="AE370" s="25"/>
      <c r="AF370" s="9"/>
      <c r="AG370" s="9"/>
      <c r="AH370" s="9"/>
    </row>
    <row r="371" spans="15:34" hidden="1" x14ac:dyDescent="0.25">
      <c r="O371" s="4" t="s">
        <v>778</v>
      </c>
      <c r="P371" s="4" t="s">
        <v>785</v>
      </c>
      <c r="AA371" s="19">
        <f t="shared" si="27"/>
        <v>43469</v>
      </c>
      <c r="AB371" s="20">
        <f t="shared" si="24"/>
        <v>6</v>
      </c>
      <c r="AC371" s="21">
        <f t="shared" si="25"/>
        <v>6</v>
      </c>
      <c r="AD371" s="22" t="str">
        <f t="shared" si="26"/>
        <v>ÚTIL</v>
      </c>
      <c r="AE371" s="25"/>
      <c r="AF371" s="9"/>
      <c r="AG371" s="9"/>
      <c r="AH371" s="9"/>
    </row>
    <row r="372" spans="15:34" hidden="1" x14ac:dyDescent="0.25">
      <c r="O372" s="4" t="s">
        <v>780</v>
      </c>
      <c r="P372" s="4" t="s">
        <v>463</v>
      </c>
      <c r="AA372" s="19">
        <f t="shared" si="27"/>
        <v>43470</v>
      </c>
      <c r="AB372" s="20">
        <f t="shared" si="24"/>
        <v>7</v>
      </c>
      <c r="AC372" s="21">
        <f t="shared" si="25"/>
        <v>7</v>
      </c>
      <c r="AD372" s="22" t="str">
        <f t="shared" si="26"/>
        <v>NÃO ÚTIL</v>
      </c>
      <c r="AE372" s="25"/>
      <c r="AF372" s="9"/>
      <c r="AG372" s="9"/>
      <c r="AH372" s="9"/>
    </row>
    <row r="373" spans="15:34" hidden="1" x14ac:dyDescent="0.25">
      <c r="O373" s="4" t="s">
        <v>782</v>
      </c>
      <c r="P373" s="4" t="s">
        <v>465</v>
      </c>
      <c r="AA373" s="19">
        <f t="shared" si="27"/>
        <v>43471</v>
      </c>
      <c r="AB373" s="20">
        <f t="shared" si="24"/>
        <v>1</v>
      </c>
      <c r="AC373" s="21">
        <f t="shared" si="25"/>
        <v>1</v>
      </c>
      <c r="AD373" s="22" t="str">
        <f t="shared" si="26"/>
        <v>NÃO ÚTIL</v>
      </c>
      <c r="AE373" s="25"/>
      <c r="AF373" s="9"/>
      <c r="AG373" s="9"/>
      <c r="AH373" s="9"/>
    </row>
    <row r="374" spans="15:34" hidden="1" x14ac:dyDescent="0.25">
      <c r="O374" s="4" t="s">
        <v>784</v>
      </c>
      <c r="P374" s="4" t="s">
        <v>227</v>
      </c>
      <c r="AA374" s="19">
        <f t="shared" si="27"/>
        <v>43472</v>
      </c>
      <c r="AB374" s="20">
        <f t="shared" si="24"/>
        <v>2</v>
      </c>
      <c r="AC374" s="21">
        <f t="shared" si="25"/>
        <v>2</v>
      </c>
      <c r="AD374" s="22" t="str">
        <f t="shared" si="26"/>
        <v>ÚTIL</v>
      </c>
      <c r="AE374" s="25"/>
      <c r="AF374" s="9"/>
      <c r="AG374" s="9"/>
      <c r="AH374" s="9"/>
    </row>
    <row r="375" spans="15:34" hidden="1" x14ac:dyDescent="0.25">
      <c r="O375" s="4" t="s">
        <v>786</v>
      </c>
      <c r="P375" s="4" t="s">
        <v>105</v>
      </c>
      <c r="AA375" s="19">
        <f t="shared" si="27"/>
        <v>43473</v>
      </c>
      <c r="AB375" s="20">
        <f t="shared" si="24"/>
        <v>3</v>
      </c>
      <c r="AC375" s="21">
        <f t="shared" si="25"/>
        <v>3</v>
      </c>
      <c r="AD375" s="22" t="str">
        <f t="shared" si="26"/>
        <v>ÚTIL</v>
      </c>
      <c r="AE375" s="25"/>
      <c r="AF375" s="9"/>
      <c r="AG375" s="9"/>
      <c r="AH375" s="9"/>
    </row>
    <row r="376" spans="15:34" hidden="1" x14ac:dyDescent="0.25">
      <c r="O376" s="4" t="s">
        <v>788</v>
      </c>
      <c r="P376" s="4" t="s">
        <v>249</v>
      </c>
      <c r="AA376" s="19">
        <f t="shared" si="27"/>
        <v>43474</v>
      </c>
      <c r="AB376" s="20">
        <f t="shared" si="24"/>
        <v>4</v>
      </c>
      <c r="AC376" s="21">
        <f t="shared" si="25"/>
        <v>4</v>
      </c>
      <c r="AD376" s="22" t="str">
        <f t="shared" si="26"/>
        <v>ÚTIL</v>
      </c>
      <c r="AE376" s="25"/>
      <c r="AF376" s="9"/>
      <c r="AG376" s="9"/>
      <c r="AH376" s="9"/>
    </row>
    <row r="377" spans="15:34" hidden="1" x14ac:dyDescent="0.25">
      <c r="O377" s="4" t="s">
        <v>790</v>
      </c>
      <c r="P377" s="4" t="s">
        <v>125</v>
      </c>
      <c r="AA377" s="19">
        <f t="shared" si="27"/>
        <v>43475</v>
      </c>
      <c r="AB377" s="20">
        <f t="shared" si="24"/>
        <v>5</v>
      </c>
      <c r="AC377" s="21">
        <f t="shared" si="25"/>
        <v>5</v>
      </c>
      <c r="AD377" s="22" t="str">
        <f t="shared" si="26"/>
        <v>ÚTIL</v>
      </c>
      <c r="AE377" s="25"/>
      <c r="AF377" s="9"/>
      <c r="AG377" s="9"/>
      <c r="AH377" s="9"/>
    </row>
    <row r="378" spans="15:34" hidden="1" x14ac:dyDescent="0.25">
      <c r="O378" s="4" t="s">
        <v>792</v>
      </c>
      <c r="P378" s="4" t="s">
        <v>44</v>
      </c>
      <c r="AA378" s="19">
        <f t="shared" si="27"/>
        <v>43476</v>
      </c>
      <c r="AB378" s="20">
        <f t="shared" si="24"/>
        <v>6</v>
      </c>
      <c r="AC378" s="21">
        <f t="shared" si="25"/>
        <v>6</v>
      </c>
      <c r="AD378" s="22" t="str">
        <f t="shared" si="26"/>
        <v>ÚTIL</v>
      </c>
      <c r="AE378" s="25"/>
      <c r="AF378" s="9"/>
      <c r="AG378" s="9"/>
      <c r="AH378" s="9"/>
    </row>
    <row r="379" spans="15:34" hidden="1" x14ac:dyDescent="0.25">
      <c r="O379" s="4" t="s">
        <v>794</v>
      </c>
      <c r="P379" s="4" t="s">
        <v>217</v>
      </c>
      <c r="AA379" s="19">
        <f t="shared" si="27"/>
        <v>43477</v>
      </c>
      <c r="AB379" s="20">
        <f t="shared" si="24"/>
        <v>7</v>
      </c>
      <c r="AC379" s="21">
        <f t="shared" si="25"/>
        <v>7</v>
      </c>
      <c r="AD379" s="22" t="str">
        <f t="shared" si="26"/>
        <v>NÃO ÚTIL</v>
      </c>
      <c r="AE379" s="25"/>
      <c r="AF379" s="9"/>
      <c r="AG379" s="9"/>
      <c r="AH379" s="9"/>
    </row>
    <row r="380" spans="15:34" hidden="1" x14ac:dyDescent="0.25">
      <c r="O380" s="4" t="s">
        <v>796</v>
      </c>
      <c r="P380" s="4" t="s">
        <v>96</v>
      </c>
      <c r="AA380" s="19">
        <f t="shared" si="27"/>
        <v>43478</v>
      </c>
      <c r="AB380" s="20">
        <f t="shared" si="24"/>
        <v>1</v>
      </c>
      <c r="AC380" s="21">
        <f t="shared" si="25"/>
        <v>1</v>
      </c>
      <c r="AD380" s="22" t="str">
        <f t="shared" si="26"/>
        <v>NÃO ÚTIL</v>
      </c>
      <c r="AE380" s="25"/>
      <c r="AF380" s="9"/>
      <c r="AG380" s="9"/>
      <c r="AH380" s="9"/>
    </row>
    <row r="381" spans="15:34" hidden="1" x14ac:dyDescent="0.25">
      <c r="O381" s="4" t="s">
        <v>798</v>
      </c>
      <c r="P381" s="4" t="s">
        <v>51</v>
      </c>
      <c r="AA381" s="19">
        <f t="shared" si="27"/>
        <v>43479</v>
      </c>
      <c r="AB381" s="20">
        <f t="shared" si="24"/>
        <v>2</v>
      </c>
      <c r="AC381" s="21">
        <f t="shared" si="25"/>
        <v>2</v>
      </c>
      <c r="AD381" s="22" t="str">
        <f t="shared" si="26"/>
        <v>ÚTIL</v>
      </c>
      <c r="AE381" s="25"/>
      <c r="AF381" s="9"/>
      <c r="AG381" s="9"/>
      <c r="AH381" s="9"/>
    </row>
    <row r="382" spans="15:34" hidden="1" x14ac:dyDescent="0.25">
      <c r="O382" s="4" t="s">
        <v>800</v>
      </c>
      <c r="P382" s="4" t="s">
        <v>135</v>
      </c>
      <c r="AA382" s="19">
        <f t="shared" si="27"/>
        <v>43480</v>
      </c>
      <c r="AB382" s="20">
        <f t="shared" si="24"/>
        <v>3</v>
      </c>
      <c r="AC382" s="21">
        <f t="shared" si="25"/>
        <v>3</v>
      </c>
      <c r="AD382" s="22" t="str">
        <f t="shared" si="26"/>
        <v>ÚTIL</v>
      </c>
      <c r="AE382" s="25"/>
      <c r="AF382" s="9"/>
      <c r="AG382" s="9"/>
      <c r="AH382" s="9"/>
    </row>
    <row r="383" spans="15:34" hidden="1" x14ac:dyDescent="0.25">
      <c r="O383" s="4" t="s">
        <v>802</v>
      </c>
      <c r="P383" s="4" t="s">
        <v>103</v>
      </c>
      <c r="AA383" s="19">
        <f t="shared" si="27"/>
        <v>43481</v>
      </c>
      <c r="AB383" s="20">
        <f t="shared" si="24"/>
        <v>4</v>
      </c>
      <c r="AC383" s="21">
        <f t="shared" si="25"/>
        <v>4</v>
      </c>
      <c r="AD383" s="22" t="str">
        <f t="shared" si="26"/>
        <v>ÚTIL</v>
      </c>
      <c r="AE383" s="25"/>
      <c r="AF383" s="9"/>
      <c r="AG383" s="9"/>
      <c r="AH383" s="9"/>
    </row>
    <row r="384" spans="15:34" hidden="1" x14ac:dyDescent="0.25">
      <c r="O384" s="4" t="s">
        <v>804</v>
      </c>
      <c r="P384" s="4" t="s">
        <v>245</v>
      </c>
      <c r="AA384" s="19">
        <f t="shared" si="27"/>
        <v>43482</v>
      </c>
      <c r="AB384" s="20">
        <f t="shared" si="24"/>
        <v>5</v>
      </c>
      <c r="AC384" s="21">
        <f t="shared" si="25"/>
        <v>5</v>
      </c>
      <c r="AD384" s="22" t="str">
        <f t="shared" si="26"/>
        <v>ÚTIL</v>
      </c>
      <c r="AE384" s="25"/>
      <c r="AF384" s="9"/>
      <c r="AG384" s="9"/>
      <c r="AH384" s="9"/>
    </row>
    <row r="385" spans="15:34" hidden="1" x14ac:dyDescent="0.25">
      <c r="O385" s="4" t="s">
        <v>806</v>
      </c>
      <c r="P385" s="4" t="s">
        <v>85</v>
      </c>
      <c r="AA385" s="19">
        <f t="shared" si="27"/>
        <v>43483</v>
      </c>
      <c r="AB385" s="20">
        <f t="shared" si="24"/>
        <v>6</v>
      </c>
      <c r="AC385" s="21">
        <f t="shared" si="25"/>
        <v>6</v>
      </c>
      <c r="AD385" s="22" t="str">
        <f t="shared" si="26"/>
        <v>ÚTIL</v>
      </c>
      <c r="AE385" s="25"/>
      <c r="AF385" s="9"/>
      <c r="AG385" s="9"/>
      <c r="AH385" s="9"/>
    </row>
    <row r="386" spans="15:34" hidden="1" x14ac:dyDescent="0.25">
      <c r="O386" s="4" t="s">
        <v>808</v>
      </c>
      <c r="P386" s="4" t="s">
        <v>89</v>
      </c>
      <c r="AA386" s="19">
        <f t="shared" si="27"/>
        <v>43484</v>
      </c>
      <c r="AB386" s="20">
        <f t="shared" si="24"/>
        <v>7</v>
      </c>
      <c r="AC386" s="21">
        <f t="shared" si="25"/>
        <v>7</v>
      </c>
      <c r="AD386" s="22" t="str">
        <f t="shared" si="26"/>
        <v>NÃO ÚTIL</v>
      </c>
      <c r="AE386" s="25"/>
      <c r="AF386" s="9"/>
      <c r="AG386" s="9"/>
      <c r="AH386" s="9"/>
    </row>
    <row r="387" spans="15:34" hidden="1" x14ac:dyDescent="0.25">
      <c r="O387" s="4" t="s">
        <v>810</v>
      </c>
      <c r="P387" s="4" t="s">
        <v>60</v>
      </c>
      <c r="AA387" s="19">
        <f t="shared" si="27"/>
        <v>43485</v>
      </c>
      <c r="AB387" s="20">
        <f t="shared" ref="AB387:AB450" si="28">AC387</f>
        <v>1</v>
      </c>
      <c r="AC387" s="21">
        <f t="shared" ref="AC387:AC450" si="29">WEEKDAY(AA387)</f>
        <v>1</v>
      </c>
      <c r="AD387" s="22" t="str">
        <f t="shared" ref="AD387:AD450" si="30">IF(WORKDAY(AA387-1,1,$AE$3:$AE$14)=AA387,"ÚTIL","NÃO ÚTIL")</f>
        <v>NÃO ÚTIL</v>
      </c>
      <c r="AE387" s="25"/>
      <c r="AF387" s="9"/>
      <c r="AG387" s="9"/>
      <c r="AH387" s="9"/>
    </row>
    <row r="388" spans="15:34" hidden="1" x14ac:dyDescent="0.25">
      <c r="O388" s="4" t="s">
        <v>812</v>
      </c>
      <c r="P388" s="4" t="s">
        <v>48</v>
      </c>
      <c r="AA388" s="19">
        <f t="shared" ref="AA388:AA451" si="31">AA387+1</f>
        <v>43486</v>
      </c>
      <c r="AB388" s="20">
        <f t="shared" si="28"/>
        <v>2</v>
      </c>
      <c r="AC388" s="21">
        <f t="shared" si="29"/>
        <v>2</v>
      </c>
      <c r="AD388" s="22" t="str">
        <f t="shared" si="30"/>
        <v>ÚTIL</v>
      </c>
      <c r="AE388" s="25"/>
      <c r="AF388" s="9"/>
      <c r="AG388" s="9"/>
      <c r="AH388" s="9"/>
    </row>
    <row r="389" spans="15:34" hidden="1" x14ac:dyDescent="0.25">
      <c r="O389" s="4" t="s">
        <v>814</v>
      </c>
      <c r="P389" s="4" t="s">
        <v>299</v>
      </c>
      <c r="AA389" s="19">
        <f t="shared" si="31"/>
        <v>43487</v>
      </c>
      <c r="AB389" s="20">
        <f t="shared" si="28"/>
        <v>3</v>
      </c>
      <c r="AC389" s="21">
        <f t="shared" si="29"/>
        <v>3</v>
      </c>
      <c r="AD389" s="22" t="str">
        <f t="shared" si="30"/>
        <v>ÚTIL</v>
      </c>
      <c r="AE389" s="25"/>
      <c r="AF389" s="9"/>
      <c r="AG389" s="9"/>
      <c r="AH389" s="9"/>
    </row>
    <row r="390" spans="15:34" hidden="1" x14ac:dyDescent="0.25">
      <c r="O390" s="4" t="s">
        <v>816</v>
      </c>
      <c r="P390" s="4" t="s">
        <v>165</v>
      </c>
      <c r="AA390" s="19">
        <f t="shared" si="31"/>
        <v>43488</v>
      </c>
      <c r="AB390" s="20">
        <f t="shared" si="28"/>
        <v>4</v>
      </c>
      <c r="AC390" s="21">
        <f t="shared" si="29"/>
        <v>4</v>
      </c>
      <c r="AD390" s="22" t="str">
        <f t="shared" si="30"/>
        <v>ÚTIL</v>
      </c>
      <c r="AE390" s="25"/>
      <c r="AF390" s="9"/>
      <c r="AG390" s="9"/>
      <c r="AH390" s="9"/>
    </row>
    <row r="391" spans="15:34" hidden="1" x14ac:dyDescent="0.25">
      <c r="O391" s="4" t="s">
        <v>818</v>
      </c>
      <c r="P391" s="4" t="s">
        <v>539</v>
      </c>
      <c r="AA391" s="19">
        <f t="shared" si="31"/>
        <v>43489</v>
      </c>
      <c r="AB391" s="20">
        <f t="shared" si="28"/>
        <v>5</v>
      </c>
      <c r="AC391" s="21">
        <f t="shared" si="29"/>
        <v>5</v>
      </c>
      <c r="AD391" s="22" t="str">
        <f t="shared" si="30"/>
        <v>ÚTIL</v>
      </c>
      <c r="AE391" s="25"/>
      <c r="AF391" s="9"/>
      <c r="AG391" s="9"/>
      <c r="AH391" s="9"/>
    </row>
    <row r="392" spans="15:34" hidden="1" x14ac:dyDescent="0.25">
      <c r="O392" s="4" t="s">
        <v>820</v>
      </c>
      <c r="P392" s="4" t="s">
        <v>583</v>
      </c>
      <c r="AA392" s="19">
        <f t="shared" si="31"/>
        <v>43490</v>
      </c>
      <c r="AB392" s="20">
        <f t="shared" si="28"/>
        <v>6</v>
      </c>
      <c r="AC392" s="21">
        <f t="shared" si="29"/>
        <v>6</v>
      </c>
      <c r="AD392" s="22" t="str">
        <f t="shared" si="30"/>
        <v>ÚTIL</v>
      </c>
      <c r="AE392" s="25"/>
      <c r="AF392" s="9"/>
      <c r="AG392" s="9"/>
      <c r="AH392" s="9"/>
    </row>
    <row r="393" spans="15:34" hidden="1" x14ac:dyDescent="0.25">
      <c r="O393" s="4" t="s">
        <v>822</v>
      </c>
      <c r="P393" s="4" t="s">
        <v>2850</v>
      </c>
      <c r="AA393" s="19">
        <f t="shared" si="31"/>
        <v>43491</v>
      </c>
      <c r="AB393" s="20">
        <f t="shared" si="28"/>
        <v>7</v>
      </c>
      <c r="AC393" s="21">
        <f t="shared" si="29"/>
        <v>7</v>
      </c>
      <c r="AD393" s="22" t="str">
        <f t="shared" si="30"/>
        <v>NÃO ÚTIL</v>
      </c>
      <c r="AE393" s="25"/>
      <c r="AF393" s="9"/>
      <c r="AG393" s="9"/>
      <c r="AH393" s="9"/>
    </row>
    <row r="394" spans="15:34" hidden="1" x14ac:dyDescent="0.25">
      <c r="O394" s="4" t="s">
        <v>823</v>
      </c>
      <c r="P394" s="4" t="s">
        <v>3825</v>
      </c>
      <c r="AA394" s="19">
        <f t="shared" si="31"/>
        <v>43492</v>
      </c>
      <c r="AB394" s="20">
        <f t="shared" si="28"/>
        <v>1</v>
      </c>
      <c r="AC394" s="21">
        <f t="shared" si="29"/>
        <v>1</v>
      </c>
      <c r="AD394" s="22" t="str">
        <f t="shared" si="30"/>
        <v>NÃO ÚTIL</v>
      </c>
      <c r="AE394" s="25"/>
      <c r="AF394" s="9"/>
      <c r="AG394" s="9"/>
      <c r="AH394" s="9"/>
    </row>
    <row r="395" spans="15:34" hidden="1" x14ac:dyDescent="0.25">
      <c r="O395" s="4" t="s">
        <v>824</v>
      </c>
      <c r="P395" s="4" t="s">
        <v>2557</v>
      </c>
      <c r="AA395" s="19">
        <f t="shared" si="31"/>
        <v>43493</v>
      </c>
      <c r="AB395" s="20">
        <f t="shared" si="28"/>
        <v>2</v>
      </c>
      <c r="AC395" s="21">
        <f t="shared" si="29"/>
        <v>2</v>
      </c>
      <c r="AD395" s="22" t="str">
        <f t="shared" si="30"/>
        <v>ÚTIL</v>
      </c>
      <c r="AE395" s="25"/>
      <c r="AF395" s="9"/>
      <c r="AG395" s="9"/>
      <c r="AH395" s="9"/>
    </row>
    <row r="396" spans="15:34" hidden="1" x14ac:dyDescent="0.25">
      <c r="O396" s="4" t="s">
        <v>825</v>
      </c>
      <c r="P396"/>
      <c r="AA396" s="19">
        <f t="shared" si="31"/>
        <v>43494</v>
      </c>
      <c r="AB396" s="20">
        <f t="shared" si="28"/>
        <v>3</v>
      </c>
      <c r="AC396" s="21">
        <f t="shared" si="29"/>
        <v>3</v>
      </c>
      <c r="AD396" s="22" t="str">
        <f t="shared" si="30"/>
        <v>ÚTIL</v>
      </c>
      <c r="AE396" s="25"/>
      <c r="AF396" s="9"/>
      <c r="AG396" s="9"/>
      <c r="AH396" s="9"/>
    </row>
    <row r="397" spans="15:34" hidden="1" x14ac:dyDescent="0.25">
      <c r="O397" s="4" t="s">
        <v>826</v>
      </c>
      <c r="P397"/>
      <c r="AA397" s="19">
        <f t="shared" si="31"/>
        <v>43495</v>
      </c>
      <c r="AB397" s="20">
        <f t="shared" si="28"/>
        <v>4</v>
      </c>
      <c r="AC397" s="21">
        <f t="shared" si="29"/>
        <v>4</v>
      </c>
      <c r="AD397" s="22" t="str">
        <f t="shared" si="30"/>
        <v>ÚTIL</v>
      </c>
      <c r="AE397" s="25"/>
      <c r="AF397" s="9"/>
      <c r="AG397" s="9"/>
      <c r="AH397" s="9"/>
    </row>
    <row r="398" spans="15:34" hidden="1" x14ac:dyDescent="0.25">
      <c r="O398" s="4" t="s">
        <v>827</v>
      </c>
      <c r="P398"/>
      <c r="AA398" s="19">
        <f t="shared" si="31"/>
        <v>43496</v>
      </c>
      <c r="AB398" s="20">
        <f t="shared" si="28"/>
        <v>5</v>
      </c>
      <c r="AC398" s="21">
        <f t="shared" si="29"/>
        <v>5</v>
      </c>
      <c r="AD398" s="22" t="str">
        <f t="shared" si="30"/>
        <v>ÚTIL</v>
      </c>
      <c r="AE398" s="25"/>
      <c r="AF398" s="9"/>
      <c r="AG398" s="9"/>
      <c r="AH398" s="9"/>
    </row>
    <row r="399" spans="15:34" hidden="1" x14ac:dyDescent="0.25">
      <c r="O399" s="4" t="s">
        <v>828</v>
      </c>
      <c r="P399"/>
      <c r="AA399" s="19">
        <f t="shared" si="31"/>
        <v>43497</v>
      </c>
      <c r="AB399" s="20">
        <f t="shared" si="28"/>
        <v>6</v>
      </c>
      <c r="AC399" s="21">
        <f t="shared" si="29"/>
        <v>6</v>
      </c>
      <c r="AD399" s="22" t="str">
        <f t="shared" si="30"/>
        <v>ÚTIL</v>
      </c>
      <c r="AE399" s="25"/>
      <c r="AF399" s="9"/>
      <c r="AG399" s="9"/>
      <c r="AH399" s="9"/>
    </row>
    <row r="400" spans="15:34" hidden="1" x14ac:dyDescent="0.25">
      <c r="O400" s="4" t="s">
        <v>829</v>
      </c>
      <c r="P400"/>
      <c r="AA400" s="19">
        <f t="shared" si="31"/>
        <v>43498</v>
      </c>
      <c r="AB400" s="20">
        <f t="shared" si="28"/>
        <v>7</v>
      </c>
      <c r="AC400" s="21">
        <f t="shared" si="29"/>
        <v>7</v>
      </c>
      <c r="AD400" s="22" t="str">
        <f t="shared" si="30"/>
        <v>NÃO ÚTIL</v>
      </c>
      <c r="AE400" s="25"/>
      <c r="AF400" s="9"/>
      <c r="AG400" s="9"/>
      <c r="AH400" s="9"/>
    </row>
    <row r="401" spans="15:34" hidden="1" x14ac:dyDescent="0.25">
      <c r="O401" s="4" t="s">
        <v>830</v>
      </c>
      <c r="P401" s="26"/>
      <c r="AA401" s="19">
        <f t="shared" si="31"/>
        <v>43499</v>
      </c>
      <c r="AB401" s="20">
        <f t="shared" si="28"/>
        <v>1</v>
      </c>
      <c r="AC401" s="21">
        <f t="shared" si="29"/>
        <v>1</v>
      </c>
      <c r="AD401" s="22" t="str">
        <f t="shared" si="30"/>
        <v>NÃO ÚTIL</v>
      </c>
      <c r="AE401" s="25"/>
      <c r="AF401" s="9"/>
      <c r="AG401" s="9"/>
      <c r="AH401" s="9"/>
    </row>
    <row r="402" spans="15:34" hidden="1" x14ac:dyDescent="0.25">
      <c r="O402" s="4" t="s">
        <v>831</v>
      </c>
      <c r="P402"/>
      <c r="AA402" s="19">
        <f t="shared" si="31"/>
        <v>43500</v>
      </c>
      <c r="AB402" s="20">
        <f t="shared" si="28"/>
        <v>2</v>
      </c>
      <c r="AC402" s="21">
        <f t="shared" si="29"/>
        <v>2</v>
      </c>
      <c r="AD402" s="22" t="str">
        <f t="shared" si="30"/>
        <v>ÚTIL</v>
      </c>
      <c r="AE402" s="25"/>
      <c r="AF402" s="9"/>
      <c r="AG402" s="9"/>
      <c r="AH402" s="9"/>
    </row>
    <row r="403" spans="15:34" hidden="1" x14ac:dyDescent="0.25">
      <c r="O403" s="4" t="s">
        <v>832</v>
      </c>
      <c r="P403"/>
      <c r="AA403" s="19">
        <f t="shared" si="31"/>
        <v>43501</v>
      </c>
      <c r="AB403" s="20">
        <f t="shared" si="28"/>
        <v>3</v>
      </c>
      <c r="AC403" s="21">
        <f t="shared" si="29"/>
        <v>3</v>
      </c>
      <c r="AD403" s="22" t="str">
        <f t="shared" si="30"/>
        <v>ÚTIL</v>
      </c>
      <c r="AE403" s="25"/>
      <c r="AF403" s="9"/>
      <c r="AG403" s="9"/>
      <c r="AH403" s="9"/>
    </row>
    <row r="404" spans="15:34" hidden="1" x14ac:dyDescent="0.25">
      <c r="O404" s="4" t="s">
        <v>833</v>
      </c>
      <c r="P404"/>
      <c r="AA404" s="19">
        <f t="shared" si="31"/>
        <v>43502</v>
      </c>
      <c r="AB404" s="20">
        <f t="shared" si="28"/>
        <v>4</v>
      </c>
      <c r="AC404" s="21">
        <f t="shared" si="29"/>
        <v>4</v>
      </c>
      <c r="AD404" s="22" t="str">
        <f t="shared" si="30"/>
        <v>ÚTIL</v>
      </c>
      <c r="AE404" s="25"/>
      <c r="AF404" s="9"/>
      <c r="AG404" s="9"/>
      <c r="AH404" s="9"/>
    </row>
    <row r="405" spans="15:34" hidden="1" x14ac:dyDescent="0.25">
      <c r="O405" s="4" t="s">
        <v>834</v>
      </c>
      <c r="P405"/>
      <c r="AA405" s="19">
        <f t="shared" si="31"/>
        <v>43503</v>
      </c>
      <c r="AB405" s="20">
        <f t="shared" si="28"/>
        <v>5</v>
      </c>
      <c r="AC405" s="21">
        <f t="shared" si="29"/>
        <v>5</v>
      </c>
      <c r="AD405" s="22" t="str">
        <f t="shared" si="30"/>
        <v>ÚTIL</v>
      </c>
      <c r="AE405" s="25"/>
      <c r="AF405" s="9"/>
      <c r="AG405" s="9"/>
      <c r="AH405" s="9"/>
    </row>
    <row r="406" spans="15:34" hidden="1" x14ac:dyDescent="0.25">
      <c r="O406" s="4" t="s">
        <v>835</v>
      </c>
      <c r="P406"/>
      <c r="AA406" s="19">
        <f t="shared" si="31"/>
        <v>43504</v>
      </c>
      <c r="AB406" s="20">
        <f t="shared" si="28"/>
        <v>6</v>
      </c>
      <c r="AC406" s="21">
        <f t="shared" si="29"/>
        <v>6</v>
      </c>
      <c r="AD406" s="22" t="str">
        <f t="shared" si="30"/>
        <v>ÚTIL</v>
      </c>
      <c r="AE406" s="25"/>
      <c r="AF406" s="9"/>
      <c r="AG406" s="9"/>
      <c r="AH406" s="9"/>
    </row>
    <row r="407" spans="15:34" hidden="1" x14ac:dyDescent="0.25">
      <c r="O407" s="4" t="s">
        <v>836</v>
      </c>
      <c r="P407"/>
      <c r="AA407" s="19">
        <f t="shared" si="31"/>
        <v>43505</v>
      </c>
      <c r="AB407" s="20">
        <f t="shared" si="28"/>
        <v>7</v>
      </c>
      <c r="AC407" s="21">
        <f t="shared" si="29"/>
        <v>7</v>
      </c>
      <c r="AD407" s="22" t="str">
        <f t="shared" si="30"/>
        <v>NÃO ÚTIL</v>
      </c>
      <c r="AE407" s="25"/>
      <c r="AF407" s="9"/>
      <c r="AG407" s="9"/>
      <c r="AH407" s="9"/>
    </row>
    <row r="408" spans="15:34" hidden="1" x14ac:dyDescent="0.25">
      <c r="O408" s="4" t="s">
        <v>837</v>
      </c>
      <c r="P408"/>
      <c r="AA408" s="19">
        <f t="shared" si="31"/>
        <v>43506</v>
      </c>
      <c r="AB408" s="20">
        <f t="shared" si="28"/>
        <v>1</v>
      </c>
      <c r="AC408" s="21">
        <f t="shared" si="29"/>
        <v>1</v>
      </c>
      <c r="AD408" s="22" t="str">
        <f t="shared" si="30"/>
        <v>NÃO ÚTIL</v>
      </c>
      <c r="AE408" s="25"/>
      <c r="AF408" s="9"/>
      <c r="AG408" s="9"/>
      <c r="AH408" s="9"/>
    </row>
    <row r="409" spans="15:34" hidden="1" x14ac:dyDescent="0.25">
      <c r="O409" s="4" t="s">
        <v>838</v>
      </c>
      <c r="P409"/>
      <c r="AA409" s="19">
        <f t="shared" si="31"/>
        <v>43507</v>
      </c>
      <c r="AB409" s="20">
        <f t="shared" si="28"/>
        <v>2</v>
      </c>
      <c r="AC409" s="21">
        <f t="shared" si="29"/>
        <v>2</v>
      </c>
      <c r="AD409" s="22" t="str">
        <f t="shared" si="30"/>
        <v>ÚTIL</v>
      </c>
      <c r="AE409" s="25"/>
      <c r="AF409" s="9"/>
      <c r="AG409" s="9"/>
      <c r="AH409" s="9"/>
    </row>
    <row r="410" spans="15:34" hidden="1" x14ac:dyDescent="0.25">
      <c r="O410" s="4" t="s">
        <v>839</v>
      </c>
      <c r="P410"/>
      <c r="AA410" s="19">
        <f t="shared" si="31"/>
        <v>43508</v>
      </c>
      <c r="AB410" s="20">
        <f t="shared" si="28"/>
        <v>3</v>
      </c>
      <c r="AC410" s="21">
        <f t="shared" si="29"/>
        <v>3</v>
      </c>
      <c r="AD410" s="22" t="str">
        <f t="shared" si="30"/>
        <v>ÚTIL</v>
      </c>
      <c r="AE410" s="25"/>
      <c r="AF410" s="9"/>
      <c r="AG410" s="9"/>
      <c r="AH410" s="9"/>
    </row>
    <row r="411" spans="15:34" hidden="1" x14ac:dyDescent="0.25">
      <c r="O411" s="4" t="s">
        <v>840</v>
      </c>
      <c r="P411"/>
      <c r="AA411" s="19">
        <f t="shared" si="31"/>
        <v>43509</v>
      </c>
      <c r="AB411" s="20">
        <f t="shared" si="28"/>
        <v>4</v>
      </c>
      <c r="AC411" s="21">
        <f t="shared" si="29"/>
        <v>4</v>
      </c>
      <c r="AD411" s="22" t="str">
        <f t="shared" si="30"/>
        <v>ÚTIL</v>
      </c>
      <c r="AE411" s="25"/>
      <c r="AF411" s="9"/>
      <c r="AG411" s="9"/>
      <c r="AH411" s="9"/>
    </row>
    <row r="412" spans="15:34" hidden="1" x14ac:dyDescent="0.25">
      <c r="O412" s="4" t="s">
        <v>841</v>
      </c>
      <c r="P412"/>
      <c r="AA412" s="19">
        <f t="shared" si="31"/>
        <v>43510</v>
      </c>
      <c r="AB412" s="20">
        <f t="shared" si="28"/>
        <v>5</v>
      </c>
      <c r="AC412" s="21">
        <f t="shared" si="29"/>
        <v>5</v>
      </c>
      <c r="AD412" s="22" t="str">
        <f t="shared" si="30"/>
        <v>ÚTIL</v>
      </c>
      <c r="AE412" s="25"/>
      <c r="AF412" s="9"/>
      <c r="AG412" s="9"/>
      <c r="AH412" s="9"/>
    </row>
    <row r="413" spans="15:34" hidden="1" x14ac:dyDescent="0.25">
      <c r="O413" s="4" t="s">
        <v>842</v>
      </c>
      <c r="P413"/>
      <c r="AA413" s="19">
        <f t="shared" si="31"/>
        <v>43511</v>
      </c>
      <c r="AB413" s="20">
        <f t="shared" si="28"/>
        <v>6</v>
      </c>
      <c r="AC413" s="21">
        <f t="shared" si="29"/>
        <v>6</v>
      </c>
      <c r="AD413" s="22" t="str">
        <f t="shared" si="30"/>
        <v>ÚTIL</v>
      </c>
      <c r="AE413" s="25"/>
      <c r="AF413" s="9"/>
      <c r="AG413" s="9"/>
      <c r="AH413" s="9"/>
    </row>
    <row r="414" spans="15:34" hidden="1" x14ac:dyDescent="0.25">
      <c r="O414" s="4" t="s">
        <v>843</v>
      </c>
      <c r="P414"/>
      <c r="AA414" s="19">
        <f t="shared" si="31"/>
        <v>43512</v>
      </c>
      <c r="AB414" s="20">
        <f t="shared" si="28"/>
        <v>7</v>
      </c>
      <c r="AC414" s="21">
        <f t="shared" si="29"/>
        <v>7</v>
      </c>
      <c r="AD414" s="22" t="str">
        <f t="shared" si="30"/>
        <v>NÃO ÚTIL</v>
      </c>
      <c r="AE414" s="25"/>
      <c r="AF414" s="9"/>
      <c r="AG414" s="9"/>
      <c r="AH414" s="9"/>
    </row>
    <row r="415" spans="15:34" hidden="1" x14ac:dyDescent="0.25">
      <c r="O415" s="4" t="s">
        <v>844</v>
      </c>
      <c r="P415"/>
      <c r="AA415" s="19">
        <f t="shared" si="31"/>
        <v>43513</v>
      </c>
      <c r="AB415" s="20">
        <f t="shared" si="28"/>
        <v>1</v>
      </c>
      <c r="AC415" s="21">
        <f t="shared" si="29"/>
        <v>1</v>
      </c>
      <c r="AD415" s="22" t="str">
        <f t="shared" si="30"/>
        <v>NÃO ÚTIL</v>
      </c>
      <c r="AE415" s="25"/>
      <c r="AF415" s="9"/>
      <c r="AG415" s="9"/>
      <c r="AH415" s="9"/>
    </row>
    <row r="416" spans="15:34" hidden="1" x14ac:dyDescent="0.25">
      <c r="O416" s="4" t="s">
        <v>845</v>
      </c>
      <c r="P416"/>
      <c r="AA416" s="19">
        <f t="shared" si="31"/>
        <v>43514</v>
      </c>
      <c r="AB416" s="20">
        <f t="shared" si="28"/>
        <v>2</v>
      </c>
      <c r="AC416" s="21">
        <f t="shared" si="29"/>
        <v>2</v>
      </c>
      <c r="AD416" s="22" t="str">
        <f t="shared" si="30"/>
        <v>ÚTIL</v>
      </c>
      <c r="AE416" s="25"/>
      <c r="AF416" s="9"/>
      <c r="AG416" s="9"/>
      <c r="AH416" s="9"/>
    </row>
    <row r="417" spans="15:34" hidden="1" x14ac:dyDescent="0.25">
      <c r="O417" s="4" t="s">
        <v>846</v>
      </c>
      <c r="P417"/>
      <c r="AA417" s="19">
        <f t="shared" si="31"/>
        <v>43515</v>
      </c>
      <c r="AB417" s="20">
        <f t="shared" si="28"/>
        <v>3</v>
      </c>
      <c r="AC417" s="21">
        <f t="shared" si="29"/>
        <v>3</v>
      </c>
      <c r="AD417" s="22" t="str">
        <f t="shared" si="30"/>
        <v>ÚTIL</v>
      </c>
      <c r="AE417" s="25"/>
      <c r="AF417" s="9"/>
      <c r="AG417" s="9"/>
      <c r="AH417" s="9"/>
    </row>
    <row r="418" spans="15:34" hidden="1" x14ac:dyDescent="0.25">
      <c r="O418" s="4" t="s">
        <v>847</v>
      </c>
      <c r="P418"/>
      <c r="AA418" s="19">
        <f t="shared" si="31"/>
        <v>43516</v>
      </c>
      <c r="AB418" s="20">
        <f t="shared" si="28"/>
        <v>4</v>
      </c>
      <c r="AC418" s="21">
        <f t="shared" si="29"/>
        <v>4</v>
      </c>
      <c r="AD418" s="22" t="str">
        <f t="shared" si="30"/>
        <v>ÚTIL</v>
      </c>
      <c r="AE418" s="25"/>
      <c r="AF418" s="9"/>
      <c r="AG418" s="9"/>
      <c r="AH418" s="9"/>
    </row>
    <row r="419" spans="15:34" hidden="1" x14ac:dyDescent="0.25">
      <c r="O419" s="4" t="s">
        <v>848</v>
      </c>
      <c r="P419"/>
      <c r="AA419" s="19">
        <f t="shared" si="31"/>
        <v>43517</v>
      </c>
      <c r="AB419" s="20">
        <f t="shared" si="28"/>
        <v>5</v>
      </c>
      <c r="AC419" s="21">
        <f t="shared" si="29"/>
        <v>5</v>
      </c>
      <c r="AD419" s="22" t="str">
        <f t="shared" si="30"/>
        <v>ÚTIL</v>
      </c>
      <c r="AE419" s="25"/>
      <c r="AF419" s="9"/>
      <c r="AG419" s="9"/>
      <c r="AH419" s="9"/>
    </row>
    <row r="420" spans="15:34" hidden="1" x14ac:dyDescent="0.25">
      <c r="O420" s="4" t="s">
        <v>849</v>
      </c>
      <c r="P420"/>
      <c r="AA420" s="19">
        <f t="shared" si="31"/>
        <v>43518</v>
      </c>
      <c r="AB420" s="20">
        <f t="shared" si="28"/>
        <v>6</v>
      </c>
      <c r="AC420" s="21">
        <f t="shared" si="29"/>
        <v>6</v>
      </c>
      <c r="AD420" s="22" t="str">
        <f t="shared" si="30"/>
        <v>ÚTIL</v>
      </c>
      <c r="AE420" s="25"/>
      <c r="AF420" s="9"/>
      <c r="AG420" s="9"/>
      <c r="AH420" s="9"/>
    </row>
    <row r="421" spans="15:34" hidden="1" x14ac:dyDescent="0.25">
      <c r="O421" s="4" t="s">
        <v>850</v>
      </c>
      <c r="P421"/>
      <c r="AA421" s="19">
        <f t="shared" si="31"/>
        <v>43519</v>
      </c>
      <c r="AB421" s="20">
        <f t="shared" si="28"/>
        <v>7</v>
      </c>
      <c r="AC421" s="21">
        <f t="shared" si="29"/>
        <v>7</v>
      </c>
      <c r="AD421" s="22" t="str">
        <f t="shared" si="30"/>
        <v>NÃO ÚTIL</v>
      </c>
      <c r="AE421" s="25"/>
      <c r="AF421" s="9"/>
      <c r="AG421" s="9"/>
      <c r="AH421" s="9"/>
    </row>
    <row r="422" spans="15:34" hidden="1" x14ac:dyDescent="0.25">
      <c r="O422" s="4" t="s">
        <v>851</v>
      </c>
      <c r="P422"/>
      <c r="AA422" s="19">
        <f t="shared" si="31"/>
        <v>43520</v>
      </c>
      <c r="AB422" s="20">
        <f t="shared" si="28"/>
        <v>1</v>
      </c>
      <c r="AC422" s="21">
        <f t="shared" si="29"/>
        <v>1</v>
      </c>
      <c r="AD422" s="22" t="str">
        <f t="shared" si="30"/>
        <v>NÃO ÚTIL</v>
      </c>
      <c r="AE422" s="25"/>
      <c r="AF422" s="9"/>
      <c r="AG422" s="9"/>
      <c r="AH422" s="9"/>
    </row>
    <row r="423" spans="15:34" hidden="1" x14ac:dyDescent="0.25">
      <c r="O423" s="4" t="s">
        <v>852</v>
      </c>
      <c r="P423"/>
      <c r="AA423" s="19">
        <f t="shared" si="31"/>
        <v>43521</v>
      </c>
      <c r="AB423" s="20">
        <f t="shared" si="28"/>
        <v>2</v>
      </c>
      <c r="AC423" s="21">
        <f t="shared" si="29"/>
        <v>2</v>
      </c>
      <c r="AD423" s="22" t="str">
        <f t="shared" si="30"/>
        <v>ÚTIL</v>
      </c>
      <c r="AE423" s="25"/>
      <c r="AF423" s="9"/>
      <c r="AG423" s="9"/>
      <c r="AH423" s="9"/>
    </row>
    <row r="424" spans="15:34" hidden="1" x14ac:dyDescent="0.25">
      <c r="O424" s="4" t="s">
        <v>853</v>
      </c>
      <c r="P424"/>
      <c r="AA424" s="19">
        <f t="shared" si="31"/>
        <v>43522</v>
      </c>
      <c r="AB424" s="20">
        <f t="shared" si="28"/>
        <v>3</v>
      </c>
      <c r="AC424" s="21">
        <f t="shared" si="29"/>
        <v>3</v>
      </c>
      <c r="AD424" s="22" t="str">
        <f t="shared" si="30"/>
        <v>ÚTIL</v>
      </c>
      <c r="AE424" s="25"/>
      <c r="AF424" s="9"/>
      <c r="AG424" s="9"/>
      <c r="AH424" s="9"/>
    </row>
    <row r="425" spans="15:34" hidden="1" x14ac:dyDescent="0.25">
      <c r="O425" s="4" t="s">
        <v>854</v>
      </c>
      <c r="P425"/>
      <c r="AA425" s="19">
        <f t="shared" si="31"/>
        <v>43523</v>
      </c>
      <c r="AB425" s="20">
        <f t="shared" si="28"/>
        <v>4</v>
      </c>
      <c r="AC425" s="21">
        <f t="shared" si="29"/>
        <v>4</v>
      </c>
      <c r="AD425" s="22" t="str">
        <f t="shared" si="30"/>
        <v>ÚTIL</v>
      </c>
      <c r="AE425" s="25"/>
      <c r="AF425" s="9"/>
      <c r="AG425" s="9"/>
      <c r="AH425" s="9"/>
    </row>
    <row r="426" spans="15:34" hidden="1" x14ac:dyDescent="0.25">
      <c r="O426" s="4" t="s">
        <v>855</v>
      </c>
      <c r="P426"/>
      <c r="AA426" s="19">
        <f t="shared" si="31"/>
        <v>43524</v>
      </c>
      <c r="AB426" s="20">
        <f t="shared" si="28"/>
        <v>5</v>
      </c>
      <c r="AC426" s="21">
        <f t="shared" si="29"/>
        <v>5</v>
      </c>
      <c r="AD426" s="22" t="str">
        <f t="shared" si="30"/>
        <v>ÚTIL</v>
      </c>
      <c r="AE426" s="25"/>
      <c r="AF426" s="9"/>
      <c r="AG426" s="9"/>
      <c r="AH426" s="9"/>
    </row>
    <row r="427" spans="15:34" hidden="1" x14ac:dyDescent="0.25">
      <c r="O427" s="4" t="s">
        <v>856</v>
      </c>
      <c r="P427"/>
      <c r="AA427" s="19">
        <f t="shared" si="31"/>
        <v>43525</v>
      </c>
      <c r="AB427" s="20">
        <f t="shared" si="28"/>
        <v>6</v>
      </c>
      <c r="AC427" s="21">
        <f t="shared" si="29"/>
        <v>6</v>
      </c>
      <c r="AD427" s="22" t="str">
        <f t="shared" si="30"/>
        <v>ÚTIL</v>
      </c>
      <c r="AE427" s="25"/>
      <c r="AF427" s="9"/>
      <c r="AG427" s="9"/>
      <c r="AH427" s="9"/>
    </row>
    <row r="428" spans="15:34" hidden="1" x14ac:dyDescent="0.25">
      <c r="O428" s="4" t="s">
        <v>857</v>
      </c>
      <c r="P428"/>
      <c r="AA428" s="19">
        <f t="shared" si="31"/>
        <v>43526</v>
      </c>
      <c r="AB428" s="20">
        <f t="shared" si="28"/>
        <v>7</v>
      </c>
      <c r="AC428" s="21">
        <f t="shared" si="29"/>
        <v>7</v>
      </c>
      <c r="AD428" s="22" t="str">
        <f t="shared" si="30"/>
        <v>NÃO ÚTIL</v>
      </c>
      <c r="AE428" s="25"/>
      <c r="AF428" s="9"/>
      <c r="AG428" s="9"/>
      <c r="AH428" s="9"/>
    </row>
    <row r="429" spans="15:34" hidden="1" x14ac:dyDescent="0.25">
      <c r="O429" s="4" t="s">
        <v>858</v>
      </c>
      <c r="P429"/>
      <c r="AA429" s="19">
        <f t="shared" si="31"/>
        <v>43527</v>
      </c>
      <c r="AB429" s="20">
        <f t="shared" si="28"/>
        <v>1</v>
      </c>
      <c r="AC429" s="21">
        <f t="shared" si="29"/>
        <v>1</v>
      </c>
      <c r="AD429" s="22" t="str">
        <f t="shared" si="30"/>
        <v>NÃO ÚTIL</v>
      </c>
      <c r="AE429" s="25"/>
      <c r="AF429" s="9"/>
      <c r="AG429" s="9"/>
      <c r="AH429" s="9"/>
    </row>
    <row r="430" spans="15:34" hidden="1" x14ac:dyDescent="0.25">
      <c r="O430" s="4" t="s">
        <v>859</v>
      </c>
      <c r="P430"/>
      <c r="AA430" s="19">
        <f t="shared" si="31"/>
        <v>43528</v>
      </c>
      <c r="AB430" s="20">
        <f t="shared" si="28"/>
        <v>2</v>
      </c>
      <c r="AC430" s="21">
        <f t="shared" si="29"/>
        <v>2</v>
      </c>
      <c r="AD430" s="22" t="str">
        <f t="shared" si="30"/>
        <v>ÚTIL</v>
      </c>
      <c r="AE430" s="25"/>
      <c r="AF430" s="9"/>
      <c r="AG430" s="9"/>
      <c r="AH430" s="9"/>
    </row>
    <row r="431" spans="15:34" hidden="1" x14ac:dyDescent="0.25">
      <c r="O431" s="4" t="s">
        <v>860</v>
      </c>
      <c r="P431"/>
      <c r="AA431" s="19">
        <f t="shared" si="31"/>
        <v>43529</v>
      </c>
      <c r="AB431" s="20">
        <f t="shared" si="28"/>
        <v>3</v>
      </c>
      <c r="AC431" s="21">
        <f t="shared" si="29"/>
        <v>3</v>
      </c>
      <c r="AD431" s="22" t="str">
        <f t="shared" si="30"/>
        <v>ÚTIL</v>
      </c>
      <c r="AE431" s="25"/>
      <c r="AF431" s="9"/>
      <c r="AG431" s="9"/>
      <c r="AH431" s="9"/>
    </row>
    <row r="432" spans="15:34" hidden="1" x14ac:dyDescent="0.25">
      <c r="O432" s="4" t="s">
        <v>861</v>
      </c>
      <c r="P432"/>
      <c r="AA432" s="19">
        <f t="shared" si="31"/>
        <v>43530</v>
      </c>
      <c r="AB432" s="20">
        <f t="shared" si="28"/>
        <v>4</v>
      </c>
      <c r="AC432" s="21">
        <f t="shared" si="29"/>
        <v>4</v>
      </c>
      <c r="AD432" s="22" t="str">
        <f t="shared" si="30"/>
        <v>ÚTIL</v>
      </c>
      <c r="AE432" s="25"/>
      <c r="AF432" s="9"/>
      <c r="AG432" s="9"/>
      <c r="AH432" s="9"/>
    </row>
    <row r="433" spans="15:34" hidden="1" x14ac:dyDescent="0.25">
      <c r="O433" s="4" t="s">
        <v>862</v>
      </c>
      <c r="P433"/>
      <c r="AA433" s="19">
        <f t="shared" si="31"/>
        <v>43531</v>
      </c>
      <c r="AB433" s="20">
        <f t="shared" si="28"/>
        <v>5</v>
      </c>
      <c r="AC433" s="21">
        <f t="shared" si="29"/>
        <v>5</v>
      </c>
      <c r="AD433" s="22" t="str">
        <f t="shared" si="30"/>
        <v>ÚTIL</v>
      </c>
      <c r="AE433" s="25"/>
      <c r="AF433" s="9"/>
      <c r="AG433" s="9"/>
      <c r="AH433" s="9"/>
    </row>
    <row r="434" spans="15:34" hidden="1" x14ac:dyDescent="0.25">
      <c r="O434" s="4" t="s">
        <v>863</v>
      </c>
      <c r="P434"/>
      <c r="AA434" s="19">
        <f t="shared" si="31"/>
        <v>43532</v>
      </c>
      <c r="AB434" s="20">
        <f t="shared" si="28"/>
        <v>6</v>
      </c>
      <c r="AC434" s="21">
        <f t="shared" si="29"/>
        <v>6</v>
      </c>
      <c r="AD434" s="22" t="str">
        <f t="shared" si="30"/>
        <v>ÚTIL</v>
      </c>
      <c r="AE434" s="25"/>
      <c r="AF434" s="9"/>
      <c r="AG434" s="9"/>
      <c r="AH434" s="9"/>
    </row>
    <row r="435" spans="15:34" hidden="1" x14ac:dyDescent="0.25">
      <c r="O435" s="4" t="s">
        <v>864</v>
      </c>
      <c r="P435"/>
      <c r="AA435" s="19">
        <f t="shared" si="31"/>
        <v>43533</v>
      </c>
      <c r="AB435" s="20">
        <f t="shared" si="28"/>
        <v>7</v>
      </c>
      <c r="AC435" s="21">
        <f t="shared" si="29"/>
        <v>7</v>
      </c>
      <c r="AD435" s="22" t="str">
        <f t="shared" si="30"/>
        <v>NÃO ÚTIL</v>
      </c>
      <c r="AE435" s="25"/>
      <c r="AF435" s="9"/>
      <c r="AG435" s="9"/>
      <c r="AH435" s="9"/>
    </row>
    <row r="436" spans="15:34" hidden="1" x14ac:dyDescent="0.25">
      <c r="O436" s="4" t="s">
        <v>865</v>
      </c>
      <c r="P436"/>
      <c r="AA436" s="19">
        <f t="shared" si="31"/>
        <v>43534</v>
      </c>
      <c r="AB436" s="20">
        <f t="shared" si="28"/>
        <v>1</v>
      </c>
      <c r="AC436" s="21">
        <f t="shared" si="29"/>
        <v>1</v>
      </c>
      <c r="AD436" s="22" t="str">
        <f t="shared" si="30"/>
        <v>NÃO ÚTIL</v>
      </c>
      <c r="AE436" s="25"/>
      <c r="AF436" s="9"/>
      <c r="AG436" s="9"/>
      <c r="AH436" s="9"/>
    </row>
    <row r="437" spans="15:34" hidden="1" x14ac:dyDescent="0.25">
      <c r="O437" s="4" t="s">
        <v>866</v>
      </c>
      <c r="P437"/>
      <c r="AA437" s="19">
        <f t="shared" si="31"/>
        <v>43535</v>
      </c>
      <c r="AB437" s="20">
        <f t="shared" si="28"/>
        <v>2</v>
      </c>
      <c r="AC437" s="21">
        <f t="shared" si="29"/>
        <v>2</v>
      </c>
      <c r="AD437" s="22" t="str">
        <f t="shared" si="30"/>
        <v>ÚTIL</v>
      </c>
      <c r="AE437" s="25"/>
      <c r="AF437" s="9"/>
      <c r="AG437" s="9"/>
      <c r="AH437" s="9"/>
    </row>
    <row r="438" spans="15:34" hidden="1" x14ac:dyDescent="0.25">
      <c r="O438" s="4" t="s">
        <v>867</v>
      </c>
      <c r="P438"/>
      <c r="AA438" s="19">
        <f t="shared" si="31"/>
        <v>43536</v>
      </c>
      <c r="AB438" s="20">
        <f t="shared" si="28"/>
        <v>3</v>
      </c>
      <c r="AC438" s="21">
        <f t="shared" si="29"/>
        <v>3</v>
      </c>
      <c r="AD438" s="22" t="str">
        <f t="shared" si="30"/>
        <v>ÚTIL</v>
      </c>
      <c r="AE438" s="25"/>
      <c r="AF438" s="9"/>
      <c r="AG438" s="9"/>
      <c r="AH438" s="9"/>
    </row>
    <row r="439" spans="15:34" hidden="1" x14ac:dyDescent="0.25">
      <c r="O439" s="4" t="s">
        <v>868</v>
      </c>
      <c r="P439"/>
      <c r="AA439" s="19">
        <f t="shared" si="31"/>
        <v>43537</v>
      </c>
      <c r="AB439" s="20">
        <f t="shared" si="28"/>
        <v>4</v>
      </c>
      <c r="AC439" s="21">
        <f t="shared" si="29"/>
        <v>4</v>
      </c>
      <c r="AD439" s="22" t="str">
        <f t="shared" si="30"/>
        <v>ÚTIL</v>
      </c>
      <c r="AE439" s="25"/>
      <c r="AF439" s="9"/>
      <c r="AG439" s="9"/>
      <c r="AH439" s="9"/>
    </row>
    <row r="440" spans="15:34" hidden="1" x14ac:dyDescent="0.25">
      <c r="O440" s="4" t="s">
        <v>869</v>
      </c>
      <c r="P440"/>
      <c r="AA440" s="19">
        <f t="shared" si="31"/>
        <v>43538</v>
      </c>
      <c r="AB440" s="20">
        <f t="shared" si="28"/>
        <v>5</v>
      </c>
      <c r="AC440" s="21">
        <f t="shared" si="29"/>
        <v>5</v>
      </c>
      <c r="AD440" s="22" t="str">
        <f t="shared" si="30"/>
        <v>ÚTIL</v>
      </c>
      <c r="AE440" s="25"/>
      <c r="AF440" s="9"/>
      <c r="AG440" s="9"/>
      <c r="AH440" s="9"/>
    </row>
    <row r="441" spans="15:34" hidden="1" x14ac:dyDescent="0.25">
      <c r="O441" s="4" t="s">
        <v>870</v>
      </c>
      <c r="P441"/>
      <c r="AA441" s="19">
        <f t="shared" si="31"/>
        <v>43539</v>
      </c>
      <c r="AB441" s="20">
        <f t="shared" si="28"/>
        <v>6</v>
      </c>
      <c r="AC441" s="21">
        <f t="shared" si="29"/>
        <v>6</v>
      </c>
      <c r="AD441" s="22" t="str">
        <f t="shared" si="30"/>
        <v>ÚTIL</v>
      </c>
      <c r="AE441" s="25"/>
      <c r="AF441" s="9"/>
      <c r="AG441" s="9"/>
      <c r="AH441" s="9"/>
    </row>
    <row r="442" spans="15:34" hidden="1" x14ac:dyDescent="0.25">
      <c r="O442" s="4" t="s">
        <v>871</v>
      </c>
      <c r="P442"/>
      <c r="AA442" s="19">
        <f t="shared" si="31"/>
        <v>43540</v>
      </c>
      <c r="AB442" s="20">
        <f t="shared" si="28"/>
        <v>7</v>
      </c>
      <c r="AC442" s="21">
        <f t="shared" si="29"/>
        <v>7</v>
      </c>
      <c r="AD442" s="22" t="str">
        <f t="shared" si="30"/>
        <v>NÃO ÚTIL</v>
      </c>
      <c r="AE442" s="25"/>
      <c r="AF442" s="9"/>
      <c r="AG442" s="9"/>
      <c r="AH442" s="9"/>
    </row>
    <row r="443" spans="15:34" hidden="1" x14ac:dyDescent="0.25">
      <c r="O443" s="4" t="s">
        <v>872</v>
      </c>
      <c r="P443"/>
      <c r="AA443" s="19">
        <f t="shared" si="31"/>
        <v>43541</v>
      </c>
      <c r="AB443" s="20">
        <f t="shared" si="28"/>
        <v>1</v>
      </c>
      <c r="AC443" s="21">
        <f t="shared" si="29"/>
        <v>1</v>
      </c>
      <c r="AD443" s="22" t="str">
        <f t="shared" si="30"/>
        <v>NÃO ÚTIL</v>
      </c>
      <c r="AE443" s="25"/>
      <c r="AF443" s="9"/>
      <c r="AG443" s="9"/>
      <c r="AH443" s="9"/>
    </row>
    <row r="444" spans="15:34" hidden="1" x14ac:dyDescent="0.25">
      <c r="O444" s="4" t="s">
        <v>873</v>
      </c>
      <c r="P444"/>
      <c r="AA444" s="19">
        <f t="shared" si="31"/>
        <v>43542</v>
      </c>
      <c r="AB444" s="20">
        <f t="shared" si="28"/>
        <v>2</v>
      </c>
      <c r="AC444" s="21">
        <f t="shared" si="29"/>
        <v>2</v>
      </c>
      <c r="AD444" s="22" t="str">
        <f t="shared" si="30"/>
        <v>ÚTIL</v>
      </c>
      <c r="AE444" s="25"/>
      <c r="AF444" s="9"/>
      <c r="AG444" s="9"/>
      <c r="AH444" s="9"/>
    </row>
    <row r="445" spans="15:34" hidden="1" x14ac:dyDescent="0.25">
      <c r="O445" s="4" t="s">
        <v>874</v>
      </c>
      <c r="P445"/>
      <c r="AA445" s="19">
        <f t="shared" si="31"/>
        <v>43543</v>
      </c>
      <c r="AB445" s="20">
        <f t="shared" si="28"/>
        <v>3</v>
      </c>
      <c r="AC445" s="21">
        <f t="shared" si="29"/>
        <v>3</v>
      </c>
      <c r="AD445" s="22" t="str">
        <f t="shared" si="30"/>
        <v>ÚTIL</v>
      </c>
      <c r="AE445" s="25"/>
      <c r="AF445" s="9"/>
      <c r="AG445" s="9"/>
      <c r="AH445" s="9"/>
    </row>
    <row r="446" spans="15:34" hidden="1" x14ac:dyDescent="0.25">
      <c r="O446" s="4" t="s">
        <v>875</v>
      </c>
      <c r="P446"/>
      <c r="AA446" s="19">
        <f t="shared" si="31"/>
        <v>43544</v>
      </c>
      <c r="AB446" s="20">
        <f t="shared" si="28"/>
        <v>4</v>
      </c>
      <c r="AC446" s="21">
        <f t="shared" si="29"/>
        <v>4</v>
      </c>
      <c r="AD446" s="22" t="str">
        <f t="shared" si="30"/>
        <v>ÚTIL</v>
      </c>
      <c r="AE446" s="25"/>
      <c r="AF446" s="9"/>
      <c r="AG446" s="9"/>
      <c r="AH446" s="9"/>
    </row>
    <row r="447" spans="15:34" hidden="1" x14ac:dyDescent="0.25">
      <c r="O447" s="4" t="s">
        <v>876</v>
      </c>
      <c r="P447"/>
      <c r="AA447" s="19">
        <f t="shared" si="31"/>
        <v>43545</v>
      </c>
      <c r="AB447" s="20">
        <f t="shared" si="28"/>
        <v>5</v>
      </c>
      <c r="AC447" s="21">
        <f t="shared" si="29"/>
        <v>5</v>
      </c>
      <c r="AD447" s="22" t="str">
        <f t="shared" si="30"/>
        <v>ÚTIL</v>
      </c>
      <c r="AE447" s="25"/>
      <c r="AF447" s="9"/>
      <c r="AG447" s="9"/>
      <c r="AH447" s="9"/>
    </row>
    <row r="448" spans="15:34" hidden="1" x14ac:dyDescent="0.25">
      <c r="O448" s="4" t="s">
        <v>877</v>
      </c>
      <c r="P448"/>
      <c r="AA448" s="19">
        <f t="shared" si="31"/>
        <v>43546</v>
      </c>
      <c r="AB448" s="20">
        <f t="shared" si="28"/>
        <v>6</v>
      </c>
      <c r="AC448" s="21">
        <f t="shared" si="29"/>
        <v>6</v>
      </c>
      <c r="AD448" s="22" t="str">
        <f t="shared" si="30"/>
        <v>ÚTIL</v>
      </c>
      <c r="AE448" s="25"/>
      <c r="AF448" s="9"/>
      <c r="AG448" s="9"/>
      <c r="AH448" s="9"/>
    </row>
    <row r="449" spans="15:34" hidden="1" x14ac:dyDescent="0.25">
      <c r="O449" s="4" t="s">
        <v>878</v>
      </c>
      <c r="P449"/>
      <c r="AA449" s="19">
        <f t="shared" si="31"/>
        <v>43547</v>
      </c>
      <c r="AB449" s="20">
        <f t="shared" si="28"/>
        <v>7</v>
      </c>
      <c r="AC449" s="21">
        <f t="shared" si="29"/>
        <v>7</v>
      </c>
      <c r="AD449" s="22" t="str">
        <f t="shared" si="30"/>
        <v>NÃO ÚTIL</v>
      </c>
      <c r="AE449" s="25"/>
      <c r="AF449" s="9"/>
      <c r="AG449" s="9"/>
      <c r="AH449" s="9"/>
    </row>
    <row r="450" spans="15:34" hidden="1" x14ac:dyDescent="0.25">
      <c r="O450" s="4" t="s">
        <v>879</v>
      </c>
      <c r="P450"/>
      <c r="AA450" s="19">
        <f t="shared" si="31"/>
        <v>43548</v>
      </c>
      <c r="AB450" s="20">
        <f t="shared" si="28"/>
        <v>1</v>
      </c>
      <c r="AC450" s="21">
        <f t="shared" si="29"/>
        <v>1</v>
      </c>
      <c r="AD450" s="22" t="str">
        <f t="shared" si="30"/>
        <v>NÃO ÚTIL</v>
      </c>
      <c r="AE450" s="25"/>
      <c r="AF450" s="9"/>
      <c r="AG450" s="9"/>
      <c r="AH450" s="9"/>
    </row>
    <row r="451" spans="15:34" hidden="1" x14ac:dyDescent="0.25">
      <c r="O451" s="4" t="s">
        <v>880</v>
      </c>
      <c r="P451"/>
      <c r="AA451" s="19">
        <f t="shared" si="31"/>
        <v>43549</v>
      </c>
      <c r="AB451" s="20">
        <f t="shared" ref="AB451:AB514" si="32">AC451</f>
        <v>2</v>
      </c>
      <c r="AC451" s="21">
        <f t="shared" ref="AC451:AC514" si="33">WEEKDAY(AA451)</f>
        <v>2</v>
      </c>
      <c r="AD451" s="22" t="str">
        <f t="shared" ref="AD451:AD514" si="34">IF(WORKDAY(AA451-1,1,$AE$3:$AE$14)=AA451,"ÚTIL","NÃO ÚTIL")</f>
        <v>ÚTIL</v>
      </c>
      <c r="AE451" s="25"/>
      <c r="AF451" s="9"/>
      <c r="AG451" s="9"/>
      <c r="AH451" s="9"/>
    </row>
    <row r="452" spans="15:34" hidden="1" x14ac:dyDescent="0.25">
      <c r="O452" s="4" t="s">
        <v>881</v>
      </c>
      <c r="P452"/>
      <c r="AA452" s="19">
        <f t="shared" ref="AA452:AA515" si="35">AA451+1</f>
        <v>43550</v>
      </c>
      <c r="AB452" s="20">
        <f t="shared" si="32"/>
        <v>3</v>
      </c>
      <c r="AC452" s="21">
        <f t="shared" si="33"/>
        <v>3</v>
      </c>
      <c r="AD452" s="22" t="str">
        <f t="shared" si="34"/>
        <v>ÚTIL</v>
      </c>
      <c r="AE452" s="25"/>
      <c r="AF452" s="9"/>
      <c r="AG452" s="9"/>
      <c r="AH452" s="9"/>
    </row>
    <row r="453" spans="15:34" hidden="1" x14ac:dyDescent="0.25">
      <c r="O453" s="4" t="s">
        <v>882</v>
      </c>
      <c r="P453"/>
      <c r="AA453" s="19">
        <f t="shared" si="35"/>
        <v>43551</v>
      </c>
      <c r="AB453" s="20">
        <f t="shared" si="32"/>
        <v>4</v>
      </c>
      <c r="AC453" s="21">
        <f t="shared" si="33"/>
        <v>4</v>
      </c>
      <c r="AD453" s="22" t="str">
        <f t="shared" si="34"/>
        <v>ÚTIL</v>
      </c>
      <c r="AE453" s="25"/>
      <c r="AF453" s="9"/>
      <c r="AG453" s="9"/>
      <c r="AH453" s="9"/>
    </row>
    <row r="454" spans="15:34" hidden="1" x14ac:dyDescent="0.25">
      <c r="O454" s="4" t="s">
        <v>883</v>
      </c>
      <c r="P454"/>
      <c r="AA454" s="19">
        <f t="shared" si="35"/>
        <v>43552</v>
      </c>
      <c r="AB454" s="20">
        <f t="shared" si="32"/>
        <v>5</v>
      </c>
      <c r="AC454" s="21">
        <f t="shared" si="33"/>
        <v>5</v>
      </c>
      <c r="AD454" s="22" t="str">
        <f t="shared" si="34"/>
        <v>ÚTIL</v>
      </c>
      <c r="AE454" s="25"/>
      <c r="AF454" s="9"/>
      <c r="AG454" s="9"/>
      <c r="AH454" s="9"/>
    </row>
    <row r="455" spans="15:34" hidden="1" x14ac:dyDescent="0.25">
      <c r="O455" s="4" t="s">
        <v>884</v>
      </c>
      <c r="P455"/>
      <c r="AA455" s="19">
        <f t="shared" si="35"/>
        <v>43553</v>
      </c>
      <c r="AB455" s="20">
        <f t="shared" si="32"/>
        <v>6</v>
      </c>
      <c r="AC455" s="21">
        <f t="shared" si="33"/>
        <v>6</v>
      </c>
      <c r="AD455" s="22" t="str">
        <f t="shared" si="34"/>
        <v>ÚTIL</v>
      </c>
      <c r="AE455" s="25"/>
      <c r="AF455" s="9"/>
      <c r="AG455" s="9"/>
      <c r="AH455" s="9"/>
    </row>
    <row r="456" spans="15:34" hidden="1" x14ac:dyDescent="0.25">
      <c r="O456" s="4" t="s">
        <v>885</v>
      </c>
      <c r="P456"/>
      <c r="AA456" s="19">
        <f t="shared" si="35"/>
        <v>43554</v>
      </c>
      <c r="AB456" s="20">
        <f t="shared" si="32"/>
        <v>7</v>
      </c>
      <c r="AC456" s="21">
        <f t="shared" si="33"/>
        <v>7</v>
      </c>
      <c r="AD456" s="22" t="str">
        <f t="shared" si="34"/>
        <v>NÃO ÚTIL</v>
      </c>
      <c r="AE456" s="25"/>
      <c r="AF456" s="9"/>
      <c r="AG456" s="9"/>
      <c r="AH456" s="9"/>
    </row>
    <row r="457" spans="15:34" hidden="1" x14ac:dyDescent="0.25">
      <c r="O457" s="4" t="s">
        <v>886</v>
      </c>
      <c r="P457"/>
      <c r="AA457" s="19">
        <f t="shared" si="35"/>
        <v>43555</v>
      </c>
      <c r="AB457" s="20">
        <f t="shared" si="32"/>
        <v>1</v>
      </c>
      <c r="AC457" s="21">
        <f t="shared" si="33"/>
        <v>1</v>
      </c>
      <c r="AD457" s="22" t="str">
        <f t="shared" si="34"/>
        <v>NÃO ÚTIL</v>
      </c>
      <c r="AE457" s="25"/>
      <c r="AF457" s="9"/>
      <c r="AG457" s="9"/>
      <c r="AH457" s="9"/>
    </row>
    <row r="458" spans="15:34" hidden="1" x14ac:dyDescent="0.25">
      <c r="O458" s="4" t="s">
        <v>887</v>
      </c>
      <c r="P458"/>
      <c r="AA458" s="19">
        <f t="shared" si="35"/>
        <v>43556</v>
      </c>
      <c r="AB458" s="20">
        <f t="shared" si="32"/>
        <v>2</v>
      </c>
      <c r="AC458" s="21">
        <f t="shared" si="33"/>
        <v>2</v>
      </c>
      <c r="AD458" s="22" t="str">
        <f t="shared" si="34"/>
        <v>ÚTIL</v>
      </c>
      <c r="AE458" s="25"/>
      <c r="AF458" s="9"/>
      <c r="AG458" s="9"/>
      <c r="AH458" s="9"/>
    </row>
    <row r="459" spans="15:34" hidden="1" x14ac:dyDescent="0.25">
      <c r="O459" s="4" t="s">
        <v>888</v>
      </c>
      <c r="P459"/>
      <c r="AA459" s="19">
        <f t="shared" si="35"/>
        <v>43557</v>
      </c>
      <c r="AB459" s="20">
        <f t="shared" si="32"/>
        <v>3</v>
      </c>
      <c r="AC459" s="21">
        <f t="shared" si="33"/>
        <v>3</v>
      </c>
      <c r="AD459" s="22" t="str">
        <f t="shared" si="34"/>
        <v>ÚTIL</v>
      </c>
      <c r="AE459" s="25"/>
      <c r="AF459" s="9"/>
      <c r="AG459" s="9"/>
      <c r="AH459" s="9"/>
    </row>
    <row r="460" spans="15:34" hidden="1" x14ac:dyDescent="0.25">
      <c r="O460" s="4" t="s">
        <v>889</v>
      </c>
      <c r="P460"/>
      <c r="AA460" s="19">
        <f t="shared" si="35"/>
        <v>43558</v>
      </c>
      <c r="AB460" s="20">
        <f t="shared" si="32"/>
        <v>4</v>
      </c>
      <c r="AC460" s="21">
        <f t="shared" si="33"/>
        <v>4</v>
      </c>
      <c r="AD460" s="22" t="str">
        <f t="shared" si="34"/>
        <v>ÚTIL</v>
      </c>
      <c r="AE460" s="25"/>
      <c r="AF460" s="9"/>
      <c r="AG460" s="9"/>
      <c r="AH460" s="9"/>
    </row>
    <row r="461" spans="15:34" hidden="1" x14ac:dyDescent="0.25">
      <c r="O461" s="4" t="s">
        <v>890</v>
      </c>
      <c r="P461"/>
      <c r="AA461" s="19">
        <f t="shared" si="35"/>
        <v>43559</v>
      </c>
      <c r="AB461" s="20">
        <f t="shared" si="32"/>
        <v>5</v>
      </c>
      <c r="AC461" s="21">
        <f t="shared" si="33"/>
        <v>5</v>
      </c>
      <c r="AD461" s="22" t="str">
        <f t="shared" si="34"/>
        <v>ÚTIL</v>
      </c>
      <c r="AE461" s="25"/>
      <c r="AF461" s="9"/>
      <c r="AG461" s="9"/>
      <c r="AH461" s="9"/>
    </row>
    <row r="462" spans="15:34" hidden="1" x14ac:dyDescent="0.25">
      <c r="O462" s="4" t="s">
        <v>891</v>
      </c>
      <c r="P462"/>
      <c r="AA462" s="19">
        <f t="shared" si="35"/>
        <v>43560</v>
      </c>
      <c r="AB462" s="20">
        <f t="shared" si="32"/>
        <v>6</v>
      </c>
      <c r="AC462" s="21">
        <f t="shared" si="33"/>
        <v>6</v>
      </c>
      <c r="AD462" s="22" t="str">
        <f t="shared" si="34"/>
        <v>ÚTIL</v>
      </c>
      <c r="AE462" s="25"/>
      <c r="AF462" s="9"/>
      <c r="AG462" s="9"/>
      <c r="AH462" s="9"/>
    </row>
    <row r="463" spans="15:34" hidden="1" x14ac:dyDescent="0.25">
      <c r="O463" s="4" t="s">
        <v>892</v>
      </c>
      <c r="P463"/>
      <c r="AA463" s="19">
        <f t="shared" si="35"/>
        <v>43561</v>
      </c>
      <c r="AB463" s="20">
        <f t="shared" si="32"/>
        <v>7</v>
      </c>
      <c r="AC463" s="21">
        <f t="shared" si="33"/>
        <v>7</v>
      </c>
      <c r="AD463" s="22" t="str">
        <f t="shared" si="34"/>
        <v>NÃO ÚTIL</v>
      </c>
      <c r="AE463" s="25"/>
      <c r="AF463" s="9"/>
      <c r="AG463" s="9"/>
      <c r="AH463" s="9"/>
    </row>
    <row r="464" spans="15:34" hidden="1" x14ac:dyDescent="0.25">
      <c r="O464" s="4" t="s">
        <v>893</v>
      </c>
      <c r="P464"/>
      <c r="AA464" s="19">
        <f t="shared" si="35"/>
        <v>43562</v>
      </c>
      <c r="AB464" s="20">
        <f t="shared" si="32"/>
        <v>1</v>
      </c>
      <c r="AC464" s="21">
        <f t="shared" si="33"/>
        <v>1</v>
      </c>
      <c r="AD464" s="22" t="str">
        <f t="shared" si="34"/>
        <v>NÃO ÚTIL</v>
      </c>
      <c r="AE464" s="25"/>
      <c r="AF464" s="9"/>
      <c r="AG464" s="9"/>
      <c r="AH464" s="9"/>
    </row>
    <row r="465" spans="15:34" hidden="1" x14ac:dyDescent="0.25">
      <c r="O465" s="4" t="s">
        <v>894</v>
      </c>
      <c r="P465"/>
      <c r="AA465" s="19">
        <f t="shared" si="35"/>
        <v>43563</v>
      </c>
      <c r="AB465" s="20">
        <f t="shared" si="32"/>
        <v>2</v>
      </c>
      <c r="AC465" s="21">
        <f t="shared" si="33"/>
        <v>2</v>
      </c>
      <c r="AD465" s="22" t="str">
        <f t="shared" si="34"/>
        <v>ÚTIL</v>
      </c>
      <c r="AE465" s="25"/>
      <c r="AF465" s="9"/>
      <c r="AG465" s="9"/>
      <c r="AH465" s="9"/>
    </row>
    <row r="466" spans="15:34" hidden="1" x14ac:dyDescent="0.25">
      <c r="O466" s="4" t="s">
        <v>895</v>
      </c>
      <c r="P466"/>
      <c r="AA466" s="19">
        <f t="shared" si="35"/>
        <v>43564</v>
      </c>
      <c r="AB466" s="20">
        <f t="shared" si="32"/>
        <v>3</v>
      </c>
      <c r="AC466" s="21">
        <f t="shared" si="33"/>
        <v>3</v>
      </c>
      <c r="AD466" s="22" t="str">
        <f t="shared" si="34"/>
        <v>ÚTIL</v>
      </c>
      <c r="AE466" s="25"/>
      <c r="AF466" s="9"/>
      <c r="AG466" s="9"/>
      <c r="AH466" s="9"/>
    </row>
    <row r="467" spans="15:34" hidden="1" x14ac:dyDescent="0.25">
      <c r="O467" s="4" t="s">
        <v>896</v>
      </c>
      <c r="P467"/>
      <c r="AA467" s="19">
        <f t="shared" si="35"/>
        <v>43565</v>
      </c>
      <c r="AB467" s="20">
        <f t="shared" si="32"/>
        <v>4</v>
      </c>
      <c r="AC467" s="21">
        <f t="shared" si="33"/>
        <v>4</v>
      </c>
      <c r="AD467" s="22" t="str">
        <f t="shared" si="34"/>
        <v>ÚTIL</v>
      </c>
      <c r="AE467" s="25"/>
      <c r="AF467" s="9"/>
      <c r="AG467" s="9"/>
      <c r="AH467" s="9"/>
    </row>
    <row r="468" spans="15:34" hidden="1" x14ac:dyDescent="0.25">
      <c r="O468" s="4" t="s">
        <v>897</v>
      </c>
      <c r="P468"/>
      <c r="AA468" s="19">
        <f t="shared" si="35"/>
        <v>43566</v>
      </c>
      <c r="AB468" s="20">
        <f t="shared" si="32"/>
        <v>5</v>
      </c>
      <c r="AC468" s="21">
        <f t="shared" si="33"/>
        <v>5</v>
      </c>
      <c r="AD468" s="22" t="str">
        <f t="shared" si="34"/>
        <v>ÚTIL</v>
      </c>
      <c r="AE468" s="25"/>
      <c r="AF468" s="9"/>
      <c r="AG468" s="9"/>
      <c r="AH468" s="9"/>
    </row>
    <row r="469" spans="15:34" hidden="1" x14ac:dyDescent="0.25">
      <c r="O469" s="4" t="s">
        <v>898</v>
      </c>
      <c r="P469"/>
      <c r="AA469" s="19">
        <f t="shared" si="35"/>
        <v>43567</v>
      </c>
      <c r="AB469" s="20">
        <f t="shared" si="32"/>
        <v>6</v>
      </c>
      <c r="AC469" s="21">
        <f t="shared" si="33"/>
        <v>6</v>
      </c>
      <c r="AD469" s="22" t="str">
        <f t="shared" si="34"/>
        <v>ÚTIL</v>
      </c>
      <c r="AE469" s="25"/>
      <c r="AF469" s="9"/>
      <c r="AG469" s="9"/>
      <c r="AH469" s="9"/>
    </row>
    <row r="470" spans="15:34" hidden="1" x14ac:dyDescent="0.25">
      <c r="O470" s="4" t="s">
        <v>899</v>
      </c>
      <c r="P470"/>
      <c r="AA470" s="19">
        <f t="shared" si="35"/>
        <v>43568</v>
      </c>
      <c r="AB470" s="20">
        <f t="shared" si="32"/>
        <v>7</v>
      </c>
      <c r="AC470" s="21">
        <f t="shared" si="33"/>
        <v>7</v>
      </c>
      <c r="AD470" s="22" t="str">
        <f t="shared" si="34"/>
        <v>NÃO ÚTIL</v>
      </c>
      <c r="AE470" s="25"/>
      <c r="AF470" s="9"/>
      <c r="AG470" s="9"/>
      <c r="AH470" s="9"/>
    </row>
    <row r="471" spans="15:34" hidden="1" x14ac:dyDescent="0.25">
      <c r="O471" s="4" t="s">
        <v>900</v>
      </c>
      <c r="P471"/>
      <c r="AA471" s="19">
        <f t="shared" si="35"/>
        <v>43569</v>
      </c>
      <c r="AB471" s="20">
        <f t="shared" si="32"/>
        <v>1</v>
      </c>
      <c r="AC471" s="21">
        <f t="shared" si="33"/>
        <v>1</v>
      </c>
      <c r="AD471" s="22" t="str">
        <f t="shared" si="34"/>
        <v>NÃO ÚTIL</v>
      </c>
      <c r="AE471" s="25"/>
      <c r="AF471" s="9"/>
      <c r="AG471" s="9"/>
      <c r="AH471" s="9"/>
    </row>
    <row r="472" spans="15:34" hidden="1" x14ac:dyDescent="0.25">
      <c r="O472" s="4" t="s">
        <v>901</v>
      </c>
      <c r="P472"/>
      <c r="AA472" s="19">
        <f t="shared" si="35"/>
        <v>43570</v>
      </c>
      <c r="AB472" s="20">
        <f t="shared" si="32"/>
        <v>2</v>
      </c>
      <c r="AC472" s="21">
        <f t="shared" si="33"/>
        <v>2</v>
      </c>
      <c r="AD472" s="22" t="str">
        <f t="shared" si="34"/>
        <v>ÚTIL</v>
      </c>
      <c r="AE472" s="25"/>
      <c r="AF472" s="9"/>
      <c r="AG472" s="9"/>
      <c r="AH472" s="9"/>
    </row>
    <row r="473" spans="15:34" hidden="1" x14ac:dyDescent="0.25">
      <c r="O473" s="4" t="s">
        <v>902</v>
      </c>
      <c r="P473"/>
      <c r="AA473" s="19">
        <f t="shared" si="35"/>
        <v>43571</v>
      </c>
      <c r="AB473" s="20">
        <f t="shared" si="32"/>
        <v>3</v>
      </c>
      <c r="AC473" s="21">
        <f t="shared" si="33"/>
        <v>3</v>
      </c>
      <c r="AD473" s="22" t="str">
        <f t="shared" si="34"/>
        <v>ÚTIL</v>
      </c>
      <c r="AE473" s="25"/>
      <c r="AF473" s="9"/>
      <c r="AG473" s="9"/>
      <c r="AH473" s="9"/>
    </row>
    <row r="474" spans="15:34" hidden="1" x14ac:dyDescent="0.25">
      <c r="O474" s="4" t="s">
        <v>903</v>
      </c>
      <c r="P474"/>
      <c r="AA474" s="19">
        <f t="shared" si="35"/>
        <v>43572</v>
      </c>
      <c r="AB474" s="20">
        <f t="shared" si="32"/>
        <v>4</v>
      </c>
      <c r="AC474" s="21">
        <f t="shared" si="33"/>
        <v>4</v>
      </c>
      <c r="AD474" s="22" t="str">
        <f t="shared" si="34"/>
        <v>ÚTIL</v>
      </c>
      <c r="AE474" s="25"/>
      <c r="AF474" s="9"/>
      <c r="AG474" s="9"/>
      <c r="AH474" s="9"/>
    </row>
    <row r="475" spans="15:34" hidden="1" x14ac:dyDescent="0.25">
      <c r="O475" s="4" t="s">
        <v>904</v>
      </c>
      <c r="P475"/>
      <c r="AA475" s="19">
        <f t="shared" si="35"/>
        <v>43573</v>
      </c>
      <c r="AB475" s="20">
        <f t="shared" si="32"/>
        <v>5</v>
      </c>
      <c r="AC475" s="21">
        <f t="shared" si="33"/>
        <v>5</v>
      </c>
      <c r="AD475" s="22" t="str">
        <f t="shared" si="34"/>
        <v>ÚTIL</v>
      </c>
      <c r="AE475" s="25"/>
      <c r="AF475" s="9"/>
      <c r="AG475" s="9"/>
      <c r="AH475" s="9"/>
    </row>
    <row r="476" spans="15:34" hidden="1" x14ac:dyDescent="0.25">
      <c r="O476" s="4" t="s">
        <v>905</v>
      </c>
      <c r="P476"/>
      <c r="AA476" s="19">
        <f t="shared" si="35"/>
        <v>43574</v>
      </c>
      <c r="AB476" s="20">
        <f t="shared" si="32"/>
        <v>6</v>
      </c>
      <c r="AC476" s="21">
        <f t="shared" si="33"/>
        <v>6</v>
      </c>
      <c r="AD476" s="22" t="str">
        <f t="shared" si="34"/>
        <v>ÚTIL</v>
      </c>
      <c r="AE476" s="25"/>
      <c r="AF476" s="9"/>
      <c r="AG476" s="9"/>
      <c r="AH476" s="9"/>
    </row>
    <row r="477" spans="15:34" hidden="1" x14ac:dyDescent="0.25">
      <c r="O477" s="4" t="s">
        <v>906</v>
      </c>
      <c r="P477"/>
      <c r="AA477" s="19">
        <f t="shared" si="35"/>
        <v>43575</v>
      </c>
      <c r="AB477" s="20">
        <f t="shared" si="32"/>
        <v>7</v>
      </c>
      <c r="AC477" s="21">
        <f t="shared" si="33"/>
        <v>7</v>
      </c>
      <c r="AD477" s="22" t="str">
        <f t="shared" si="34"/>
        <v>NÃO ÚTIL</v>
      </c>
      <c r="AE477" s="25"/>
      <c r="AF477" s="9"/>
      <c r="AG477" s="9"/>
      <c r="AH477" s="9"/>
    </row>
    <row r="478" spans="15:34" hidden="1" x14ac:dyDescent="0.25">
      <c r="O478" s="4" t="s">
        <v>907</v>
      </c>
      <c r="P478"/>
      <c r="AA478" s="19">
        <f t="shared" si="35"/>
        <v>43576</v>
      </c>
      <c r="AB478" s="20">
        <f t="shared" si="32"/>
        <v>1</v>
      </c>
      <c r="AC478" s="21">
        <f t="shared" si="33"/>
        <v>1</v>
      </c>
      <c r="AD478" s="22" t="str">
        <f t="shared" si="34"/>
        <v>NÃO ÚTIL</v>
      </c>
      <c r="AE478" s="25"/>
      <c r="AF478" s="9"/>
      <c r="AG478" s="9"/>
      <c r="AH478" s="9"/>
    </row>
    <row r="479" spans="15:34" hidden="1" x14ac:dyDescent="0.25">
      <c r="O479" s="4" t="s">
        <v>908</v>
      </c>
      <c r="P479"/>
      <c r="AA479" s="19">
        <f t="shared" si="35"/>
        <v>43577</v>
      </c>
      <c r="AB479" s="20">
        <f t="shared" si="32"/>
        <v>2</v>
      </c>
      <c r="AC479" s="21">
        <f t="shared" si="33"/>
        <v>2</v>
      </c>
      <c r="AD479" s="22" t="str">
        <f t="shared" si="34"/>
        <v>ÚTIL</v>
      </c>
      <c r="AE479" s="25"/>
      <c r="AF479" s="9"/>
      <c r="AG479" s="9"/>
      <c r="AH479" s="9"/>
    </row>
    <row r="480" spans="15:34" hidden="1" x14ac:dyDescent="0.25">
      <c r="O480" s="4" t="s">
        <v>909</v>
      </c>
      <c r="P480"/>
      <c r="AA480" s="19">
        <f t="shared" si="35"/>
        <v>43578</v>
      </c>
      <c r="AB480" s="20">
        <f t="shared" si="32"/>
        <v>3</v>
      </c>
      <c r="AC480" s="21">
        <f t="shared" si="33"/>
        <v>3</v>
      </c>
      <c r="AD480" s="22" t="str">
        <f t="shared" si="34"/>
        <v>ÚTIL</v>
      </c>
      <c r="AE480" s="25"/>
      <c r="AF480" s="9"/>
      <c r="AG480" s="9"/>
      <c r="AH480" s="9"/>
    </row>
    <row r="481" spans="15:34" hidden="1" x14ac:dyDescent="0.25">
      <c r="O481" s="4" t="s">
        <v>910</v>
      </c>
      <c r="P481"/>
      <c r="AA481" s="19">
        <f t="shared" si="35"/>
        <v>43579</v>
      </c>
      <c r="AB481" s="20">
        <f t="shared" si="32"/>
        <v>4</v>
      </c>
      <c r="AC481" s="21">
        <f t="shared" si="33"/>
        <v>4</v>
      </c>
      <c r="AD481" s="22" t="str">
        <f t="shared" si="34"/>
        <v>ÚTIL</v>
      </c>
      <c r="AE481" s="25"/>
      <c r="AF481" s="9"/>
      <c r="AG481" s="9"/>
      <c r="AH481" s="9"/>
    </row>
    <row r="482" spans="15:34" hidden="1" x14ac:dyDescent="0.25">
      <c r="O482" s="4" t="s">
        <v>911</v>
      </c>
      <c r="P482"/>
      <c r="AA482" s="19">
        <f t="shared" si="35"/>
        <v>43580</v>
      </c>
      <c r="AB482" s="20">
        <f t="shared" si="32"/>
        <v>5</v>
      </c>
      <c r="AC482" s="21">
        <f t="shared" si="33"/>
        <v>5</v>
      </c>
      <c r="AD482" s="22" t="str">
        <f t="shared" si="34"/>
        <v>ÚTIL</v>
      </c>
      <c r="AE482" s="25"/>
      <c r="AF482" s="9"/>
      <c r="AG482" s="9"/>
      <c r="AH482" s="9"/>
    </row>
    <row r="483" spans="15:34" hidden="1" x14ac:dyDescent="0.25">
      <c r="O483" s="4" t="s">
        <v>912</v>
      </c>
      <c r="P483"/>
      <c r="AA483" s="19">
        <f t="shared" si="35"/>
        <v>43581</v>
      </c>
      <c r="AB483" s="20">
        <f t="shared" si="32"/>
        <v>6</v>
      </c>
      <c r="AC483" s="21">
        <f t="shared" si="33"/>
        <v>6</v>
      </c>
      <c r="AD483" s="22" t="str">
        <f t="shared" si="34"/>
        <v>ÚTIL</v>
      </c>
      <c r="AE483" s="25"/>
      <c r="AF483" s="9"/>
      <c r="AG483" s="9"/>
      <c r="AH483" s="9"/>
    </row>
    <row r="484" spans="15:34" hidden="1" x14ac:dyDescent="0.25">
      <c r="O484" s="4" t="s">
        <v>913</v>
      </c>
      <c r="P484"/>
      <c r="AA484" s="19">
        <f t="shared" si="35"/>
        <v>43582</v>
      </c>
      <c r="AB484" s="20">
        <f t="shared" si="32"/>
        <v>7</v>
      </c>
      <c r="AC484" s="21">
        <f t="shared" si="33"/>
        <v>7</v>
      </c>
      <c r="AD484" s="22" t="str">
        <f t="shared" si="34"/>
        <v>NÃO ÚTIL</v>
      </c>
      <c r="AE484" s="25"/>
      <c r="AF484" s="9"/>
      <c r="AG484" s="9"/>
      <c r="AH484" s="9"/>
    </row>
    <row r="485" spans="15:34" hidden="1" x14ac:dyDescent="0.25">
      <c r="O485" s="4" t="s">
        <v>914</v>
      </c>
      <c r="P485"/>
      <c r="AA485" s="19">
        <f t="shared" si="35"/>
        <v>43583</v>
      </c>
      <c r="AB485" s="20">
        <f t="shared" si="32"/>
        <v>1</v>
      </c>
      <c r="AC485" s="21">
        <f t="shared" si="33"/>
        <v>1</v>
      </c>
      <c r="AD485" s="22" t="str">
        <f t="shared" si="34"/>
        <v>NÃO ÚTIL</v>
      </c>
      <c r="AE485" s="25"/>
      <c r="AF485" s="9"/>
      <c r="AG485" s="9"/>
      <c r="AH485" s="9"/>
    </row>
    <row r="486" spans="15:34" hidden="1" x14ac:dyDescent="0.25">
      <c r="O486" s="4" t="s">
        <v>915</v>
      </c>
      <c r="P486"/>
      <c r="AA486" s="19">
        <f t="shared" si="35"/>
        <v>43584</v>
      </c>
      <c r="AB486" s="20">
        <f t="shared" si="32"/>
        <v>2</v>
      </c>
      <c r="AC486" s="21">
        <f t="shared" si="33"/>
        <v>2</v>
      </c>
      <c r="AD486" s="22" t="str">
        <f t="shared" si="34"/>
        <v>ÚTIL</v>
      </c>
      <c r="AE486" s="25"/>
      <c r="AF486" s="9"/>
      <c r="AG486" s="9"/>
      <c r="AH486" s="9"/>
    </row>
    <row r="487" spans="15:34" hidden="1" x14ac:dyDescent="0.25">
      <c r="O487" s="4" t="s">
        <v>916</v>
      </c>
      <c r="P487"/>
      <c r="AA487" s="19">
        <f t="shared" si="35"/>
        <v>43585</v>
      </c>
      <c r="AB487" s="20">
        <f t="shared" si="32"/>
        <v>3</v>
      </c>
      <c r="AC487" s="21">
        <f t="shared" si="33"/>
        <v>3</v>
      </c>
      <c r="AD487" s="22" t="str">
        <f t="shared" si="34"/>
        <v>ÚTIL</v>
      </c>
      <c r="AE487" s="25"/>
      <c r="AF487" s="9"/>
      <c r="AG487" s="9"/>
      <c r="AH487" s="9"/>
    </row>
    <row r="488" spans="15:34" hidden="1" x14ac:dyDescent="0.25">
      <c r="O488" s="4" t="s">
        <v>917</v>
      </c>
      <c r="P488"/>
      <c r="AA488" s="19">
        <f t="shared" si="35"/>
        <v>43586</v>
      </c>
      <c r="AB488" s="20">
        <f t="shared" si="32"/>
        <v>4</v>
      </c>
      <c r="AC488" s="21">
        <f t="shared" si="33"/>
        <v>4</v>
      </c>
      <c r="AD488" s="22" t="str">
        <f t="shared" si="34"/>
        <v>ÚTIL</v>
      </c>
      <c r="AE488" s="25"/>
      <c r="AF488" s="9"/>
      <c r="AG488" s="9"/>
      <c r="AH488" s="9"/>
    </row>
    <row r="489" spans="15:34" hidden="1" x14ac:dyDescent="0.25">
      <c r="O489" s="4" t="s">
        <v>918</v>
      </c>
      <c r="P489"/>
      <c r="AA489" s="19">
        <f t="shared" si="35"/>
        <v>43587</v>
      </c>
      <c r="AB489" s="20">
        <f t="shared" si="32"/>
        <v>5</v>
      </c>
      <c r="AC489" s="21">
        <f t="shared" si="33"/>
        <v>5</v>
      </c>
      <c r="AD489" s="22" t="str">
        <f t="shared" si="34"/>
        <v>ÚTIL</v>
      </c>
      <c r="AE489" s="25"/>
      <c r="AF489" s="9"/>
      <c r="AG489" s="9"/>
      <c r="AH489" s="9"/>
    </row>
    <row r="490" spans="15:34" hidden="1" x14ac:dyDescent="0.25">
      <c r="O490" s="4" t="s">
        <v>919</v>
      </c>
      <c r="P490"/>
      <c r="AA490" s="19">
        <f t="shared" si="35"/>
        <v>43588</v>
      </c>
      <c r="AB490" s="20">
        <f t="shared" si="32"/>
        <v>6</v>
      </c>
      <c r="AC490" s="21">
        <f t="shared" si="33"/>
        <v>6</v>
      </c>
      <c r="AD490" s="22" t="str">
        <f t="shared" si="34"/>
        <v>ÚTIL</v>
      </c>
      <c r="AE490" s="25"/>
      <c r="AF490" s="9"/>
      <c r="AG490" s="9"/>
      <c r="AH490" s="9"/>
    </row>
    <row r="491" spans="15:34" hidden="1" x14ac:dyDescent="0.25">
      <c r="O491" s="4" t="s">
        <v>920</v>
      </c>
      <c r="P491"/>
      <c r="AA491" s="19">
        <f t="shared" si="35"/>
        <v>43589</v>
      </c>
      <c r="AB491" s="20">
        <f t="shared" si="32"/>
        <v>7</v>
      </c>
      <c r="AC491" s="21">
        <f t="shared" si="33"/>
        <v>7</v>
      </c>
      <c r="AD491" s="22" t="str">
        <f t="shared" si="34"/>
        <v>NÃO ÚTIL</v>
      </c>
      <c r="AE491" s="25"/>
      <c r="AF491" s="9"/>
      <c r="AG491" s="9"/>
      <c r="AH491" s="9"/>
    </row>
    <row r="492" spans="15:34" hidden="1" x14ac:dyDescent="0.25">
      <c r="O492" s="4" t="s">
        <v>921</v>
      </c>
      <c r="P492"/>
      <c r="AA492" s="19">
        <f t="shared" si="35"/>
        <v>43590</v>
      </c>
      <c r="AB492" s="20">
        <f t="shared" si="32"/>
        <v>1</v>
      </c>
      <c r="AC492" s="21">
        <f t="shared" si="33"/>
        <v>1</v>
      </c>
      <c r="AD492" s="22" t="str">
        <f t="shared" si="34"/>
        <v>NÃO ÚTIL</v>
      </c>
      <c r="AE492" s="25"/>
      <c r="AF492" s="9"/>
      <c r="AG492" s="9"/>
      <c r="AH492" s="9"/>
    </row>
    <row r="493" spans="15:34" hidden="1" x14ac:dyDescent="0.25">
      <c r="O493" s="4" t="s">
        <v>922</v>
      </c>
      <c r="P493"/>
      <c r="AA493" s="19">
        <f t="shared" si="35"/>
        <v>43591</v>
      </c>
      <c r="AB493" s="20">
        <f t="shared" si="32"/>
        <v>2</v>
      </c>
      <c r="AC493" s="21">
        <f t="shared" si="33"/>
        <v>2</v>
      </c>
      <c r="AD493" s="22" t="str">
        <f t="shared" si="34"/>
        <v>ÚTIL</v>
      </c>
      <c r="AE493" s="25"/>
      <c r="AF493" s="9"/>
      <c r="AG493" s="9"/>
      <c r="AH493" s="9"/>
    </row>
    <row r="494" spans="15:34" hidden="1" x14ac:dyDescent="0.25">
      <c r="O494" s="4" t="s">
        <v>923</v>
      </c>
      <c r="P494"/>
      <c r="AA494" s="19">
        <f t="shared" si="35"/>
        <v>43592</v>
      </c>
      <c r="AB494" s="20">
        <f t="shared" si="32"/>
        <v>3</v>
      </c>
      <c r="AC494" s="21">
        <f t="shared" si="33"/>
        <v>3</v>
      </c>
      <c r="AD494" s="22" t="str">
        <f t="shared" si="34"/>
        <v>ÚTIL</v>
      </c>
      <c r="AE494" s="25"/>
      <c r="AF494" s="9"/>
      <c r="AG494" s="9"/>
      <c r="AH494" s="9"/>
    </row>
    <row r="495" spans="15:34" hidden="1" x14ac:dyDescent="0.25">
      <c r="O495" s="4" t="s">
        <v>924</v>
      </c>
      <c r="P495"/>
      <c r="AA495" s="19">
        <f t="shared" si="35"/>
        <v>43593</v>
      </c>
      <c r="AB495" s="20">
        <f t="shared" si="32"/>
        <v>4</v>
      </c>
      <c r="AC495" s="21">
        <f t="shared" si="33"/>
        <v>4</v>
      </c>
      <c r="AD495" s="22" t="str">
        <f t="shared" si="34"/>
        <v>ÚTIL</v>
      </c>
      <c r="AE495" s="25"/>
      <c r="AF495" s="9"/>
      <c r="AG495" s="9"/>
      <c r="AH495" s="9"/>
    </row>
    <row r="496" spans="15:34" hidden="1" x14ac:dyDescent="0.25">
      <c r="O496" s="4" t="s">
        <v>925</v>
      </c>
      <c r="P496"/>
      <c r="AA496" s="19">
        <f t="shared" si="35"/>
        <v>43594</v>
      </c>
      <c r="AB496" s="20">
        <f t="shared" si="32"/>
        <v>5</v>
      </c>
      <c r="AC496" s="21">
        <f t="shared" si="33"/>
        <v>5</v>
      </c>
      <c r="AD496" s="22" t="str">
        <f t="shared" si="34"/>
        <v>ÚTIL</v>
      </c>
      <c r="AE496" s="25"/>
      <c r="AF496" s="9"/>
      <c r="AG496" s="9"/>
      <c r="AH496" s="9"/>
    </row>
    <row r="497" spans="15:34" hidden="1" x14ac:dyDescent="0.25">
      <c r="O497" s="4" t="s">
        <v>926</v>
      </c>
      <c r="P497"/>
      <c r="AA497" s="19">
        <f t="shared" si="35"/>
        <v>43595</v>
      </c>
      <c r="AB497" s="20">
        <f t="shared" si="32"/>
        <v>6</v>
      </c>
      <c r="AC497" s="21">
        <f t="shared" si="33"/>
        <v>6</v>
      </c>
      <c r="AD497" s="22" t="str">
        <f t="shared" si="34"/>
        <v>ÚTIL</v>
      </c>
      <c r="AE497" s="25"/>
      <c r="AF497" s="9"/>
      <c r="AG497" s="9"/>
      <c r="AH497" s="9"/>
    </row>
    <row r="498" spans="15:34" hidden="1" x14ac:dyDescent="0.25">
      <c r="O498" s="4" t="s">
        <v>927</v>
      </c>
      <c r="P498"/>
      <c r="AA498" s="19">
        <f t="shared" si="35"/>
        <v>43596</v>
      </c>
      <c r="AB498" s="20">
        <f t="shared" si="32"/>
        <v>7</v>
      </c>
      <c r="AC498" s="21">
        <f t="shared" si="33"/>
        <v>7</v>
      </c>
      <c r="AD498" s="22" t="str">
        <f t="shared" si="34"/>
        <v>NÃO ÚTIL</v>
      </c>
      <c r="AE498" s="25"/>
      <c r="AF498" s="9"/>
      <c r="AG498" s="9"/>
      <c r="AH498" s="9"/>
    </row>
    <row r="499" spans="15:34" hidden="1" x14ac:dyDescent="0.25">
      <c r="O499" s="4" t="s">
        <v>928</v>
      </c>
      <c r="P499"/>
      <c r="AA499" s="19">
        <f t="shared" si="35"/>
        <v>43597</v>
      </c>
      <c r="AB499" s="20">
        <f t="shared" si="32"/>
        <v>1</v>
      </c>
      <c r="AC499" s="21">
        <f t="shared" si="33"/>
        <v>1</v>
      </c>
      <c r="AD499" s="22" t="str">
        <f t="shared" si="34"/>
        <v>NÃO ÚTIL</v>
      </c>
      <c r="AE499" s="25"/>
      <c r="AF499" s="9"/>
      <c r="AG499" s="9"/>
      <c r="AH499" s="9"/>
    </row>
    <row r="500" spans="15:34" hidden="1" x14ac:dyDescent="0.25">
      <c r="O500" s="4" t="s">
        <v>929</v>
      </c>
      <c r="P500"/>
      <c r="AA500" s="19">
        <f t="shared" si="35"/>
        <v>43598</v>
      </c>
      <c r="AB500" s="20">
        <f t="shared" si="32"/>
        <v>2</v>
      </c>
      <c r="AC500" s="21">
        <f t="shared" si="33"/>
        <v>2</v>
      </c>
      <c r="AD500" s="22" t="str">
        <f t="shared" si="34"/>
        <v>ÚTIL</v>
      </c>
      <c r="AE500" s="25"/>
      <c r="AF500" s="9"/>
      <c r="AG500" s="9"/>
      <c r="AH500" s="9"/>
    </row>
    <row r="501" spans="15:34" hidden="1" x14ac:dyDescent="0.25">
      <c r="O501" s="4" t="s">
        <v>930</v>
      </c>
      <c r="P501"/>
      <c r="AA501" s="19">
        <f t="shared" si="35"/>
        <v>43599</v>
      </c>
      <c r="AB501" s="20">
        <f t="shared" si="32"/>
        <v>3</v>
      </c>
      <c r="AC501" s="21">
        <f t="shared" si="33"/>
        <v>3</v>
      </c>
      <c r="AD501" s="22" t="str">
        <f t="shared" si="34"/>
        <v>ÚTIL</v>
      </c>
      <c r="AE501" s="25"/>
      <c r="AF501" s="9"/>
      <c r="AG501" s="9"/>
      <c r="AH501" s="9"/>
    </row>
    <row r="502" spans="15:34" hidden="1" x14ac:dyDescent="0.25">
      <c r="O502" s="4" t="s">
        <v>931</v>
      </c>
      <c r="P502"/>
      <c r="AA502" s="19">
        <f t="shared" si="35"/>
        <v>43600</v>
      </c>
      <c r="AB502" s="20">
        <f t="shared" si="32"/>
        <v>4</v>
      </c>
      <c r="AC502" s="21">
        <f t="shared" si="33"/>
        <v>4</v>
      </c>
      <c r="AD502" s="22" t="str">
        <f t="shared" si="34"/>
        <v>ÚTIL</v>
      </c>
      <c r="AE502" s="25"/>
      <c r="AF502" s="9"/>
      <c r="AG502" s="9"/>
      <c r="AH502" s="9"/>
    </row>
    <row r="503" spans="15:34" hidden="1" x14ac:dyDescent="0.25">
      <c r="O503" s="4" t="s">
        <v>932</v>
      </c>
      <c r="P503"/>
      <c r="AA503" s="19">
        <f t="shared" si="35"/>
        <v>43601</v>
      </c>
      <c r="AB503" s="20">
        <f t="shared" si="32"/>
        <v>5</v>
      </c>
      <c r="AC503" s="21">
        <f t="shared" si="33"/>
        <v>5</v>
      </c>
      <c r="AD503" s="22" t="str">
        <f t="shared" si="34"/>
        <v>ÚTIL</v>
      </c>
      <c r="AE503" s="25"/>
      <c r="AF503" s="9"/>
      <c r="AG503" s="9"/>
      <c r="AH503" s="9"/>
    </row>
    <row r="504" spans="15:34" hidden="1" x14ac:dyDescent="0.25">
      <c r="O504" s="4" t="s">
        <v>933</v>
      </c>
      <c r="P504"/>
      <c r="AA504" s="19">
        <f t="shared" si="35"/>
        <v>43602</v>
      </c>
      <c r="AB504" s="20">
        <f t="shared" si="32"/>
        <v>6</v>
      </c>
      <c r="AC504" s="21">
        <f t="shared" si="33"/>
        <v>6</v>
      </c>
      <c r="AD504" s="22" t="str">
        <f t="shared" si="34"/>
        <v>ÚTIL</v>
      </c>
      <c r="AE504" s="25"/>
      <c r="AF504" s="9"/>
      <c r="AG504" s="9"/>
      <c r="AH504" s="9"/>
    </row>
    <row r="505" spans="15:34" hidden="1" x14ac:dyDescent="0.25">
      <c r="O505" s="4" t="s">
        <v>934</v>
      </c>
      <c r="P505"/>
      <c r="AA505" s="19">
        <f t="shared" si="35"/>
        <v>43603</v>
      </c>
      <c r="AB505" s="20">
        <f t="shared" si="32"/>
        <v>7</v>
      </c>
      <c r="AC505" s="21">
        <f t="shared" si="33"/>
        <v>7</v>
      </c>
      <c r="AD505" s="22" t="str">
        <f t="shared" si="34"/>
        <v>NÃO ÚTIL</v>
      </c>
      <c r="AE505" s="25"/>
      <c r="AF505" s="9"/>
      <c r="AG505" s="9"/>
      <c r="AH505" s="9"/>
    </row>
    <row r="506" spans="15:34" hidden="1" x14ac:dyDescent="0.25">
      <c r="O506" s="4" t="s">
        <v>935</v>
      </c>
      <c r="P506"/>
      <c r="AA506" s="19">
        <f t="shared" si="35"/>
        <v>43604</v>
      </c>
      <c r="AB506" s="20">
        <f t="shared" si="32"/>
        <v>1</v>
      </c>
      <c r="AC506" s="21">
        <f t="shared" si="33"/>
        <v>1</v>
      </c>
      <c r="AD506" s="22" t="str">
        <f t="shared" si="34"/>
        <v>NÃO ÚTIL</v>
      </c>
      <c r="AE506" s="25"/>
      <c r="AF506" s="9"/>
      <c r="AG506" s="9"/>
      <c r="AH506" s="9"/>
    </row>
    <row r="507" spans="15:34" hidden="1" x14ac:dyDescent="0.25">
      <c r="O507" s="4" t="s">
        <v>936</v>
      </c>
      <c r="P507"/>
      <c r="AA507" s="19">
        <f t="shared" si="35"/>
        <v>43605</v>
      </c>
      <c r="AB507" s="20">
        <f t="shared" si="32"/>
        <v>2</v>
      </c>
      <c r="AC507" s="21">
        <f t="shared" si="33"/>
        <v>2</v>
      </c>
      <c r="AD507" s="22" t="str">
        <f t="shared" si="34"/>
        <v>ÚTIL</v>
      </c>
      <c r="AE507" s="25"/>
      <c r="AF507" s="9"/>
      <c r="AG507" s="9"/>
      <c r="AH507" s="9"/>
    </row>
    <row r="508" spans="15:34" hidden="1" x14ac:dyDescent="0.25">
      <c r="O508" s="4" t="s">
        <v>937</v>
      </c>
      <c r="P508"/>
      <c r="AA508" s="19">
        <f t="shared" si="35"/>
        <v>43606</v>
      </c>
      <c r="AB508" s="20">
        <f t="shared" si="32"/>
        <v>3</v>
      </c>
      <c r="AC508" s="21">
        <f t="shared" si="33"/>
        <v>3</v>
      </c>
      <c r="AD508" s="22" t="str">
        <f t="shared" si="34"/>
        <v>ÚTIL</v>
      </c>
      <c r="AE508" s="25"/>
      <c r="AF508" s="9"/>
      <c r="AG508" s="9"/>
      <c r="AH508" s="9"/>
    </row>
    <row r="509" spans="15:34" hidden="1" x14ac:dyDescent="0.25">
      <c r="O509" s="4" t="s">
        <v>938</v>
      </c>
      <c r="P509"/>
      <c r="AA509" s="19">
        <f t="shared" si="35"/>
        <v>43607</v>
      </c>
      <c r="AB509" s="20">
        <f t="shared" si="32"/>
        <v>4</v>
      </c>
      <c r="AC509" s="21">
        <f t="shared" si="33"/>
        <v>4</v>
      </c>
      <c r="AD509" s="22" t="str">
        <f t="shared" si="34"/>
        <v>ÚTIL</v>
      </c>
      <c r="AE509" s="25"/>
      <c r="AF509" s="9"/>
      <c r="AG509" s="9"/>
      <c r="AH509" s="9"/>
    </row>
    <row r="510" spans="15:34" hidden="1" x14ac:dyDescent="0.25">
      <c r="O510" s="4" t="s">
        <v>939</v>
      </c>
      <c r="P510"/>
      <c r="AA510" s="19">
        <f t="shared" si="35"/>
        <v>43608</v>
      </c>
      <c r="AB510" s="20">
        <f t="shared" si="32"/>
        <v>5</v>
      </c>
      <c r="AC510" s="21">
        <f t="shared" si="33"/>
        <v>5</v>
      </c>
      <c r="AD510" s="22" t="str">
        <f t="shared" si="34"/>
        <v>ÚTIL</v>
      </c>
      <c r="AE510" s="25"/>
      <c r="AF510" s="9"/>
      <c r="AG510" s="9"/>
      <c r="AH510" s="9"/>
    </row>
    <row r="511" spans="15:34" hidden="1" x14ac:dyDescent="0.25">
      <c r="O511" s="4" t="s">
        <v>940</v>
      </c>
      <c r="P511"/>
      <c r="AA511" s="19">
        <f t="shared" si="35"/>
        <v>43609</v>
      </c>
      <c r="AB511" s="20">
        <f t="shared" si="32"/>
        <v>6</v>
      </c>
      <c r="AC511" s="21">
        <f t="shared" si="33"/>
        <v>6</v>
      </c>
      <c r="AD511" s="22" t="str">
        <f t="shared" si="34"/>
        <v>ÚTIL</v>
      </c>
      <c r="AE511" s="25"/>
      <c r="AF511" s="9"/>
      <c r="AG511" s="9"/>
      <c r="AH511" s="9"/>
    </row>
    <row r="512" spans="15:34" hidden="1" x14ac:dyDescent="0.25">
      <c r="O512" s="4" t="s">
        <v>941</v>
      </c>
      <c r="P512"/>
      <c r="AA512" s="19">
        <f t="shared" si="35"/>
        <v>43610</v>
      </c>
      <c r="AB512" s="20">
        <f t="shared" si="32"/>
        <v>7</v>
      </c>
      <c r="AC512" s="21">
        <f t="shared" si="33"/>
        <v>7</v>
      </c>
      <c r="AD512" s="22" t="str">
        <f t="shared" si="34"/>
        <v>NÃO ÚTIL</v>
      </c>
      <c r="AE512" s="25"/>
      <c r="AF512" s="9"/>
      <c r="AG512" s="9"/>
      <c r="AH512" s="9"/>
    </row>
    <row r="513" spans="15:34" hidden="1" x14ac:dyDescent="0.25">
      <c r="O513" s="4" t="s">
        <v>942</v>
      </c>
      <c r="P513"/>
      <c r="AA513" s="19">
        <f t="shared" si="35"/>
        <v>43611</v>
      </c>
      <c r="AB513" s="20">
        <f t="shared" si="32"/>
        <v>1</v>
      </c>
      <c r="AC513" s="21">
        <f t="shared" si="33"/>
        <v>1</v>
      </c>
      <c r="AD513" s="22" t="str">
        <f t="shared" si="34"/>
        <v>NÃO ÚTIL</v>
      </c>
      <c r="AE513" s="25"/>
      <c r="AF513" s="9"/>
      <c r="AG513" s="9"/>
      <c r="AH513" s="9"/>
    </row>
    <row r="514" spans="15:34" hidden="1" x14ac:dyDescent="0.25">
      <c r="O514" s="4" t="s">
        <v>943</v>
      </c>
      <c r="P514"/>
      <c r="AA514" s="19">
        <f t="shared" si="35"/>
        <v>43612</v>
      </c>
      <c r="AB514" s="20">
        <f t="shared" si="32"/>
        <v>2</v>
      </c>
      <c r="AC514" s="21">
        <f t="shared" si="33"/>
        <v>2</v>
      </c>
      <c r="AD514" s="22" t="str">
        <f t="shared" si="34"/>
        <v>ÚTIL</v>
      </c>
      <c r="AE514" s="25"/>
      <c r="AF514" s="9"/>
      <c r="AG514" s="9"/>
      <c r="AH514" s="9"/>
    </row>
    <row r="515" spans="15:34" hidden="1" x14ac:dyDescent="0.25">
      <c r="O515" s="4" t="s">
        <v>944</v>
      </c>
      <c r="P515"/>
      <c r="AA515" s="19">
        <f t="shared" si="35"/>
        <v>43613</v>
      </c>
      <c r="AB515" s="20">
        <f t="shared" ref="AB515:AB578" si="36">AC515</f>
        <v>3</v>
      </c>
      <c r="AC515" s="21">
        <f t="shared" ref="AC515:AC578" si="37">WEEKDAY(AA515)</f>
        <v>3</v>
      </c>
      <c r="AD515" s="22" t="str">
        <f t="shared" ref="AD515:AD578" si="38">IF(WORKDAY(AA515-1,1,$AE$3:$AE$14)=AA515,"ÚTIL","NÃO ÚTIL")</f>
        <v>ÚTIL</v>
      </c>
      <c r="AE515" s="25"/>
      <c r="AF515" s="9"/>
      <c r="AG515" s="9"/>
      <c r="AH515" s="9"/>
    </row>
    <row r="516" spans="15:34" hidden="1" x14ac:dyDescent="0.25">
      <c r="O516" s="4" t="s">
        <v>945</v>
      </c>
      <c r="P516"/>
      <c r="AA516" s="19">
        <f t="shared" ref="AA516:AA579" si="39">AA515+1</f>
        <v>43614</v>
      </c>
      <c r="AB516" s="20">
        <f t="shared" si="36"/>
        <v>4</v>
      </c>
      <c r="AC516" s="21">
        <f t="shared" si="37"/>
        <v>4</v>
      </c>
      <c r="AD516" s="22" t="str">
        <f t="shared" si="38"/>
        <v>ÚTIL</v>
      </c>
      <c r="AE516" s="25"/>
      <c r="AF516" s="9"/>
      <c r="AG516" s="9"/>
      <c r="AH516" s="9"/>
    </row>
    <row r="517" spans="15:34" hidden="1" x14ac:dyDescent="0.25">
      <c r="O517" s="4" t="s">
        <v>946</v>
      </c>
      <c r="P517"/>
      <c r="AA517" s="19">
        <f t="shared" si="39"/>
        <v>43615</v>
      </c>
      <c r="AB517" s="20">
        <f t="shared" si="36"/>
        <v>5</v>
      </c>
      <c r="AC517" s="21">
        <f t="shared" si="37"/>
        <v>5</v>
      </c>
      <c r="AD517" s="22" t="str">
        <f t="shared" si="38"/>
        <v>ÚTIL</v>
      </c>
      <c r="AE517" s="25"/>
      <c r="AF517" s="9"/>
      <c r="AG517" s="9"/>
      <c r="AH517" s="9"/>
    </row>
    <row r="518" spans="15:34" hidden="1" x14ac:dyDescent="0.25">
      <c r="O518" s="4" t="s">
        <v>947</v>
      </c>
      <c r="P518"/>
      <c r="AA518" s="19">
        <f t="shared" si="39"/>
        <v>43616</v>
      </c>
      <c r="AB518" s="20">
        <f t="shared" si="36"/>
        <v>6</v>
      </c>
      <c r="AC518" s="21">
        <f t="shared" si="37"/>
        <v>6</v>
      </c>
      <c r="AD518" s="22" t="str">
        <f t="shared" si="38"/>
        <v>ÚTIL</v>
      </c>
      <c r="AE518" s="25"/>
      <c r="AF518" s="9"/>
      <c r="AG518" s="9"/>
      <c r="AH518" s="9"/>
    </row>
    <row r="519" spans="15:34" hidden="1" x14ac:dyDescent="0.25">
      <c r="O519" s="4" t="s">
        <v>948</v>
      </c>
      <c r="P519"/>
      <c r="AA519" s="19">
        <f t="shared" si="39"/>
        <v>43617</v>
      </c>
      <c r="AB519" s="20">
        <f t="shared" si="36"/>
        <v>7</v>
      </c>
      <c r="AC519" s="21">
        <f t="shared" si="37"/>
        <v>7</v>
      </c>
      <c r="AD519" s="22" t="str">
        <f t="shared" si="38"/>
        <v>NÃO ÚTIL</v>
      </c>
      <c r="AE519" s="25"/>
      <c r="AF519" s="9"/>
      <c r="AG519" s="9"/>
      <c r="AH519" s="9"/>
    </row>
    <row r="520" spans="15:34" hidden="1" x14ac:dyDescent="0.25">
      <c r="O520" s="4" t="s">
        <v>949</v>
      </c>
      <c r="P520"/>
      <c r="AA520" s="19">
        <f t="shared" si="39"/>
        <v>43618</v>
      </c>
      <c r="AB520" s="20">
        <f t="shared" si="36"/>
        <v>1</v>
      </c>
      <c r="AC520" s="21">
        <f t="shared" si="37"/>
        <v>1</v>
      </c>
      <c r="AD520" s="22" t="str">
        <f t="shared" si="38"/>
        <v>NÃO ÚTIL</v>
      </c>
      <c r="AE520" s="25"/>
      <c r="AF520" s="9"/>
      <c r="AG520" s="9"/>
      <c r="AH520" s="9"/>
    </row>
    <row r="521" spans="15:34" hidden="1" x14ac:dyDescent="0.25">
      <c r="O521" s="4" t="s">
        <v>950</v>
      </c>
      <c r="P521"/>
      <c r="AA521" s="19">
        <f t="shared" si="39"/>
        <v>43619</v>
      </c>
      <c r="AB521" s="20">
        <f t="shared" si="36"/>
        <v>2</v>
      </c>
      <c r="AC521" s="21">
        <f t="shared" si="37"/>
        <v>2</v>
      </c>
      <c r="AD521" s="22" t="str">
        <f t="shared" si="38"/>
        <v>ÚTIL</v>
      </c>
      <c r="AE521" s="25"/>
      <c r="AF521" s="9"/>
      <c r="AG521" s="9"/>
      <c r="AH521" s="9"/>
    </row>
    <row r="522" spans="15:34" hidden="1" x14ac:dyDescent="0.25">
      <c r="O522" s="4" t="s">
        <v>951</v>
      </c>
      <c r="P522"/>
      <c r="AA522" s="19">
        <f t="shared" si="39"/>
        <v>43620</v>
      </c>
      <c r="AB522" s="20">
        <f t="shared" si="36"/>
        <v>3</v>
      </c>
      <c r="AC522" s="21">
        <f t="shared" si="37"/>
        <v>3</v>
      </c>
      <c r="AD522" s="22" t="str">
        <f t="shared" si="38"/>
        <v>ÚTIL</v>
      </c>
      <c r="AE522" s="25"/>
      <c r="AF522" s="9"/>
      <c r="AG522" s="9"/>
      <c r="AH522" s="9"/>
    </row>
    <row r="523" spans="15:34" hidden="1" x14ac:dyDescent="0.25">
      <c r="O523" s="4" t="s">
        <v>952</v>
      </c>
      <c r="P523"/>
      <c r="AA523" s="19">
        <f t="shared" si="39"/>
        <v>43621</v>
      </c>
      <c r="AB523" s="20">
        <f t="shared" si="36"/>
        <v>4</v>
      </c>
      <c r="AC523" s="21">
        <f t="shared" si="37"/>
        <v>4</v>
      </c>
      <c r="AD523" s="22" t="str">
        <f t="shared" si="38"/>
        <v>ÚTIL</v>
      </c>
      <c r="AE523" s="25"/>
      <c r="AF523" s="9"/>
      <c r="AG523" s="9"/>
      <c r="AH523" s="9"/>
    </row>
    <row r="524" spans="15:34" hidden="1" x14ac:dyDescent="0.25">
      <c r="O524" s="4" t="s">
        <v>953</v>
      </c>
      <c r="P524"/>
      <c r="AA524" s="19">
        <f t="shared" si="39"/>
        <v>43622</v>
      </c>
      <c r="AB524" s="20">
        <f t="shared" si="36"/>
        <v>5</v>
      </c>
      <c r="AC524" s="21">
        <f t="shared" si="37"/>
        <v>5</v>
      </c>
      <c r="AD524" s="22" t="str">
        <f t="shared" si="38"/>
        <v>ÚTIL</v>
      </c>
      <c r="AE524" s="25"/>
      <c r="AF524" s="9"/>
      <c r="AG524" s="9"/>
      <c r="AH524" s="9"/>
    </row>
    <row r="525" spans="15:34" hidden="1" x14ac:dyDescent="0.25">
      <c r="O525" s="4" t="s">
        <v>954</v>
      </c>
      <c r="P525"/>
      <c r="AA525" s="19">
        <f t="shared" si="39"/>
        <v>43623</v>
      </c>
      <c r="AB525" s="20">
        <f t="shared" si="36"/>
        <v>6</v>
      </c>
      <c r="AC525" s="21">
        <f t="shared" si="37"/>
        <v>6</v>
      </c>
      <c r="AD525" s="22" t="str">
        <f t="shared" si="38"/>
        <v>ÚTIL</v>
      </c>
      <c r="AE525" s="25"/>
      <c r="AF525" s="9"/>
      <c r="AG525" s="9"/>
      <c r="AH525" s="9"/>
    </row>
    <row r="526" spans="15:34" hidden="1" x14ac:dyDescent="0.25">
      <c r="O526" s="4" t="s">
        <v>955</v>
      </c>
      <c r="P526"/>
      <c r="AA526" s="19">
        <f t="shared" si="39"/>
        <v>43624</v>
      </c>
      <c r="AB526" s="20">
        <f t="shared" si="36"/>
        <v>7</v>
      </c>
      <c r="AC526" s="21">
        <f t="shared" si="37"/>
        <v>7</v>
      </c>
      <c r="AD526" s="22" t="str">
        <f t="shared" si="38"/>
        <v>NÃO ÚTIL</v>
      </c>
      <c r="AE526" s="25"/>
      <c r="AF526" s="9"/>
      <c r="AG526" s="9"/>
      <c r="AH526" s="9"/>
    </row>
    <row r="527" spans="15:34" hidden="1" x14ac:dyDescent="0.25">
      <c r="O527" s="4" t="s">
        <v>956</v>
      </c>
      <c r="P527"/>
      <c r="AA527" s="19">
        <f t="shared" si="39"/>
        <v>43625</v>
      </c>
      <c r="AB527" s="20">
        <f t="shared" si="36"/>
        <v>1</v>
      </c>
      <c r="AC527" s="21">
        <f t="shared" si="37"/>
        <v>1</v>
      </c>
      <c r="AD527" s="22" t="str">
        <f t="shared" si="38"/>
        <v>NÃO ÚTIL</v>
      </c>
      <c r="AE527" s="25"/>
      <c r="AF527" s="9"/>
      <c r="AG527" s="9"/>
      <c r="AH527" s="9"/>
    </row>
    <row r="528" spans="15:34" hidden="1" x14ac:dyDescent="0.25">
      <c r="O528" s="4" t="s">
        <v>957</v>
      </c>
      <c r="P528"/>
      <c r="AA528" s="19">
        <f t="shared" si="39"/>
        <v>43626</v>
      </c>
      <c r="AB528" s="20">
        <f t="shared" si="36"/>
        <v>2</v>
      </c>
      <c r="AC528" s="21">
        <f t="shared" si="37"/>
        <v>2</v>
      </c>
      <c r="AD528" s="22" t="str">
        <f t="shared" si="38"/>
        <v>ÚTIL</v>
      </c>
      <c r="AE528" s="25"/>
      <c r="AF528" s="9"/>
      <c r="AG528" s="9"/>
      <c r="AH528" s="9"/>
    </row>
    <row r="529" spans="15:34" hidden="1" x14ac:dyDescent="0.25">
      <c r="O529" s="4" t="s">
        <v>958</v>
      </c>
      <c r="P529"/>
      <c r="AA529" s="19">
        <f t="shared" si="39"/>
        <v>43627</v>
      </c>
      <c r="AB529" s="20">
        <f t="shared" si="36"/>
        <v>3</v>
      </c>
      <c r="AC529" s="21">
        <f t="shared" si="37"/>
        <v>3</v>
      </c>
      <c r="AD529" s="22" t="str">
        <f t="shared" si="38"/>
        <v>ÚTIL</v>
      </c>
      <c r="AE529" s="25"/>
      <c r="AF529" s="9"/>
      <c r="AG529" s="9"/>
      <c r="AH529" s="9"/>
    </row>
    <row r="530" spans="15:34" hidden="1" x14ac:dyDescent="0.25">
      <c r="O530" s="4" t="s">
        <v>959</v>
      </c>
      <c r="P530"/>
      <c r="AA530" s="19">
        <f t="shared" si="39"/>
        <v>43628</v>
      </c>
      <c r="AB530" s="20">
        <f t="shared" si="36"/>
        <v>4</v>
      </c>
      <c r="AC530" s="21">
        <f t="shared" si="37"/>
        <v>4</v>
      </c>
      <c r="AD530" s="22" t="str">
        <f t="shared" si="38"/>
        <v>ÚTIL</v>
      </c>
      <c r="AE530" s="25"/>
      <c r="AF530" s="9"/>
      <c r="AG530" s="9"/>
      <c r="AH530" s="9"/>
    </row>
    <row r="531" spans="15:34" hidden="1" x14ac:dyDescent="0.25">
      <c r="O531" s="4" t="s">
        <v>960</v>
      </c>
      <c r="P531"/>
      <c r="AA531" s="19">
        <f t="shared" si="39"/>
        <v>43629</v>
      </c>
      <c r="AB531" s="20">
        <f t="shared" si="36"/>
        <v>5</v>
      </c>
      <c r="AC531" s="21">
        <f t="shared" si="37"/>
        <v>5</v>
      </c>
      <c r="AD531" s="22" t="str">
        <f t="shared" si="38"/>
        <v>ÚTIL</v>
      </c>
      <c r="AE531" s="25"/>
      <c r="AF531" s="9"/>
      <c r="AG531" s="9"/>
      <c r="AH531" s="9"/>
    </row>
    <row r="532" spans="15:34" hidden="1" x14ac:dyDescent="0.25">
      <c r="O532" s="4" t="s">
        <v>961</v>
      </c>
      <c r="P532"/>
      <c r="AA532" s="19">
        <f t="shared" si="39"/>
        <v>43630</v>
      </c>
      <c r="AB532" s="20">
        <f t="shared" si="36"/>
        <v>6</v>
      </c>
      <c r="AC532" s="21">
        <f t="shared" si="37"/>
        <v>6</v>
      </c>
      <c r="AD532" s="22" t="str">
        <f t="shared" si="38"/>
        <v>ÚTIL</v>
      </c>
      <c r="AE532" s="25"/>
      <c r="AF532" s="9"/>
      <c r="AG532" s="9"/>
      <c r="AH532" s="9"/>
    </row>
    <row r="533" spans="15:34" hidden="1" x14ac:dyDescent="0.25">
      <c r="O533" s="4" t="s">
        <v>962</v>
      </c>
      <c r="P533"/>
      <c r="AA533" s="19">
        <f t="shared" si="39"/>
        <v>43631</v>
      </c>
      <c r="AB533" s="20">
        <f t="shared" si="36"/>
        <v>7</v>
      </c>
      <c r="AC533" s="21">
        <f t="shared" si="37"/>
        <v>7</v>
      </c>
      <c r="AD533" s="22" t="str">
        <f t="shared" si="38"/>
        <v>NÃO ÚTIL</v>
      </c>
      <c r="AE533" s="25"/>
      <c r="AF533" s="9"/>
      <c r="AG533" s="9"/>
      <c r="AH533" s="9"/>
    </row>
    <row r="534" spans="15:34" hidden="1" x14ac:dyDescent="0.25">
      <c r="O534" s="4" t="s">
        <v>963</v>
      </c>
      <c r="P534"/>
      <c r="AA534" s="19">
        <f t="shared" si="39"/>
        <v>43632</v>
      </c>
      <c r="AB534" s="20">
        <f t="shared" si="36"/>
        <v>1</v>
      </c>
      <c r="AC534" s="21">
        <f t="shared" si="37"/>
        <v>1</v>
      </c>
      <c r="AD534" s="22" t="str">
        <f t="shared" si="38"/>
        <v>NÃO ÚTIL</v>
      </c>
      <c r="AE534" s="25"/>
      <c r="AF534" s="9"/>
      <c r="AG534" s="9"/>
      <c r="AH534" s="9"/>
    </row>
    <row r="535" spans="15:34" hidden="1" x14ac:dyDescent="0.25">
      <c r="O535" s="4" t="s">
        <v>964</v>
      </c>
      <c r="P535"/>
      <c r="AA535" s="19">
        <f t="shared" si="39"/>
        <v>43633</v>
      </c>
      <c r="AB535" s="20">
        <f t="shared" si="36"/>
        <v>2</v>
      </c>
      <c r="AC535" s="21">
        <f t="shared" si="37"/>
        <v>2</v>
      </c>
      <c r="AD535" s="22" t="str">
        <f t="shared" si="38"/>
        <v>ÚTIL</v>
      </c>
      <c r="AE535" s="25"/>
      <c r="AF535" s="9"/>
      <c r="AG535" s="9"/>
      <c r="AH535" s="9"/>
    </row>
    <row r="536" spans="15:34" hidden="1" x14ac:dyDescent="0.25">
      <c r="O536" s="4" t="s">
        <v>965</v>
      </c>
      <c r="P536"/>
      <c r="AA536" s="19">
        <f t="shared" si="39"/>
        <v>43634</v>
      </c>
      <c r="AB536" s="20">
        <f t="shared" si="36"/>
        <v>3</v>
      </c>
      <c r="AC536" s="21">
        <f t="shared" si="37"/>
        <v>3</v>
      </c>
      <c r="AD536" s="22" t="str">
        <f t="shared" si="38"/>
        <v>ÚTIL</v>
      </c>
      <c r="AE536" s="25"/>
      <c r="AF536" s="9"/>
      <c r="AG536" s="9"/>
      <c r="AH536" s="9"/>
    </row>
    <row r="537" spans="15:34" hidden="1" x14ac:dyDescent="0.25">
      <c r="O537" s="4" t="s">
        <v>966</v>
      </c>
      <c r="P537"/>
      <c r="AA537" s="19">
        <f t="shared" si="39"/>
        <v>43635</v>
      </c>
      <c r="AB537" s="20">
        <f t="shared" si="36"/>
        <v>4</v>
      </c>
      <c r="AC537" s="21">
        <f t="shared" si="37"/>
        <v>4</v>
      </c>
      <c r="AD537" s="22" t="str">
        <f t="shared" si="38"/>
        <v>ÚTIL</v>
      </c>
      <c r="AE537" s="25"/>
      <c r="AF537" s="9"/>
      <c r="AG537" s="9"/>
      <c r="AH537" s="9"/>
    </row>
    <row r="538" spans="15:34" hidden="1" x14ac:dyDescent="0.25">
      <c r="O538" s="4" t="s">
        <v>967</v>
      </c>
      <c r="P538"/>
      <c r="AA538" s="19">
        <f t="shared" si="39"/>
        <v>43636</v>
      </c>
      <c r="AB538" s="20">
        <f t="shared" si="36"/>
        <v>5</v>
      </c>
      <c r="AC538" s="21">
        <f t="shared" si="37"/>
        <v>5</v>
      </c>
      <c r="AD538" s="22" t="str">
        <f t="shared" si="38"/>
        <v>ÚTIL</v>
      </c>
      <c r="AE538" s="25"/>
      <c r="AF538" s="9"/>
      <c r="AG538" s="9"/>
      <c r="AH538" s="9"/>
    </row>
    <row r="539" spans="15:34" hidden="1" x14ac:dyDescent="0.25">
      <c r="O539" s="4" t="s">
        <v>968</v>
      </c>
      <c r="P539"/>
      <c r="AA539" s="19">
        <f t="shared" si="39"/>
        <v>43637</v>
      </c>
      <c r="AB539" s="20">
        <f t="shared" si="36"/>
        <v>6</v>
      </c>
      <c r="AC539" s="21">
        <f t="shared" si="37"/>
        <v>6</v>
      </c>
      <c r="AD539" s="22" t="str">
        <f t="shared" si="38"/>
        <v>ÚTIL</v>
      </c>
      <c r="AE539" s="25"/>
      <c r="AF539" s="9"/>
      <c r="AG539" s="9"/>
      <c r="AH539" s="9"/>
    </row>
    <row r="540" spans="15:34" hidden="1" x14ac:dyDescent="0.25">
      <c r="O540" s="4" t="s">
        <v>969</v>
      </c>
      <c r="P540"/>
      <c r="AA540" s="19">
        <f t="shared" si="39"/>
        <v>43638</v>
      </c>
      <c r="AB540" s="20">
        <f t="shared" si="36"/>
        <v>7</v>
      </c>
      <c r="AC540" s="21">
        <f t="shared" si="37"/>
        <v>7</v>
      </c>
      <c r="AD540" s="22" t="str">
        <f t="shared" si="38"/>
        <v>NÃO ÚTIL</v>
      </c>
      <c r="AE540" s="25"/>
      <c r="AF540" s="9"/>
      <c r="AG540" s="9"/>
      <c r="AH540" s="9"/>
    </row>
    <row r="541" spans="15:34" hidden="1" x14ac:dyDescent="0.25">
      <c r="O541" s="4" t="s">
        <v>970</v>
      </c>
      <c r="P541"/>
      <c r="AA541" s="19">
        <f t="shared" si="39"/>
        <v>43639</v>
      </c>
      <c r="AB541" s="20">
        <f t="shared" si="36"/>
        <v>1</v>
      </c>
      <c r="AC541" s="21">
        <f t="shared" si="37"/>
        <v>1</v>
      </c>
      <c r="AD541" s="22" t="str">
        <f t="shared" si="38"/>
        <v>NÃO ÚTIL</v>
      </c>
      <c r="AE541" s="25"/>
      <c r="AF541" s="9"/>
      <c r="AG541" s="9"/>
      <c r="AH541" s="9"/>
    </row>
    <row r="542" spans="15:34" hidden="1" x14ac:dyDescent="0.25">
      <c r="O542" s="4" t="s">
        <v>971</v>
      </c>
      <c r="P542"/>
      <c r="AA542" s="19">
        <f t="shared" si="39"/>
        <v>43640</v>
      </c>
      <c r="AB542" s="20">
        <f t="shared" si="36"/>
        <v>2</v>
      </c>
      <c r="AC542" s="21">
        <f t="shared" si="37"/>
        <v>2</v>
      </c>
      <c r="AD542" s="22" t="str">
        <f t="shared" si="38"/>
        <v>ÚTIL</v>
      </c>
      <c r="AE542" s="25"/>
      <c r="AF542" s="9"/>
      <c r="AG542" s="9"/>
      <c r="AH542" s="9"/>
    </row>
    <row r="543" spans="15:34" hidden="1" x14ac:dyDescent="0.25">
      <c r="O543" s="4" t="s">
        <v>972</v>
      </c>
      <c r="P543"/>
      <c r="AA543" s="19">
        <f t="shared" si="39"/>
        <v>43641</v>
      </c>
      <c r="AB543" s="20">
        <f t="shared" si="36"/>
        <v>3</v>
      </c>
      <c r="AC543" s="21">
        <f t="shared" si="37"/>
        <v>3</v>
      </c>
      <c r="AD543" s="22" t="str">
        <f t="shared" si="38"/>
        <v>ÚTIL</v>
      </c>
      <c r="AE543" s="25"/>
      <c r="AF543" s="9"/>
      <c r="AG543" s="9"/>
      <c r="AH543" s="9"/>
    </row>
    <row r="544" spans="15:34" hidden="1" x14ac:dyDescent="0.25">
      <c r="O544" s="4" t="s">
        <v>973</v>
      </c>
      <c r="P544"/>
      <c r="AA544" s="19">
        <f t="shared" si="39"/>
        <v>43642</v>
      </c>
      <c r="AB544" s="20">
        <f t="shared" si="36"/>
        <v>4</v>
      </c>
      <c r="AC544" s="21">
        <f t="shared" si="37"/>
        <v>4</v>
      </c>
      <c r="AD544" s="22" t="str">
        <f t="shared" si="38"/>
        <v>ÚTIL</v>
      </c>
      <c r="AE544" s="25"/>
      <c r="AF544" s="9"/>
      <c r="AG544" s="9"/>
      <c r="AH544" s="9"/>
    </row>
    <row r="545" spans="15:34" hidden="1" x14ac:dyDescent="0.25">
      <c r="O545" s="4" t="s">
        <v>974</v>
      </c>
      <c r="P545"/>
      <c r="AA545" s="19">
        <f t="shared" si="39"/>
        <v>43643</v>
      </c>
      <c r="AB545" s="20">
        <f t="shared" si="36"/>
        <v>5</v>
      </c>
      <c r="AC545" s="21">
        <f t="shared" si="37"/>
        <v>5</v>
      </c>
      <c r="AD545" s="22" t="str">
        <f t="shared" si="38"/>
        <v>ÚTIL</v>
      </c>
      <c r="AE545" s="25"/>
      <c r="AF545" s="9"/>
      <c r="AG545" s="9"/>
      <c r="AH545" s="9"/>
    </row>
    <row r="546" spans="15:34" hidden="1" x14ac:dyDescent="0.25">
      <c r="O546" s="4" t="s">
        <v>975</v>
      </c>
      <c r="P546"/>
      <c r="AA546" s="19">
        <f t="shared" si="39"/>
        <v>43644</v>
      </c>
      <c r="AB546" s="20">
        <f t="shared" si="36"/>
        <v>6</v>
      </c>
      <c r="AC546" s="21">
        <f t="shared" si="37"/>
        <v>6</v>
      </c>
      <c r="AD546" s="22" t="str">
        <f t="shared" si="38"/>
        <v>ÚTIL</v>
      </c>
      <c r="AE546" s="25"/>
      <c r="AF546" s="9"/>
      <c r="AG546" s="9"/>
      <c r="AH546" s="9"/>
    </row>
    <row r="547" spans="15:34" hidden="1" x14ac:dyDescent="0.25">
      <c r="O547" s="4" t="s">
        <v>976</v>
      </c>
      <c r="P547"/>
      <c r="AA547" s="19">
        <f t="shared" si="39"/>
        <v>43645</v>
      </c>
      <c r="AB547" s="20">
        <f t="shared" si="36"/>
        <v>7</v>
      </c>
      <c r="AC547" s="21">
        <f t="shared" si="37"/>
        <v>7</v>
      </c>
      <c r="AD547" s="22" t="str">
        <f t="shared" si="38"/>
        <v>NÃO ÚTIL</v>
      </c>
      <c r="AE547" s="25"/>
      <c r="AF547" s="9"/>
      <c r="AG547" s="9"/>
      <c r="AH547" s="9"/>
    </row>
    <row r="548" spans="15:34" hidden="1" x14ac:dyDescent="0.25">
      <c r="O548" s="4" t="s">
        <v>977</v>
      </c>
      <c r="P548"/>
      <c r="AA548" s="19">
        <f t="shared" si="39"/>
        <v>43646</v>
      </c>
      <c r="AB548" s="20">
        <f t="shared" si="36"/>
        <v>1</v>
      </c>
      <c r="AC548" s="21">
        <f t="shared" si="37"/>
        <v>1</v>
      </c>
      <c r="AD548" s="22" t="str">
        <f t="shared" si="38"/>
        <v>NÃO ÚTIL</v>
      </c>
      <c r="AE548" s="25"/>
      <c r="AF548" s="9"/>
      <c r="AG548" s="9"/>
      <c r="AH548" s="9"/>
    </row>
    <row r="549" spans="15:34" hidden="1" x14ac:dyDescent="0.25">
      <c r="O549" s="4" t="s">
        <v>978</v>
      </c>
      <c r="P549"/>
      <c r="AA549" s="19">
        <f t="shared" si="39"/>
        <v>43647</v>
      </c>
      <c r="AB549" s="20">
        <f t="shared" si="36"/>
        <v>2</v>
      </c>
      <c r="AC549" s="21">
        <f t="shared" si="37"/>
        <v>2</v>
      </c>
      <c r="AD549" s="22" t="str">
        <f t="shared" si="38"/>
        <v>ÚTIL</v>
      </c>
      <c r="AE549" s="25"/>
      <c r="AF549" s="9"/>
      <c r="AG549" s="9"/>
      <c r="AH549" s="9"/>
    </row>
    <row r="550" spans="15:34" hidden="1" x14ac:dyDescent="0.25">
      <c r="O550" s="4" t="s">
        <v>979</v>
      </c>
      <c r="P550"/>
      <c r="AA550" s="19">
        <f t="shared" si="39"/>
        <v>43648</v>
      </c>
      <c r="AB550" s="20">
        <f t="shared" si="36"/>
        <v>3</v>
      </c>
      <c r="AC550" s="21">
        <f t="shared" si="37"/>
        <v>3</v>
      </c>
      <c r="AD550" s="22" t="str">
        <f t="shared" si="38"/>
        <v>ÚTIL</v>
      </c>
      <c r="AE550" s="25"/>
      <c r="AF550" s="9"/>
      <c r="AG550" s="9"/>
      <c r="AH550" s="9"/>
    </row>
    <row r="551" spans="15:34" hidden="1" x14ac:dyDescent="0.25">
      <c r="O551" s="4" t="s">
        <v>980</v>
      </c>
      <c r="P551"/>
      <c r="AA551" s="19">
        <f t="shared" si="39"/>
        <v>43649</v>
      </c>
      <c r="AB551" s="20">
        <f t="shared" si="36"/>
        <v>4</v>
      </c>
      <c r="AC551" s="21">
        <f t="shared" si="37"/>
        <v>4</v>
      </c>
      <c r="AD551" s="22" t="str">
        <f t="shared" si="38"/>
        <v>ÚTIL</v>
      </c>
      <c r="AE551" s="25"/>
      <c r="AF551" s="9"/>
      <c r="AG551" s="9"/>
      <c r="AH551" s="9"/>
    </row>
    <row r="552" spans="15:34" hidden="1" x14ac:dyDescent="0.25">
      <c r="O552" s="4" t="s">
        <v>981</v>
      </c>
      <c r="P552"/>
      <c r="AA552" s="19">
        <f t="shared" si="39"/>
        <v>43650</v>
      </c>
      <c r="AB552" s="20">
        <f t="shared" si="36"/>
        <v>5</v>
      </c>
      <c r="AC552" s="21">
        <f t="shared" si="37"/>
        <v>5</v>
      </c>
      <c r="AD552" s="22" t="str">
        <f t="shared" si="38"/>
        <v>ÚTIL</v>
      </c>
      <c r="AE552" s="25"/>
      <c r="AF552" s="9"/>
      <c r="AG552" s="9"/>
      <c r="AH552" s="9"/>
    </row>
    <row r="553" spans="15:34" hidden="1" x14ac:dyDescent="0.25">
      <c r="O553" s="4" t="s">
        <v>982</v>
      </c>
      <c r="P553"/>
      <c r="AA553" s="19">
        <f t="shared" si="39"/>
        <v>43651</v>
      </c>
      <c r="AB553" s="20">
        <f t="shared" si="36"/>
        <v>6</v>
      </c>
      <c r="AC553" s="21">
        <f t="shared" si="37"/>
        <v>6</v>
      </c>
      <c r="AD553" s="22" t="str">
        <f t="shared" si="38"/>
        <v>ÚTIL</v>
      </c>
      <c r="AE553" s="25"/>
      <c r="AF553" s="9"/>
      <c r="AG553" s="9"/>
      <c r="AH553" s="9"/>
    </row>
    <row r="554" spans="15:34" hidden="1" x14ac:dyDescent="0.25">
      <c r="O554" s="4" t="s">
        <v>983</v>
      </c>
      <c r="P554"/>
      <c r="AA554" s="19">
        <f t="shared" si="39"/>
        <v>43652</v>
      </c>
      <c r="AB554" s="20">
        <f t="shared" si="36"/>
        <v>7</v>
      </c>
      <c r="AC554" s="21">
        <f t="shared" si="37"/>
        <v>7</v>
      </c>
      <c r="AD554" s="22" t="str">
        <f t="shared" si="38"/>
        <v>NÃO ÚTIL</v>
      </c>
      <c r="AE554" s="25"/>
      <c r="AF554" s="9"/>
      <c r="AG554" s="9"/>
      <c r="AH554" s="9"/>
    </row>
    <row r="555" spans="15:34" hidden="1" x14ac:dyDescent="0.25">
      <c r="O555" s="4" t="s">
        <v>984</v>
      </c>
      <c r="P555"/>
      <c r="AA555" s="19">
        <f t="shared" si="39"/>
        <v>43653</v>
      </c>
      <c r="AB555" s="20">
        <f t="shared" si="36"/>
        <v>1</v>
      </c>
      <c r="AC555" s="21">
        <f t="shared" si="37"/>
        <v>1</v>
      </c>
      <c r="AD555" s="22" t="str">
        <f t="shared" si="38"/>
        <v>NÃO ÚTIL</v>
      </c>
      <c r="AE555" s="25"/>
      <c r="AF555" s="9"/>
      <c r="AG555" s="9"/>
      <c r="AH555" s="9"/>
    </row>
    <row r="556" spans="15:34" hidden="1" x14ac:dyDescent="0.25">
      <c r="O556" s="4" t="s">
        <v>985</v>
      </c>
      <c r="P556"/>
      <c r="AA556" s="19">
        <f t="shared" si="39"/>
        <v>43654</v>
      </c>
      <c r="AB556" s="20">
        <f t="shared" si="36"/>
        <v>2</v>
      </c>
      <c r="AC556" s="21">
        <f t="shared" si="37"/>
        <v>2</v>
      </c>
      <c r="AD556" s="22" t="str">
        <f t="shared" si="38"/>
        <v>ÚTIL</v>
      </c>
      <c r="AE556" s="25"/>
      <c r="AF556" s="9"/>
      <c r="AG556" s="9"/>
      <c r="AH556" s="9"/>
    </row>
    <row r="557" spans="15:34" hidden="1" x14ac:dyDescent="0.25">
      <c r="O557" s="4" t="s">
        <v>986</v>
      </c>
      <c r="P557"/>
      <c r="AA557" s="19">
        <f t="shared" si="39"/>
        <v>43655</v>
      </c>
      <c r="AB557" s="20">
        <f t="shared" si="36"/>
        <v>3</v>
      </c>
      <c r="AC557" s="21">
        <f t="shared" si="37"/>
        <v>3</v>
      </c>
      <c r="AD557" s="22" t="str">
        <f t="shared" si="38"/>
        <v>ÚTIL</v>
      </c>
      <c r="AE557" s="25"/>
      <c r="AF557" s="9"/>
      <c r="AG557" s="9"/>
      <c r="AH557" s="9"/>
    </row>
    <row r="558" spans="15:34" hidden="1" x14ac:dyDescent="0.25">
      <c r="O558" s="4" t="s">
        <v>987</v>
      </c>
      <c r="P558"/>
      <c r="AA558" s="19">
        <f t="shared" si="39"/>
        <v>43656</v>
      </c>
      <c r="AB558" s="20">
        <f t="shared" si="36"/>
        <v>4</v>
      </c>
      <c r="AC558" s="21">
        <f t="shared" si="37"/>
        <v>4</v>
      </c>
      <c r="AD558" s="22" t="str">
        <f t="shared" si="38"/>
        <v>ÚTIL</v>
      </c>
      <c r="AE558" s="25"/>
      <c r="AF558" s="9"/>
      <c r="AG558" s="9"/>
      <c r="AH558" s="9"/>
    </row>
    <row r="559" spans="15:34" hidden="1" x14ac:dyDescent="0.25">
      <c r="O559" s="4" t="s">
        <v>988</v>
      </c>
      <c r="P559"/>
      <c r="AA559" s="19">
        <f t="shared" si="39"/>
        <v>43657</v>
      </c>
      <c r="AB559" s="20">
        <f t="shared" si="36"/>
        <v>5</v>
      </c>
      <c r="AC559" s="21">
        <f t="shared" si="37"/>
        <v>5</v>
      </c>
      <c r="AD559" s="22" t="str">
        <f t="shared" si="38"/>
        <v>ÚTIL</v>
      </c>
      <c r="AE559" s="25"/>
      <c r="AF559" s="9"/>
      <c r="AG559" s="9"/>
      <c r="AH559" s="9"/>
    </row>
    <row r="560" spans="15:34" hidden="1" x14ac:dyDescent="0.25">
      <c r="O560" s="4" t="s">
        <v>989</v>
      </c>
      <c r="P560"/>
      <c r="AA560" s="19">
        <f t="shared" si="39"/>
        <v>43658</v>
      </c>
      <c r="AB560" s="20">
        <f t="shared" si="36"/>
        <v>6</v>
      </c>
      <c r="AC560" s="21">
        <f t="shared" si="37"/>
        <v>6</v>
      </c>
      <c r="AD560" s="22" t="str">
        <f t="shared" si="38"/>
        <v>ÚTIL</v>
      </c>
      <c r="AE560" s="25"/>
      <c r="AF560" s="9"/>
      <c r="AG560" s="9"/>
      <c r="AH560" s="9"/>
    </row>
    <row r="561" spans="15:34" hidden="1" x14ac:dyDescent="0.25">
      <c r="O561" s="4" t="s">
        <v>990</v>
      </c>
      <c r="P561"/>
      <c r="AA561" s="19">
        <f t="shared" si="39"/>
        <v>43659</v>
      </c>
      <c r="AB561" s="20">
        <f t="shared" si="36"/>
        <v>7</v>
      </c>
      <c r="AC561" s="21">
        <f t="shared" si="37"/>
        <v>7</v>
      </c>
      <c r="AD561" s="22" t="str">
        <f t="shared" si="38"/>
        <v>NÃO ÚTIL</v>
      </c>
      <c r="AE561" s="25"/>
      <c r="AF561" s="9"/>
      <c r="AG561" s="9"/>
      <c r="AH561" s="9"/>
    </row>
    <row r="562" spans="15:34" hidden="1" x14ac:dyDescent="0.25">
      <c r="O562" s="4" t="s">
        <v>991</v>
      </c>
      <c r="P562"/>
      <c r="AA562" s="19">
        <f t="shared" si="39"/>
        <v>43660</v>
      </c>
      <c r="AB562" s="20">
        <f t="shared" si="36"/>
        <v>1</v>
      </c>
      <c r="AC562" s="21">
        <f t="shared" si="37"/>
        <v>1</v>
      </c>
      <c r="AD562" s="22" t="str">
        <f t="shared" si="38"/>
        <v>NÃO ÚTIL</v>
      </c>
      <c r="AE562" s="25"/>
      <c r="AF562" s="9"/>
      <c r="AG562" s="9"/>
      <c r="AH562" s="9"/>
    </row>
    <row r="563" spans="15:34" hidden="1" x14ac:dyDescent="0.25">
      <c r="O563" s="4" t="s">
        <v>992</v>
      </c>
      <c r="P563"/>
      <c r="AA563" s="19">
        <f t="shared" si="39"/>
        <v>43661</v>
      </c>
      <c r="AB563" s="20">
        <f t="shared" si="36"/>
        <v>2</v>
      </c>
      <c r="AC563" s="21">
        <f t="shared" si="37"/>
        <v>2</v>
      </c>
      <c r="AD563" s="22" t="str">
        <f t="shared" si="38"/>
        <v>ÚTIL</v>
      </c>
      <c r="AE563" s="25"/>
      <c r="AF563" s="9"/>
      <c r="AG563" s="9"/>
      <c r="AH563" s="9"/>
    </row>
    <row r="564" spans="15:34" hidden="1" x14ac:dyDescent="0.25">
      <c r="O564" s="4" t="s">
        <v>993</v>
      </c>
      <c r="P564"/>
      <c r="AA564" s="19">
        <f t="shared" si="39"/>
        <v>43662</v>
      </c>
      <c r="AB564" s="20">
        <f t="shared" si="36"/>
        <v>3</v>
      </c>
      <c r="AC564" s="21">
        <f t="shared" si="37"/>
        <v>3</v>
      </c>
      <c r="AD564" s="22" t="str">
        <f t="shared" si="38"/>
        <v>ÚTIL</v>
      </c>
      <c r="AE564" s="25"/>
      <c r="AF564" s="9"/>
      <c r="AG564" s="9"/>
      <c r="AH564" s="9"/>
    </row>
    <row r="565" spans="15:34" hidden="1" x14ac:dyDescent="0.25">
      <c r="O565" s="4" t="s">
        <v>994</v>
      </c>
      <c r="P565"/>
      <c r="AA565" s="19">
        <f t="shared" si="39"/>
        <v>43663</v>
      </c>
      <c r="AB565" s="20">
        <f t="shared" si="36"/>
        <v>4</v>
      </c>
      <c r="AC565" s="21">
        <f t="shared" si="37"/>
        <v>4</v>
      </c>
      <c r="AD565" s="22" t="str">
        <f t="shared" si="38"/>
        <v>ÚTIL</v>
      </c>
      <c r="AE565" s="25"/>
      <c r="AF565" s="9"/>
      <c r="AG565" s="9"/>
      <c r="AH565" s="9"/>
    </row>
    <row r="566" spans="15:34" hidden="1" x14ac:dyDescent="0.25">
      <c r="O566" s="4" t="s">
        <v>995</v>
      </c>
      <c r="P566"/>
      <c r="AA566" s="19">
        <f t="shared" si="39"/>
        <v>43664</v>
      </c>
      <c r="AB566" s="20">
        <f t="shared" si="36"/>
        <v>5</v>
      </c>
      <c r="AC566" s="21">
        <f t="shared" si="37"/>
        <v>5</v>
      </c>
      <c r="AD566" s="22" t="str">
        <f t="shared" si="38"/>
        <v>ÚTIL</v>
      </c>
      <c r="AE566" s="25"/>
      <c r="AF566" s="9"/>
      <c r="AG566" s="9"/>
      <c r="AH566" s="9"/>
    </row>
    <row r="567" spans="15:34" hidden="1" x14ac:dyDescent="0.25">
      <c r="O567" s="4" t="s">
        <v>996</v>
      </c>
      <c r="P567"/>
      <c r="AA567" s="19">
        <f t="shared" si="39"/>
        <v>43665</v>
      </c>
      <c r="AB567" s="20">
        <f t="shared" si="36"/>
        <v>6</v>
      </c>
      <c r="AC567" s="21">
        <f t="shared" si="37"/>
        <v>6</v>
      </c>
      <c r="AD567" s="22" t="str">
        <f t="shared" si="38"/>
        <v>ÚTIL</v>
      </c>
      <c r="AE567" s="25"/>
      <c r="AF567" s="9"/>
      <c r="AG567" s="9"/>
      <c r="AH567" s="9"/>
    </row>
    <row r="568" spans="15:34" hidden="1" x14ac:dyDescent="0.25">
      <c r="O568" s="4" t="s">
        <v>997</v>
      </c>
      <c r="P568"/>
      <c r="AA568" s="19">
        <f t="shared" si="39"/>
        <v>43666</v>
      </c>
      <c r="AB568" s="20">
        <f t="shared" si="36"/>
        <v>7</v>
      </c>
      <c r="AC568" s="21">
        <f t="shared" si="37"/>
        <v>7</v>
      </c>
      <c r="AD568" s="22" t="str">
        <f t="shared" si="38"/>
        <v>NÃO ÚTIL</v>
      </c>
      <c r="AE568" s="25"/>
      <c r="AF568" s="9"/>
      <c r="AG568" s="9"/>
      <c r="AH568" s="9"/>
    </row>
    <row r="569" spans="15:34" hidden="1" x14ac:dyDescent="0.25">
      <c r="O569" s="4" t="s">
        <v>998</v>
      </c>
      <c r="P569"/>
      <c r="AA569" s="19">
        <f t="shared" si="39"/>
        <v>43667</v>
      </c>
      <c r="AB569" s="20">
        <f t="shared" si="36"/>
        <v>1</v>
      </c>
      <c r="AC569" s="21">
        <f t="shared" si="37"/>
        <v>1</v>
      </c>
      <c r="AD569" s="22" t="str">
        <f t="shared" si="38"/>
        <v>NÃO ÚTIL</v>
      </c>
      <c r="AE569" s="25"/>
      <c r="AF569" s="9"/>
      <c r="AG569" s="9"/>
      <c r="AH569" s="9"/>
    </row>
    <row r="570" spans="15:34" hidden="1" x14ac:dyDescent="0.25">
      <c r="O570" s="4" t="s">
        <v>999</v>
      </c>
      <c r="P570"/>
      <c r="AA570" s="19">
        <f t="shared" si="39"/>
        <v>43668</v>
      </c>
      <c r="AB570" s="20">
        <f t="shared" si="36"/>
        <v>2</v>
      </c>
      <c r="AC570" s="21">
        <f t="shared" si="37"/>
        <v>2</v>
      </c>
      <c r="AD570" s="22" t="str">
        <f t="shared" si="38"/>
        <v>ÚTIL</v>
      </c>
      <c r="AE570" s="25"/>
      <c r="AF570" s="9"/>
      <c r="AG570" s="9"/>
      <c r="AH570" s="9"/>
    </row>
    <row r="571" spans="15:34" hidden="1" x14ac:dyDescent="0.25">
      <c r="O571" s="4" t="s">
        <v>1000</v>
      </c>
      <c r="P571"/>
      <c r="AA571" s="19">
        <f t="shared" si="39"/>
        <v>43669</v>
      </c>
      <c r="AB571" s="20">
        <f t="shared" si="36"/>
        <v>3</v>
      </c>
      <c r="AC571" s="21">
        <f t="shared" si="37"/>
        <v>3</v>
      </c>
      <c r="AD571" s="22" t="str">
        <f t="shared" si="38"/>
        <v>ÚTIL</v>
      </c>
      <c r="AE571" s="25"/>
      <c r="AF571" s="9"/>
      <c r="AG571" s="9"/>
      <c r="AH571" s="9"/>
    </row>
    <row r="572" spans="15:34" hidden="1" x14ac:dyDescent="0.25">
      <c r="O572" s="4" t="s">
        <v>1001</v>
      </c>
      <c r="P572"/>
      <c r="AA572" s="19">
        <f t="shared" si="39"/>
        <v>43670</v>
      </c>
      <c r="AB572" s="20">
        <f t="shared" si="36"/>
        <v>4</v>
      </c>
      <c r="AC572" s="21">
        <f t="shared" si="37"/>
        <v>4</v>
      </c>
      <c r="AD572" s="22" t="str">
        <f t="shared" si="38"/>
        <v>ÚTIL</v>
      </c>
      <c r="AE572" s="25"/>
      <c r="AF572" s="9"/>
      <c r="AG572" s="9"/>
      <c r="AH572" s="9"/>
    </row>
    <row r="573" spans="15:34" hidden="1" x14ac:dyDescent="0.25">
      <c r="O573" s="4" t="s">
        <v>1002</v>
      </c>
      <c r="P573"/>
      <c r="AA573" s="19">
        <f t="shared" si="39"/>
        <v>43671</v>
      </c>
      <c r="AB573" s="20">
        <f t="shared" si="36"/>
        <v>5</v>
      </c>
      <c r="AC573" s="21">
        <f t="shared" si="37"/>
        <v>5</v>
      </c>
      <c r="AD573" s="22" t="str">
        <f t="shared" si="38"/>
        <v>ÚTIL</v>
      </c>
      <c r="AE573" s="25"/>
      <c r="AF573" s="9"/>
      <c r="AG573" s="9"/>
      <c r="AH573" s="9"/>
    </row>
    <row r="574" spans="15:34" hidden="1" x14ac:dyDescent="0.25">
      <c r="O574" s="4" t="s">
        <v>1003</v>
      </c>
      <c r="P574"/>
      <c r="AA574" s="19">
        <f t="shared" si="39"/>
        <v>43672</v>
      </c>
      <c r="AB574" s="20">
        <f t="shared" si="36"/>
        <v>6</v>
      </c>
      <c r="AC574" s="21">
        <f t="shared" si="37"/>
        <v>6</v>
      </c>
      <c r="AD574" s="22" t="str">
        <f t="shared" si="38"/>
        <v>ÚTIL</v>
      </c>
      <c r="AE574" s="25"/>
      <c r="AF574" s="9"/>
      <c r="AG574" s="9"/>
      <c r="AH574" s="9"/>
    </row>
    <row r="575" spans="15:34" hidden="1" x14ac:dyDescent="0.25">
      <c r="O575" s="4" t="s">
        <v>1004</v>
      </c>
      <c r="P575"/>
      <c r="AA575" s="19">
        <f t="shared" si="39"/>
        <v>43673</v>
      </c>
      <c r="AB575" s="20">
        <f t="shared" si="36"/>
        <v>7</v>
      </c>
      <c r="AC575" s="21">
        <f t="shared" si="37"/>
        <v>7</v>
      </c>
      <c r="AD575" s="22" t="str">
        <f t="shared" si="38"/>
        <v>NÃO ÚTIL</v>
      </c>
      <c r="AE575" s="25"/>
      <c r="AF575" s="9"/>
      <c r="AG575" s="9"/>
      <c r="AH575" s="9"/>
    </row>
    <row r="576" spans="15:34" hidden="1" x14ac:dyDescent="0.25">
      <c r="O576" s="4" t="s">
        <v>1005</v>
      </c>
      <c r="P576"/>
      <c r="AA576" s="19">
        <f t="shared" si="39"/>
        <v>43674</v>
      </c>
      <c r="AB576" s="20">
        <f t="shared" si="36"/>
        <v>1</v>
      </c>
      <c r="AC576" s="21">
        <f t="shared" si="37"/>
        <v>1</v>
      </c>
      <c r="AD576" s="22" t="str">
        <f t="shared" si="38"/>
        <v>NÃO ÚTIL</v>
      </c>
      <c r="AE576" s="25"/>
      <c r="AF576" s="9"/>
      <c r="AG576" s="9"/>
      <c r="AH576" s="9"/>
    </row>
    <row r="577" spans="15:34" hidden="1" x14ac:dyDescent="0.25">
      <c r="O577" s="4" t="s">
        <v>1006</v>
      </c>
      <c r="P577"/>
      <c r="AA577" s="19">
        <f t="shared" si="39"/>
        <v>43675</v>
      </c>
      <c r="AB577" s="20">
        <f t="shared" si="36"/>
        <v>2</v>
      </c>
      <c r="AC577" s="21">
        <f t="shared" si="37"/>
        <v>2</v>
      </c>
      <c r="AD577" s="22" t="str">
        <f t="shared" si="38"/>
        <v>ÚTIL</v>
      </c>
      <c r="AE577" s="25"/>
      <c r="AF577" s="9"/>
      <c r="AG577" s="9"/>
      <c r="AH577" s="9"/>
    </row>
    <row r="578" spans="15:34" hidden="1" x14ac:dyDescent="0.25">
      <c r="O578" s="4" t="s">
        <v>1007</v>
      </c>
      <c r="P578"/>
      <c r="AA578" s="19">
        <f t="shared" si="39"/>
        <v>43676</v>
      </c>
      <c r="AB578" s="20">
        <f t="shared" si="36"/>
        <v>3</v>
      </c>
      <c r="AC578" s="21">
        <f t="shared" si="37"/>
        <v>3</v>
      </c>
      <c r="AD578" s="22" t="str">
        <f t="shared" si="38"/>
        <v>ÚTIL</v>
      </c>
      <c r="AE578" s="25"/>
      <c r="AF578" s="9"/>
      <c r="AG578" s="9"/>
      <c r="AH578" s="9"/>
    </row>
    <row r="579" spans="15:34" hidden="1" x14ac:dyDescent="0.25">
      <c r="O579" s="4" t="s">
        <v>1008</v>
      </c>
      <c r="P579"/>
      <c r="AA579" s="19">
        <f t="shared" si="39"/>
        <v>43677</v>
      </c>
      <c r="AB579" s="20">
        <f t="shared" ref="AB579:AB642" si="40">AC579</f>
        <v>4</v>
      </c>
      <c r="AC579" s="21">
        <f t="shared" ref="AC579:AC642" si="41">WEEKDAY(AA579)</f>
        <v>4</v>
      </c>
      <c r="AD579" s="22" t="str">
        <f t="shared" ref="AD579:AD642" si="42">IF(WORKDAY(AA579-1,1,$AE$3:$AE$14)=AA579,"ÚTIL","NÃO ÚTIL")</f>
        <v>ÚTIL</v>
      </c>
      <c r="AE579" s="25"/>
      <c r="AF579" s="9"/>
      <c r="AG579" s="9"/>
      <c r="AH579" s="9"/>
    </row>
    <row r="580" spans="15:34" hidden="1" x14ac:dyDescent="0.25">
      <c r="O580" s="4" t="s">
        <v>1009</v>
      </c>
      <c r="P580"/>
      <c r="AA580" s="19">
        <f t="shared" ref="AA580:AA643" si="43">AA579+1</f>
        <v>43678</v>
      </c>
      <c r="AB580" s="20">
        <f t="shared" si="40"/>
        <v>5</v>
      </c>
      <c r="AC580" s="21">
        <f t="shared" si="41"/>
        <v>5</v>
      </c>
      <c r="AD580" s="22" t="str">
        <f t="shared" si="42"/>
        <v>ÚTIL</v>
      </c>
      <c r="AE580" s="25"/>
      <c r="AF580" s="9"/>
      <c r="AG580" s="9"/>
      <c r="AH580" s="9"/>
    </row>
    <row r="581" spans="15:34" hidden="1" x14ac:dyDescent="0.25">
      <c r="O581" s="4" t="s">
        <v>1010</v>
      </c>
      <c r="P581"/>
      <c r="AA581" s="19">
        <f t="shared" si="43"/>
        <v>43679</v>
      </c>
      <c r="AB581" s="20">
        <f t="shared" si="40"/>
        <v>6</v>
      </c>
      <c r="AC581" s="21">
        <f t="shared" si="41"/>
        <v>6</v>
      </c>
      <c r="AD581" s="22" t="str">
        <f t="shared" si="42"/>
        <v>ÚTIL</v>
      </c>
      <c r="AE581" s="25"/>
      <c r="AF581" s="9"/>
      <c r="AG581" s="9"/>
      <c r="AH581" s="9"/>
    </row>
    <row r="582" spans="15:34" hidden="1" x14ac:dyDescent="0.25">
      <c r="O582" s="4" t="s">
        <v>1011</v>
      </c>
      <c r="P582"/>
      <c r="AA582" s="19">
        <f t="shared" si="43"/>
        <v>43680</v>
      </c>
      <c r="AB582" s="20">
        <f t="shared" si="40"/>
        <v>7</v>
      </c>
      <c r="AC582" s="21">
        <f t="shared" si="41"/>
        <v>7</v>
      </c>
      <c r="AD582" s="22" t="str">
        <f t="shared" si="42"/>
        <v>NÃO ÚTIL</v>
      </c>
      <c r="AE582" s="25"/>
      <c r="AF582" s="9"/>
      <c r="AG582" s="9"/>
      <c r="AH582" s="9"/>
    </row>
    <row r="583" spans="15:34" hidden="1" x14ac:dyDescent="0.25">
      <c r="O583" s="4" t="s">
        <v>1012</v>
      </c>
      <c r="P583"/>
      <c r="AA583" s="19">
        <f t="shared" si="43"/>
        <v>43681</v>
      </c>
      <c r="AB583" s="20">
        <f t="shared" si="40"/>
        <v>1</v>
      </c>
      <c r="AC583" s="21">
        <f t="shared" si="41"/>
        <v>1</v>
      </c>
      <c r="AD583" s="22" t="str">
        <f t="shared" si="42"/>
        <v>NÃO ÚTIL</v>
      </c>
      <c r="AE583" s="25"/>
      <c r="AF583" s="9"/>
      <c r="AG583" s="9"/>
      <c r="AH583" s="9"/>
    </row>
    <row r="584" spans="15:34" hidden="1" x14ac:dyDescent="0.25">
      <c r="O584" s="4" t="s">
        <v>1013</v>
      </c>
      <c r="P584"/>
      <c r="AA584" s="19">
        <f t="shared" si="43"/>
        <v>43682</v>
      </c>
      <c r="AB584" s="20">
        <f t="shared" si="40"/>
        <v>2</v>
      </c>
      <c r="AC584" s="21">
        <f t="shared" si="41"/>
        <v>2</v>
      </c>
      <c r="AD584" s="22" t="str">
        <f t="shared" si="42"/>
        <v>ÚTIL</v>
      </c>
      <c r="AE584" s="25"/>
      <c r="AF584" s="9"/>
      <c r="AG584" s="9"/>
      <c r="AH584" s="9"/>
    </row>
    <row r="585" spans="15:34" hidden="1" x14ac:dyDescent="0.25">
      <c r="O585" s="4" t="s">
        <v>1014</v>
      </c>
      <c r="P585"/>
      <c r="AA585" s="19">
        <f t="shared" si="43"/>
        <v>43683</v>
      </c>
      <c r="AB585" s="20">
        <f t="shared" si="40"/>
        <v>3</v>
      </c>
      <c r="AC585" s="21">
        <f t="shared" si="41"/>
        <v>3</v>
      </c>
      <c r="AD585" s="22" t="str">
        <f t="shared" si="42"/>
        <v>ÚTIL</v>
      </c>
      <c r="AE585" s="25"/>
      <c r="AF585" s="9"/>
      <c r="AG585" s="9"/>
      <c r="AH585" s="9"/>
    </row>
    <row r="586" spans="15:34" hidden="1" x14ac:dyDescent="0.25">
      <c r="O586" s="4" t="s">
        <v>1015</v>
      </c>
      <c r="P586"/>
      <c r="AA586" s="19">
        <f t="shared" si="43"/>
        <v>43684</v>
      </c>
      <c r="AB586" s="20">
        <f t="shared" si="40"/>
        <v>4</v>
      </c>
      <c r="AC586" s="21">
        <f t="shared" si="41"/>
        <v>4</v>
      </c>
      <c r="AD586" s="22" t="str">
        <f t="shared" si="42"/>
        <v>ÚTIL</v>
      </c>
      <c r="AE586" s="25"/>
      <c r="AF586" s="9"/>
      <c r="AG586" s="9"/>
      <c r="AH586" s="9"/>
    </row>
    <row r="587" spans="15:34" hidden="1" x14ac:dyDescent="0.25">
      <c r="O587" s="4" t="s">
        <v>1016</v>
      </c>
      <c r="P587"/>
      <c r="AA587" s="19">
        <f t="shared" si="43"/>
        <v>43685</v>
      </c>
      <c r="AB587" s="20">
        <f t="shared" si="40"/>
        <v>5</v>
      </c>
      <c r="AC587" s="21">
        <f t="shared" si="41"/>
        <v>5</v>
      </c>
      <c r="AD587" s="22" t="str">
        <f t="shared" si="42"/>
        <v>ÚTIL</v>
      </c>
      <c r="AE587" s="25"/>
      <c r="AF587" s="9"/>
      <c r="AG587" s="9"/>
      <c r="AH587" s="9"/>
    </row>
    <row r="588" spans="15:34" hidden="1" x14ac:dyDescent="0.25">
      <c r="O588" s="4" t="s">
        <v>1017</v>
      </c>
      <c r="P588"/>
      <c r="AA588" s="19">
        <f t="shared" si="43"/>
        <v>43686</v>
      </c>
      <c r="AB588" s="20">
        <f t="shared" si="40"/>
        <v>6</v>
      </c>
      <c r="AC588" s="21">
        <f t="shared" si="41"/>
        <v>6</v>
      </c>
      <c r="AD588" s="22" t="str">
        <f t="shared" si="42"/>
        <v>ÚTIL</v>
      </c>
      <c r="AE588" s="25"/>
      <c r="AF588" s="9"/>
      <c r="AG588" s="9"/>
      <c r="AH588" s="9"/>
    </row>
    <row r="589" spans="15:34" hidden="1" x14ac:dyDescent="0.25">
      <c r="O589" s="4" t="s">
        <v>1018</v>
      </c>
      <c r="P589"/>
      <c r="AA589" s="19">
        <f t="shared" si="43"/>
        <v>43687</v>
      </c>
      <c r="AB589" s="20">
        <f t="shared" si="40"/>
        <v>7</v>
      </c>
      <c r="AC589" s="21">
        <f t="shared" si="41"/>
        <v>7</v>
      </c>
      <c r="AD589" s="22" t="str">
        <f t="shared" si="42"/>
        <v>NÃO ÚTIL</v>
      </c>
      <c r="AE589" s="25"/>
      <c r="AF589" s="9"/>
      <c r="AG589" s="9"/>
      <c r="AH589" s="9"/>
    </row>
    <row r="590" spans="15:34" hidden="1" x14ac:dyDescent="0.25">
      <c r="O590" s="4" t="s">
        <v>1019</v>
      </c>
      <c r="P590"/>
      <c r="AA590" s="19">
        <f t="shared" si="43"/>
        <v>43688</v>
      </c>
      <c r="AB590" s="20">
        <f t="shared" si="40"/>
        <v>1</v>
      </c>
      <c r="AC590" s="21">
        <f t="shared" si="41"/>
        <v>1</v>
      </c>
      <c r="AD590" s="22" t="str">
        <f t="shared" si="42"/>
        <v>NÃO ÚTIL</v>
      </c>
      <c r="AE590" s="25"/>
      <c r="AF590" s="9"/>
      <c r="AG590" s="9"/>
      <c r="AH590" s="9"/>
    </row>
    <row r="591" spans="15:34" hidden="1" x14ac:dyDescent="0.25">
      <c r="O591" s="4" t="s">
        <v>1020</v>
      </c>
      <c r="P591"/>
      <c r="AA591" s="19">
        <f t="shared" si="43"/>
        <v>43689</v>
      </c>
      <c r="AB591" s="20">
        <f t="shared" si="40"/>
        <v>2</v>
      </c>
      <c r="AC591" s="21">
        <f t="shared" si="41"/>
        <v>2</v>
      </c>
      <c r="AD591" s="22" t="str">
        <f t="shared" si="42"/>
        <v>ÚTIL</v>
      </c>
      <c r="AE591" s="25"/>
      <c r="AF591" s="9"/>
      <c r="AG591" s="9"/>
      <c r="AH591" s="9"/>
    </row>
    <row r="592" spans="15:34" hidden="1" x14ac:dyDescent="0.25">
      <c r="O592" s="4" t="s">
        <v>1021</v>
      </c>
      <c r="P592"/>
      <c r="AA592" s="19">
        <f t="shared" si="43"/>
        <v>43690</v>
      </c>
      <c r="AB592" s="20">
        <f t="shared" si="40"/>
        <v>3</v>
      </c>
      <c r="AC592" s="21">
        <f t="shared" si="41"/>
        <v>3</v>
      </c>
      <c r="AD592" s="22" t="str">
        <f t="shared" si="42"/>
        <v>ÚTIL</v>
      </c>
      <c r="AE592" s="25"/>
      <c r="AF592" s="9"/>
      <c r="AG592" s="9"/>
      <c r="AH592" s="9"/>
    </row>
    <row r="593" spans="15:34" hidden="1" x14ac:dyDescent="0.25">
      <c r="O593" s="4" t="s">
        <v>1022</v>
      </c>
      <c r="P593"/>
      <c r="AA593" s="19">
        <f t="shared" si="43"/>
        <v>43691</v>
      </c>
      <c r="AB593" s="20">
        <f t="shared" si="40"/>
        <v>4</v>
      </c>
      <c r="AC593" s="21">
        <f t="shared" si="41"/>
        <v>4</v>
      </c>
      <c r="AD593" s="22" t="str">
        <f t="shared" si="42"/>
        <v>ÚTIL</v>
      </c>
      <c r="AE593" s="25"/>
      <c r="AF593" s="9"/>
      <c r="AG593" s="9"/>
      <c r="AH593" s="9"/>
    </row>
    <row r="594" spans="15:34" hidden="1" x14ac:dyDescent="0.25">
      <c r="O594" s="4" t="s">
        <v>1023</v>
      </c>
      <c r="P594"/>
      <c r="AA594" s="19">
        <f t="shared" si="43"/>
        <v>43692</v>
      </c>
      <c r="AB594" s="20">
        <f t="shared" si="40"/>
        <v>5</v>
      </c>
      <c r="AC594" s="21">
        <f t="shared" si="41"/>
        <v>5</v>
      </c>
      <c r="AD594" s="22" t="str">
        <f t="shared" si="42"/>
        <v>ÚTIL</v>
      </c>
      <c r="AE594" s="25"/>
      <c r="AF594" s="9"/>
      <c r="AG594" s="9"/>
      <c r="AH594" s="9"/>
    </row>
    <row r="595" spans="15:34" hidden="1" x14ac:dyDescent="0.25">
      <c r="O595" s="4" t="s">
        <v>1024</v>
      </c>
      <c r="P595"/>
      <c r="AA595" s="19">
        <f t="shared" si="43"/>
        <v>43693</v>
      </c>
      <c r="AB595" s="20">
        <f t="shared" si="40"/>
        <v>6</v>
      </c>
      <c r="AC595" s="21">
        <f t="shared" si="41"/>
        <v>6</v>
      </c>
      <c r="AD595" s="22" t="str">
        <f t="shared" si="42"/>
        <v>ÚTIL</v>
      </c>
      <c r="AE595" s="25"/>
      <c r="AF595" s="9"/>
      <c r="AG595" s="9"/>
      <c r="AH595" s="9"/>
    </row>
    <row r="596" spans="15:34" hidden="1" x14ac:dyDescent="0.25">
      <c r="O596" s="4" t="s">
        <v>1025</v>
      </c>
      <c r="P596"/>
      <c r="AA596" s="19">
        <f t="shared" si="43"/>
        <v>43694</v>
      </c>
      <c r="AB596" s="20">
        <f t="shared" si="40"/>
        <v>7</v>
      </c>
      <c r="AC596" s="21">
        <f t="shared" si="41"/>
        <v>7</v>
      </c>
      <c r="AD596" s="22" t="str">
        <f t="shared" si="42"/>
        <v>NÃO ÚTIL</v>
      </c>
      <c r="AE596" s="25"/>
      <c r="AF596" s="9"/>
      <c r="AG596" s="9"/>
      <c r="AH596" s="9"/>
    </row>
    <row r="597" spans="15:34" hidden="1" x14ac:dyDescent="0.25">
      <c r="O597" s="4" t="s">
        <v>1026</v>
      </c>
      <c r="P597"/>
      <c r="AA597" s="19">
        <f t="shared" si="43"/>
        <v>43695</v>
      </c>
      <c r="AB597" s="20">
        <f t="shared" si="40"/>
        <v>1</v>
      </c>
      <c r="AC597" s="21">
        <f t="shared" si="41"/>
        <v>1</v>
      </c>
      <c r="AD597" s="22" t="str">
        <f t="shared" si="42"/>
        <v>NÃO ÚTIL</v>
      </c>
      <c r="AE597" s="25"/>
      <c r="AF597" s="9"/>
      <c r="AG597" s="9"/>
      <c r="AH597" s="9"/>
    </row>
    <row r="598" spans="15:34" hidden="1" x14ac:dyDescent="0.25">
      <c r="O598" s="4" t="s">
        <v>1027</v>
      </c>
      <c r="P598"/>
      <c r="AA598" s="19">
        <f t="shared" si="43"/>
        <v>43696</v>
      </c>
      <c r="AB598" s="20">
        <f t="shared" si="40"/>
        <v>2</v>
      </c>
      <c r="AC598" s="21">
        <f t="shared" si="41"/>
        <v>2</v>
      </c>
      <c r="AD598" s="22" t="str">
        <f t="shared" si="42"/>
        <v>ÚTIL</v>
      </c>
      <c r="AE598" s="25"/>
      <c r="AF598" s="9"/>
      <c r="AG598" s="9"/>
      <c r="AH598" s="9"/>
    </row>
    <row r="599" spans="15:34" hidden="1" x14ac:dyDescent="0.25">
      <c r="O599" s="4" t="s">
        <v>1028</v>
      </c>
      <c r="P599"/>
      <c r="AA599" s="19">
        <f t="shared" si="43"/>
        <v>43697</v>
      </c>
      <c r="AB599" s="20">
        <f t="shared" si="40"/>
        <v>3</v>
      </c>
      <c r="AC599" s="21">
        <f t="shared" si="41"/>
        <v>3</v>
      </c>
      <c r="AD599" s="22" t="str">
        <f t="shared" si="42"/>
        <v>ÚTIL</v>
      </c>
      <c r="AE599" s="25"/>
      <c r="AF599" s="9"/>
      <c r="AG599" s="9"/>
      <c r="AH599" s="9"/>
    </row>
    <row r="600" spans="15:34" hidden="1" x14ac:dyDescent="0.25">
      <c r="O600" s="4" t="s">
        <v>1029</v>
      </c>
      <c r="P600"/>
      <c r="AA600" s="19">
        <f t="shared" si="43"/>
        <v>43698</v>
      </c>
      <c r="AB600" s="20">
        <f t="shared" si="40"/>
        <v>4</v>
      </c>
      <c r="AC600" s="21">
        <f t="shared" si="41"/>
        <v>4</v>
      </c>
      <c r="AD600" s="22" t="str">
        <f t="shared" si="42"/>
        <v>ÚTIL</v>
      </c>
      <c r="AE600" s="25"/>
      <c r="AF600" s="9"/>
      <c r="AG600" s="9"/>
      <c r="AH600" s="9"/>
    </row>
    <row r="601" spans="15:34" hidden="1" x14ac:dyDescent="0.25">
      <c r="O601" s="4" t="s">
        <v>1030</v>
      </c>
      <c r="P601"/>
      <c r="AA601" s="19">
        <f t="shared" si="43"/>
        <v>43699</v>
      </c>
      <c r="AB601" s="20">
        <f t="shared" si="40"/>
        <v>5</v>
      </c>
      <c r="AC601" s="21">
        <f t="shared" si="41"/>
        <v>5</v>
      </c>
      <c r="AD601" s="22" t="str">
        <f t="shared" si="42"/>
        <v>ÚTIL</v>
      </c>
      <c r="AE601" s="25"/>
      <c r="AF601" s="9"/>
      <c r="AG601" s="9"/>
      <c r="AH601" s="9"/>
    </row>
    <row r="602" spans="15:34" hidden="1" x14ac:dyDescent="0.25">
      <c r="O602" s="4" t="s">
        <v>1031</v>
      </c>
      <c r="P602"/>
      <c r="AA602" s="19">
        <f t="shared" si="43"/>
        <v>43700</v>
      </c>
      <c r="AB602" s="20">
        <f t="shared" si="40"/>
        <v>6</v>
      </c>
      <c r="AC602" s="21">
        <f t="shared" si="41"/>
        <v>6</v>
      </c>
      <c r="AD602" s="22" t="str">
        <f t="shared" si="42"/>
        <v>ÚTIL</v>
      </c>
      <c r="AE602" s="25"/>
      <c r="AF602" s="9"/>
      <c r="AG602" s="9"/>
      <c r="AH602" s="9"/>
    </row>
    <row r="603" spans="15:34" hidden="1" x14ac:dyDescent="0.25">
      <c r="O603" s="4" t="s">
        <v>1032</v>
      </c>
      <c r="P603"/>
      <c r="AA603" s="19">
        <f t="shared" si="43"/>
        <v>43701</v>
      </c>
      <c r="AB603" s="20">
        <f t="shared" si="40"/>
        <v>7</v>
      </c>
      <c r="AC603" s="21">
        <f t="shared" si="41"/>
        <v>7</v>
      </c>
      <c r="AD603" s="22" t="str">
        <f t="shared" si="42"/>
        <v>NÃO ÚTIL</v>
      </c>
      <c r="AE603" s="25"/>
      <c r="AF603" s="9"/>
      <c r="AG603" s="9"/>
      <c r="AH603" s="9"/>
    </row>
    <row r="604" spans="15:34" hidden="1" x14ac:dyDescent="0.25">
      <c r="O604" s="4" t="s">
        <v>1033</v>
      </c>
      <c r="P604"/>
      <c r="AA604" s="19">
        <f t="shared" si="43"/>
        <v>43702</v>
      </c>
      <c r="AB604" s="20">
        <f t="shared" si="40"/>
        <v>1</v>
      </c>
      <c r="AC604" s="21">
        <f t="shared" si="41"/>
        <v>1</v>
      </c>
      <c r="AD604" s="22" t="str">
        <f t="shared" si="42"/>
        <v>NÃO ÚTIL</v>
      </c>
      <c r="AE604" s="25"/>
      <c r="AF604" s="9"/>
      <c r="AG604" s="9"/>
      <c r="AH604" s="9"/>
    </row>
    <row r="605" spans="15:34" hidden="1" x14ac:dyDescent="0.25">
      <c r="O605" s="4" t="s">
        <v>1034</v>
      </c>
      <c r="P605"/>
      <c r="AA605" s="19">
        <f t="shared" si="43"/>
        <v>43703</v>
      </c>
      <c r="AB605" s="20">
        <f t="shared" si="40"/>
        <v>2</v>
      </c>
      <c r="AC605" s="21">
        <f t="shared" si="41"/>
        <v>2</v>
      </c>
      <c r="AD605" s="22" t="str">
        <f t="shared" si="42"/>
        <v>ÚTIL</v>
      </c>
      <c r="AE605" s="25"/>
      <c r="AF605" s="9"/>
      <c r="AG605" s="9"/>
      <c r="AH605" s="9"/>
    </row>
    <row r="606" spans="15:34" hidden="1" x14ac:dyDescent="0.25">
      <c r="O606" s="4" t="s">
        <v>1035</v>
      </c>
      <c r="P606"/>
      <c r="AA606" s="19">
        <f t="shared" si="43"/>
        <v>43704</v>
      </c>
      <c r="AB606" s="20">
        <f t="shared" si="40"/>
        <v>3</v>
      </c>
      <c r="AC606" s="21">
        <f t="shared" si="41"/>
        <v>3</v>
      </c>
      <c r="AD606" s="22" t="str">
        <f t="shared" si="42"/>
        <v>ÚTIL</v>
      </c>
      <c r="AE606" s="25"/>
      <c r="AF606" s="9"/>
      <c r="AG606" s="9"/>
      <c r="AH606" s="9"/>
    </row>
    <row r="607" spans="15:34" hidden="1" x14ac:dyDescent="0.25">
      <c r="O607" s="4" t="s">
        <v>1036</v>
      </c>
      <c r="P607"/>
      <c r="AA607" s="19">
        <f t="shared" si="43"/>
        <v>43705</v>
      </c>
      <c r="AB607" s="20">
        <f t="shared" si="40"/>
        <v>4</v>
      </c>
      <c r="AC607" s="21">
        <f t="shared" si="41"/>
        <v>4</v>
      </c>
      <c r="AD607" s="22" t="str">
        <f t="shared" si="42"/>
        <v>ÚTIL</v>
      </c>
      <c r="AE607" s="25"/>
      <c r="AF607" s="9"/>
      <c r="AG607" s="9"/>
      <c r="AH607" s="9"/>
    </row>
    <row r="608" spans="15:34" hidden="1" x14ac:dyDescent="0.25">
      <c r="O608" s="4" t="s">
        <v>1037</v>
      </c>
      <c r="P608"/>
      <c r="AA608" s="19">
        <f t="shared" si="43"/>
        <v>43706</v>
      </c>
      <c r="AB608" s="20">
        <f t="shared" si="40"/>
        <v>5</v>
      </c>
      <c r="AC608" s="21">
        <f t="shared" si="41"/>
        <v>5</v>
      </c>
      <c r="AD608" s="22" t="str">
        <f t="shared" si="42"/>
        <v>ÚTIL</v>
      </c>
      <c r="AE608" s="25"/>
      <c r="AF608" s="9"/>
      <c r="AG608" s="9"/>
      <c r="AH608" s="9"/>
    </row>
    <row r="609" spans="15:34" hidden="1" x14ac:dyDescent="0.25">
      <c r="O609" s="4" t="s">
        <v>1038</v>
      </c>
      <c r="P609"/>
      <c r="AA609" s="19">
        <f t="shared" si="43"/>
        <v>43707</v>
      </c>
      <c r="AB609" s="20">
        <f t="shared" si="40"/>
        <v>6</v>
      </c>
      <c r="AC609" s="21">
        <f t="shared" si="41"/>
        <v>6</v>
      </c>
      <c r="AD609" s="22" t="str">
        <f t="shared" si="42"/>
        <v>ÚTIL</v>
      </c>
      <c r="AE609" s="25"/>
      <c r="AF609" s="9"/>
      <c r="AG609" s="9"/>
      <c r="AH609" s="9"/>
    </row>
    <row r="610" spans="15:34" hidden="1" x14ac:dyDescent="0.25">
      <c r="O610" s="4" t="s">
        <v>1039</v>
      </c>
      <c r="P610"/>
      <c r="AA610" s="19">
        <f t="shared" si="43"/>
        <v>43708</v>
      </c>
      <c r="AB610" s="20">
        <f t="shared" si="40"/>
        <v>7</v>
      </c>
      <c r="AC610" s="21">
        <f t="shared" si="41"/>
        <v>7</v>
      </c>
      <c r="AD610" s="22" t="str">
        <f t="shared" si="42"/>
        <v>NÃO ÚTIL</v>
      </c>
      <c r="AE610" s="25"/>
      <c r="AF610" s="9"/>
      <c r="AG610" s="9"/>
      <c r="AH610" s="9"/>
    </row>
    <row r="611" spans="15:34" hidden="1" x14ac:dyDescent="0.25">
      <c r="O611" s="4" t="s">
        <v>1040</v>
      </c>
      <c r="P611"/>
      <c r="AA611" s="19">
        <f t="shared" si="43"/>
        <v>43709</v>
      </c>
      <c r="AB611" s="20">
        <f t="shared" si="40"/>
        <v>1</v>
      </c>
      <c r="AC611" s="21">
        <f t="shared" si="41"/>
        <v>1</v>
      </c>
      <c r="AD611" s="22" t="str">
        <f t="shared" si="42"/>
        <v>NÃO ÚTIL</v>
      </c>
      <c r="AE611" s="25"/>
      <c r="AF611" s="9"/>
      <c r="AG611" s="9"/>
      <c r="AH611" s="9"/>
    </row>
    <row r="612" spans="15:34" hidden="1" x14ac:dyDescent="0.25">
      <c r="O612" s="4" t="s">
        <v>1041</v>
      </c>
      <c r="P612"/>
      <c r="AA612" s="19">
        <f t="shared" si="43"/>
        <v>43710</v>
      </c>
      <c r="AB612" s="20">
        <f t="shared" si="40"/>
        <v>2</v>
      </c>
      <c r="AC612" s="21">
        <f t="shared" si="41"/>
        <v>2</v>
      </c>
      <c r="AD612" s="22" t="str">
        <f t="shared" si="42"/>
        <v>ÚTIL</v>
      </c>
      <c r="AE612" s="25"/>
      <c r="AF612" s="9"/>
      <c r="AG612" s="9"/>
      <c r="AH612" s="9"/>
    </row>
    <row r="613" spans="15:34" hidden="1" x14ac:dyDescent="0.25">
      <c r="O613" s="4" t="s">
        <v>1042</v>
      </c>
      <c r="P613"/>
      <c r="AA613" s="19">
        <f t="shared" si="43"/>
        <v>43711</v>
      </c>
      <c r="AB613" s="20">
        <f t="shared" si="40"/>
        <v>3</v>
      </c>
      <c r="AC613" s="21">
        <f t="shared" si="41"/>
        <v>3</v>
      </c>
      <c r="AD613" s="22" t="str">
        <f t="shared" si="42"/>
        <v>ÚTIL</v>
      </c>
      <c r="AE613" s="25"/>
      <c r="AF613" s="9"/>
      <c r="AG613" s="9"/>
      <c r="AH613" s="9"/>
    </row>
    <row r="614" spans="15:34" hidden="1" x14ac:dyDescent="0.25">
      <c r="O614" s="4" t="s">
        <v>1043</v>
      </c>
      <c r="P614"/>
      <c r="AA614" s="19">
        <f t="shared" si="43"/>
        <v>43712</v>
      </c>
      <c r="AB614" s="20">
        <f t="shared" si="40"/>
        <v>4</v>
      </c>
      <c r="AC614" s="21">
        <f t="shared" si="41"/>
        <v>4</v>
      </c>
      <c r="AD614" s="22" t="str">
        <f t="shared" si="42"/>
        <v>ÚTIL</v>
      </c>
      <c r="AE614" s="25"/>
      <c r="AF614" s="9"/>
      <c r="AG614" s="9"/>
      <c r="AH614" s="9"/>
    </row>
    <row r="615" spans="15:34" hidden="1" x14ac:dyDescent="0.25">
      <c r="O615" s="4" t="s">
        <v>1044</v>
      </c>
      <c r="P615"/>
      <c r="AA615" s="19">
        <f t="shared" si="43"/>
        <v>43713</v>
      </c>
      <c r="AB615" s="20">
        <f t="shared" si="40"/>
        <v>5</v>
      </c>
      <c r="AC615" s="21">
        <f t="shared" si="41"/>
        <v>5</v>
      </c>
      <c r="AD615" s="22" t="str">
        <f t="shared" si="42"/>
        <v>ÚTIL</v>
      </c>
      <c r="AE615" s="25"/>
      <c r="AF615" s="9"/>
      <c r="AG615" s="9"/>
      <c r="AH615" s="9"/>
    </row>
    <row r="616" spans="15:34" hidden="1" x14ac:dyDescent="0.25">
      <c r="O616" s="4" t="s">
        <v>1045</v>
      </c>
      <c r="P616"/>
      <c r="AA616" s="19">
        <f t="shared" si="43"/>
        <v>43714</v>
      </c>
      <c r="AB616" s="20">
        <f t="shared" si="40"/>
        <v>6</v>
      </c>
      <c r="AC616" s="21">
        <f t="shared" si="41"/>
        <v>6</v>
      </c>
      <c r="AD616" s="22" t="str">
        <f t="shared" si="42"/>
        <v>ÚTIL</v>
      </c>
      <c r="AE616" s="25"/>
      <c r="AF616" s="9"/>
      <c r="AG616" s="9"/>
      <c r="AH616" s="9"/>
    </row>
    <row r="617" spans="15:34" hidden="1" x14ac:dyDescent="0.25">
      <c r="O617" s="4" t="s">
        <v>1046</v>
      </c>
      <c r="P617"/>
      <c r="AA617" s="19">
        <f t="shared" si="43"/>
        <v>43715</v>
      </c>
      <c r="AB617" s="20">
        <f t="shared" si="40"/>
        <v>7</v>
      </c>
      <c r="AC617" s="21">
        <f t="shared" si="41"/>
        <v>7</v>
      </c>
      <c r="AD617" s="22" t="str">
        <f t="shared" si="42"/>
        <v>NÃO ÚTIL</v>
      </c>
      <c r="AE617" s="25"/>
      <c r="AF617" s="9"/>
      <c r="AG617" s="9"/>
      <c r="AH617" s="9"/>
    </row>
    <row r="618" spans="15:34" hidden="1" x14ac:dyDescent="0.25">
      <c r="O618" s="4" t="s">
        <v>1047</v>
      </c>
      <c r="P618"/>
      <c r="AA618" s="19">
        <f t="shared" si="43"/>
        <v>43716</v>
      </c>
      <c r="AB618" s="20">
        <f t="shared" si="40"/>
        <v>1</v>
      </c>
      <c r="AC618" s="21">
        <f t="shared" si="41"/>
        <v>1</v>
      </c>
      <c r="AD618" s="22" t="str">
        <f t="shared" si="42"/>
        <v>NÃO ÚTIL</v>
      </c>
      <c r="AE618" s="25"/>
      <c r="AF618" s="9"/>
      <c r="AG618" s="9"/>
      <c r="AH618" s="9"/>
    </row>
    <row r="619" spans="15:34" hidden="1" x14ac:dyDescent="0.25">
      <c r="O619" s="4" t="s">
        <v>1048</v>
      </c>
      <c r="P619"/>
      <c r="AA619" s="19">
        <f t="shared" si="43"/>
        <v>43717</v>
      </c>
      <c r="AB619" s="20">
        <f t="shared" si="40"/>
        <v>2</v>
      </c>
      <c r="AC619" s="21">
        <f t="shared" si="41"/>
        <v>2</v>
      </c>
      <c r="AD619" s="22" t="str">
        <f t="shared" si="42"/>
        <v>ÚTIL</v>
      </c>
      <c r="AE619" s="25"/>
      <c r="AF619" s="9"/>
      <c r="AG619" s="9"/>
      <c r="AH619" s="9"/>
    </row>
    <row r="620" spans="15:34" hidden="1" x14ac:dyDescent="0.25">
      <c r="O620" s="4" t="s">
        <v>1049</v>
      </c>
      <c r="P620"/>
      <c r="AA620" s="19">
        <f t="shared" si="43"/>
        <v>43718</v>
      </c>
      <c r="AB620" s="20">
        <f t="shared" si="40"/>
        <v>3</v>
      </c>
      <c r="AC620" s="21">
        <f t="shared" si="41"/>
        <v>3</v>
      </c>
      <c r="AD620" s="22" t="str">
        <f t="shared" si="42"/>
        <v>ÚTIL</v>
      </c>
      <c r="AE620" s="25"/>
      <c r="AF620" s="9"/>
      <c r="AG620" s="9"/>
      <c r="AH620" s="9"/>
    </row>
    <row r="621" spans="15:34" hidden="1" x14ac:dyDescent="0.25">
      <c r="O621" s="4" t="s">
        <v>1050</v>
      </c>
      <c r="P621"/>
      <c r="AA621" s="19">
        <f t="shared" si="43"/>
        <v>43719</v>
      </c>
      <c r="AB621" s="20">
        <f t="shared" si="40"/>
        <v>4</v>
      </c>
      <c r="AC621" s="21">
        <f t="shared" si="41"/>
        <v>4</v>
      </c>
      <c r="AD621" s="22" t="str">
        <f t="shared" si="42"/>
        <v>ÚTIL</v>
      </c>
      <c r="AE621" s="25"/>
      <c r="AF621" s="9"/>
      <c r="AG621" s="9"/>
      <c r="AH621" s="9"/>
    </row>
    <row r="622" spans="15:34" hidden="1" x14ac:dyDescent="0.25">
      <c r="O622" s="4" t="s">
        <v>1051</v>
      </c>
      <c r="P622"/>
      <c r="AA622" s="19">
        <f t="shared" si="43"/>
        <v>43720</v>
      </c>
      <c r="AB622" s="20">
        <f t="shared" si="40"/>
        <v>5</v>
      </c>
      <c r="AC622" s="21">
        <f t="shared" si="41"/>
        <v>5</v>
      </c>
      <c r="AD622" s="22" t="str">
        <f t="shared" si="42"/>
        <v>ÚTIL</v>
      </c>
      <c r="AE622" s="25"/>
      <c r="AF622" s="9"/>
      <c r="AG622" s="9"/>
      <c r="AH622" s="9"/>
    </row>
    <row r="623" spans="15:34" hidden="1" x14ac:dyDescent="0.25">
      <c r="O623" s="4" t="s">
        <v>1052</v>
      </c>
      <c r="P623"/>
      <c r="AA623" s="19">
        <f t="shared" si="43"/>
        <v>43721</v>
      </c>
      <c r="AB623" s="20">
        <f t="shared" si="40"/>
        <v>6</v>
      </c>
      <c r="AC623" s="21">
        <f t="shared" si="41"/>
        <v>6</v>
      </c>
      <c r="AD623" s="22" t="str">
        <f t="shared" si="42"/>
        <v>ÚTIL</v>
      </c>
      <c r="AE623" s="25"/>
      <c r="AF623" s="9"/>
      <c r="AG623" s="9"/>
      <c r="AH623" s="9"/>
    </row>
    <row r="624" spans="15:34" hidden="1" x14ac:dyDescent="0.25">
      <c r="O624" s="4" t="s">
        <v>1053</v>
      </c>
      <c r="P624"/>
      <c r="AA624" s="19">
        <f t="shared" si="43"/>
        <v>43722</v>
      </c>
      <c r="AB624" s="20">
        <f t="shared" si="40"/>
        <v>7</v>
      </c>
      <c r="AC624" s="21">
        <f t="shared" si="41"/>
        <v>7</v>
      </c>
      <c r="AD624" s="22" t="str">
        <f t="shared" si="42"/>
        <v>NÃO ÚTIL</v>
      </c>
      <c r="AE624" s="25"/>
      <c r="AF624" s="9"/>
      <c r="AG624" s="9"/>
      <c r="AH624" s="9"/>
    </row>
    <row r="625" spans="15:34" hidden="1" x14ac:dyDescent="0.25">
      <c r="O625" s="4" t="s">
        <v>1054</v>
      </c>
      <c r="P625"/>
      <c r="AA625" s="19">
        <f t="shared" si="43"/>
        <v>43723</v>
      </c>
      <c r="AB625" s="20">
        <f t="shared" si="40"/>
        <v>1</v>
      </c>
      <c r="AC625" s="21">
        <f t="shared" si="41"/>
        <v>1</v>
      </c>
      <c r="AD625" s="22" t="str">
        <f t="shared" si="42"/>
        <v>NÃO ÚTIL</v>
      </c>
      <c r="AE625" s="25"/>
      <c r="AF625" s="9"/>
      <c r="AG625" s="9"/>
      <c r="AH625" s="9"/>
    </row>
    <row r="626" spans="15:34" hidden="1" x14ac:dyDescent="0.25">
      <c r="O626" s="4" t="s">
        <v>1055</v>
      </c>
      <c r="P626"/>
      <c r="AA626" s="19">
        <f t="shared" si="43"/>
        <v>43724</v>
      </c>
      <c r="AB626" s="20">
        <f t="shared" si="40"/>
        <v>2</v>
      </c>
      <c r="AC626" s="21">
        <f t="shared" si="41"/>
        <v>2</v>
      </c>
      <c r="AD626" s="22" t="str">
        <f t="shared" si="42"/>
        <v>ÚTIL</v>
      </c>
      <c r="AE626" s="25"/>
      <c r="AF626" s="9"/>
      <c r="AG626" s="9"/>
      <c r="AH626" s="9"/>
    </row>
    <row r="627" spans="15:34" hidden="1" x14ac:dyDescent="0.25">
      <c r="O627" s="4" t="s">
        <v>1056</v>
      </c>
      <c r="P627"/>
      <c r="AA627" s="19">
        <f t="shared" si="43"/>
        <v>43725</v>
      </c>
      <c r="AB627" s="20">
        <f t="shared" si="40"/>
        <v>3</v>
      </c>
      <c r="AC627" s="21">
        <f t="shared" si="41"/>
        <v>3</v>
      </c>
      <c r="AD627" s="22" t="str">
        <f t="shared" si="42"/>
        <v>ÚTIL</v>
      </c>
      <c r="AE627" s="25"/>
      <c r="AF627" s="9"/>
      <c r="AG627" s="9"/>
      <c r="AH627" s="9"/>
    </row>
    <row r="628" spans="15:34" hidden="1" x14ac:dyDescent="0.25">
      <c r="O628" s="4" t="s">
        <v>1057</v>
      </c>
      <c r="P628"/>
      <c r="AA628" s="19">
        <f t="shared" si="43"/>
        <v>43726</v>
      </c>
      <c r="AB628" s="20">
        <f t="shared" si="40"/>
        <v>4</v>
      </c>
      <c r="AC628" s="21">
        <f t="shared" si="41"/>
        <v>4</v>
      </c>
      <c r="AD628" s="22" t="str">
        <f t="shared" si="42"/>
        <v>ÚTIL</v>
      </c>
      <c r="AE628" s="25"/>
      <c r="AF628" s="9"/>
      <c r="AG628" s="9"/>
      <c r="AH628" s="9"/>
    </row>
    <row r="629" spans="15:34" hidden="1" x14ac:dyDescent="0.25">
      <c r="O629" s="4" t="s">
        <v>1058</v>
      </c>
      <c r="P629"/>
      <c r="AA629" s="19">
        <f t="shared" si="43"/>
        <v>43727</v>
      </c>
      <c r="AB629" s="20">
        <f t="shared" si="40"/>
        <v>5</v>
      </c>
      <c r="AC629" s="21">
        <f t="shared" si="41"/>
        <v>5</v>
      </c>
      <c r="AD629" s="22" t="str">
        <f t="shared" si="42"/>
        <v>ÚTIL</v>
      </c>
      <c r="AE629" s="25"/>
      <c r="AF629" s="9"/>
      <c r="AG629" s="9"/>
      <c r="AH629" s="9"/>
    </row>
    <row r="630" spans="15:34" hidden="1" x14ac:dyDescent="0.25">
      <c r="O630" s="4" t="s">
        <v>1059</v>
      </c>
      <c r="P630"/>
      <c r="AA630" s="19">
        <f t="shared" si="43"/>
        <v>43728</v>
      </c>
      <c r="AB630" s="20">
        <f t="shared" si="40"/>
        <v>6</v>
      </c>
      <c r="AC630" s="21">
        <f t="shared" si="41"/>
        <v>6</v>
      </c>
      <c r="AD630" s="22" t="str">
        <f t="shared" si="42"/>
        <v>ÚTIL</v>
      </c>
      <c r="AE630" s="25"/>
      <c r="AF630" s="9"/>
      <c r="AG630" s="9"/>
      <c r="AH630" s="9"/>
    </row>
    <row r="631" spans="15:34" hidden="1" x14ac:dyDescent="0.25">
      <c r="O631" s="4" t="s">
        <v>1060</v>
      </c>
      <c r="P631"/>
      <c r="AA631" s="19">
        <f t="shared" si="43"/>
        <v>43729</v>
      </c>
      <c r="AB631" s="20">
        <f t="shared" si="40"/>
        <v>7</v>
      </c>
      <c r="AC631" s="21">
        <f t="shared" si="41"/>
        <v>7</v>
      </c>
      <c r="AD631" s="22" t="str">
        <f t="shared" si="42"/>
        <v>NÃO ÚTIL</v>
      </c>
      <c r="AE631" s="25"/>
      <c r="AF631" s="9"/>
      <c r="AG631" s="9"/>
      <c r="AH631" s="9"/>
    </row>
    <row r="632" spans="15:34" hidden="1" x14ac:dyDescent="0.25">
      <c r="O632" s="4" t="s">
        <v>1061</v>
      </c>
      <c r="P632"/>
      <c r="AA632" s="19">
        <f t="shared" si="43"/>
        <v>43730</v>
      </c>
      <c r="AB632" s="20">
        <f t="shared" si="40"/>
        <v>1</v>
      </c>
      <c r="AC632" s="21">
        <f t="shared" si="41"/>
        <v>1</v>
      </c>
      <c r="AD632" s="22" t="str">
        <f t="shared" si="42"/>
        <v>NÃO ÚTIL</v>
      </c>
      <c r="AE632" s="25"/>
      <c r="AF632" s="9"/>
      <c r="AG632" s="9"/>
      <c r="AH632" s="9"/>
    </row>
    <row r="633" spans="15:34" hidden="1" x14ac:dyDescent="0.25">
      <c r="O633" s="4" t="s">
        <v>1062</v>
      </c>
      <c r="P633"/>
      <c r="AA633" s="19">
        <f t="shared" si="43"/>
        <v>43731</v>
      </c>
      <c r="AB633" s="20">
        <f t="shared" si="40"/>
        <v>2</v>
      </c>
      <c r="AC633" s="21">
        <f t="shared" si="41"/>
        <v>2</v>
      </c>
      <c r="AD633" s="22" t="str">
        <f t="shared" si="42"/>
        <v>ÚTIL</v>
      </c>
      <c r="AE633" s="25"/>
      <c r="AF633" s="9"/>
      <c r="AG633" s="9"/>
      <c r="AH633" s="9"/>
    </row>
    <row r="634" spans="15:34" hidden="1" x14ac:dyDescent="0.25">
      <c r="O634" s="4" t="s">
        <v>1063</v>
      </c>
      <c r="P634"/>
      <c r="AA634" s="19">
        <f t="shared" si="43"/>
        <v>43732</v>
      </c>
      <c r="AB634" s="20">
        <f t="shared" si="40"/>
        <v>3</v>
      </c>
      <c r="AC634" s="21">
        <f t="shared" si="41"/>
        <v>3</v>
      </c>
      <c r="AD634" s="22" t="str">
        <f t="shared" si="42"/>
        <v>ÚTIL</v>
      </c>
      <c r="AE634" s="25"/>
      <c r="AF634" s="9"/>
      <c r="AG634" s="9"/>
      <c r="AH634" s="9"/>
    </row>
    <row r="635" spans="15:34" hidden="1" x14ac:dyDescent="0.25">
      <c r="O635" s="4" t="s">
        <v>1064</v>
      </c>
      <c r="P635"/>
      <c r="AA635" s="19">
        <f t="shared" si="43"/>
        <v>43733</v>
      </c>
      <c r="AB635" s="20">
        <f t="shared" si="40"/>
        <v>4</v>
      </c>
      <c r="AC635" s="21">
        <f t="shared" si="41"/>
        <v>4</v>
      </c>
      <c r="AD635" s="22" t="str">
        <f t="shared" si="42"/>
        <v>ÚTIL</v>
      </c>
      <c r="AE635" s="25"/>
      <c r="AF635" s="9"/>
      <c r="AG635" s="9"/>
      <c r="AH635" s="9"/>
    </row>
    <row r="636" spans="15:34" hidden="1" x14ac:dyDescent="0.25">
      <c r="O636" s="4" t="s">
        <v>1065</v>
      </c>
      <c r="P636"/>
      <c r="AA636" s="19">
        <f t="shared" si="43"/>
        <v>43734</v>
      </c>
      <c r="AB636" s="20">
        <f t="shared" si="40"/>
        <v>5</v>
      </c>
      <c r="AC636" s="21">
        <f t="shared" si="41"/>
        <v>5</v>
      </c>
      <c r="AD636" s="22" t="str">
        <f t="shared" si="42"/>
        <v>ÚTIL</v>
      </c>
      <c r="AE636" s="25"/>
      <c r="AF636" s="9"/>
      <c r="AG636" s="9"/>
      <c r="AH636" s="9"/>
    </row>
    <row r="637" spans="15:34" hidden="1" x14ac:dyDescent="0.25">
      <c r="O637" s="4" t="s">
        <v>1066</v>
      </c>
      <c r="P637"/>
      <c r="AA637" s="19">
        <f t="shared" si="43"/>
        <v>43735</v>
      </c>
      <c r="AB637" s="20">
        <f t="shared" si="40"/>
        <v>6</v>
      </c>
      <c r="AC637" s="21">
        <f t="shared" si="41"/>
        <v>6</v>
      </c>
      <c r="AD637" s="22" t="str">
        <f t="shared" si="42"/>
        <v>ÚTIL</v>
      </c>
      <c r="AE637" s="25"/>
      <c r="AF637" s="9"/>
      <c r="AG637" s="9"/>
      <c r="AH637" s="9"/>
    </row>
    <row r="638" spans="15:34" hidden="1" x14ac:dyDescent="0.25">
      <c r="O638" s="4" t="s">
        <v>1067</v>
      </c>
      <c r="P638"/>
      <c r="AA638" s="19">
        <f t="shared" si="43"/>
        <v>43736</v>
      </c>
      <c r="AB638" s="20">
        <f t="shared" si="40"/>
        <v>7</v>
      </c>
      <c r="AC638" s="21">
        <f t="shared" si="41"/>
        <v>7</v>
      </c>
      <c r="AD638" s="22" t="str">
        <f t="shared" si="42"/>
        <v>NÃO ÚTIL</v>
      </c>
      <c r="AE638" s="25"/>
      <c r="AF638" s="9"/>
      <c r="AG638" s="9"/>
      <c r="AH638" s="9"/>
    </row>
    <row r="639" spans="15:34" hidden="1" x14ac:dyDescent="0.25">
      <c r="O639" s="4" t="s">
        <v>1068</v>
      </c>
      <c r="P639"/>
      <c r="AA639" s="19">
        <f t="shared" si="43"/>
        <v>43737</v>
      </c>
      <c r="AB639" s="20">
        <f t="shared" si="40"/>
        <v>1</v>
      </c>
      <c r="AC639" s="21">
        <f t="shared" si="41"/>
        <v>1</v>
      </c>
      <c r="AD639" s="22" t="str">
        <f t="shared" si="42"/>
        <v>NÃO ÚTIL</v>
      </c>
      <c r="AE639" s="25"/>
      <c r="AF639" s="9"/>
      <c r="AG639" s="9"/>
      <c r="AH639" s="9"/>
    </row>
    <row r="640" spans="15:34" hidden="1" x14ac:dyDescent="0.25">
      <c r="O640" s="4" t="s">
        <v>1069</v>
      </c>
      <c r="P640"/>
      <c r="AA640" s="19">
        <f t="shared" si="43"/>
        <v>43738</v>
      </c>
      <c r="AB640" s="20">
        <f t="shared" si="40"/>
        <v>2</v>
      </c>
      <c r="AC640" s="21">
        <f t="shared" si="41"/>
        <v>2</v>
      </c>
      <c r="AD640" s="22" t="str">
        <f t="shared" si="42"/>
        <v>ÚTIL</v>
      </c>
      <c r="AE640" s="25"/>
      <c r="AF640" s="9"/>
      <c r="AG640" s="9"/>
      <c r="AH640" s="9"/>
    </row>
    <row r="641" spans="15:34" hidden="1" x14ac:dyDescent="0.25">
      <c r="O641" s="4" t="s">
        <v>1070</v>
      </c>
      <c r="P641"/>
      <c r="AA641" s="19">
        <f t="shared" si="43"/>
        <v>43739</v>
      </c>
      <c r="AB641" s="20">
        <f t="shared" si="40"/>
        <v>3</v>
      </c>
      <c r="AC641" s="21">
        <f t="shared" si="41"/>
        <v>3</v>
      </c>
      <c r="AD641" s="22" t="str">
        <f t="shared" si="42"/>
        <v>ÚTIL</v>
      </c>
      <c r="AE641" s="25"/>
      <c r="AF641" s="9"/>
      <c r="AG641" s="9"/>
      <c r="AH641" s="9"/>
    </row>
    <row r="642" spans="15:34" hidden="1" x14ac:dyDescent="0.25">
      <c r="O642" s="4" t="s">
        <v>1071</v>
      </c>
      <c r="P642"/>
      <c r="AA642" s="19">
        <f t="shared" si="43"/>
        <v>43740</v>
      </c>
      <c r="AB642" s="20">
        <f t="shared" si="40"/>
        <v>4</v>
      </c>
      <c r="AC642" s="21">
        <f t="shared" si="41"/>
        <v>4</v>
      </c>
      <c r="AD642" s="22" t="str">
        <f t="shared" si="42"/>
        <v>ÚTIL</v>
      </c>
      <c r="AE642" s="25"/>
      <c r="AF642" s="9"/>
      <c r="AG642" s="9"/>
      <c r="AH642" s="9"/>
    </row>
    <row r="643" spans="15:34" hidden="1" x14ac:dyDescent="0.25">
      <c r="O643" s="4" t="s">
        <v>1072</v>
      </c>
      <c r="P643"/>
      <c r="AA643" s="19">
        <f t="shared" si="43"/>
        <v>43741</v>
      </c>
      <c r="AB643" s="20">
        <f t="shared" ref="AB643:AB706" si="44">AC643</f>
        <v>5</v>
      </c>
      <c r="AC643" s="21">
        <f t="shared" ref="AC643:AC706" si="45">WEEKDAY(AA643)</f>
        <v>5</v>
      </c>
      <c r="AD643" s="22" t="str">
        <f t="shared" ref="AD643:AD706" si="46">IF(WORKDAY(AA643-1,1,$AE$3:$AE$14)=AA643,"ÚTIL","NÃO ÚTIL")</f>
        <v>ÚTIL</v>
      </c>
      <c r="AE643" s="25"/>
      <c r="AF643" s="9"/>
      <c r="AG643" s="9"/>
      <c r="AH643" s="9"/>
    </row>
    <row r="644" spans="15:34" hidden="1" x14ac:dyDescent="0.25">
      <c r="O644" s="4" t="s">
        <v>1073</v>
      </c>
      <c r="P644"/>
      <c r="AA644" s="19">
        <f t="shared" ref="AA644:AA707" si="47">AA643+1</f>
        <v>43742</v>
      </c>
      <c r="AB644" s="20">
        <f t="shared" si="44"/>
        <v>6</v>
      </c>
      <c r="AC644" s="21">
        <f t="shared" si="45"/>
        <v>6</v>
      </c>
      <c r="AD644" s="22" t="str">
        <f t="shared" si="46"/>
        <v>ÚTIL</v>
      </c>
      <c r="AE644" s="25"/>
      <c r="AF644" s="9"/>
      <c r="AG644" s="9"/>
      <c r="AH644" s="9"/>
    </row>
    <row r="645" spans="15:34" hidden="1" x14ac:dyDescent="0.25">
      <c r="O645" s="4" t="s">
        <v>1074</v>
      </c>
      <c r="P645"/>
      <c r="AA645" s="19">
        <f t="shared" si="47"/>
        <v>43743</v>
      </c>
      <c r="AB645" s="20">
        <f t="shared" si="44"/>
        <v>7</v>
      </c>
      <c r="AC645" s="21">
        <f t="shared" si="45"/>
        <v>7</v>
      </c>
      <c r="AD645" s="22" t="str">
        <f t="shared" si="46"/>
        <v>NÃO ÚTIL</v>
      </c>
      <c r="AE645" s="25"/>
      <c r="AF645" s="9"/>
      <c r="AG645" s="9"/>
      <c r="AH645" s="9"/>
    </row>
    <row r="646" spans="15:34" hidden="1" x14ac:dyDescent="0.25">
      <c r="O646" s="4" t="s">
        <v>1075</v>
      </c>
      <c r="P646"/>
      <c r="AA646" s="19">
        <f t="shared" si="47"/>
        <v>43744</v>
      </c>
      <c r="AB646" s="20">
        <f t="shared" si="44"/>
        <v>1</v>
      </c>
      <c r="AC646" s="21">
        <f t="shared" si="45"/>
        <v>1</v>
      </c>
      <c r="AD646" s="22" t="str">
        <f t="shared" si="46"/>
        <v>NÃO ÚTIL</v>
      </c>
      <c r="AE646" s="25"/>
      <c r="AF646" s="9"/>
      <c r="AG646" s="9"/>
      <c r="AH646" s="9"/>
    </row>
    <row r="647" spans="15:34" hidden="1" x14ac:dyDescent="0.25">
      <c r="O647" s="4" t="s">
        <v>1076</v>
      </c>
      <c r="P647"/>
      <c r="AA647" s="19">
        <f t="shared" si="47"/>
        <v>43745</v>
      </c>
      <c r="AB647" s="20">
        <f t="shared" si="44"/>
        <v>2</v>
      </c>
      <c r="AC647" s="21">
        <f t="shared" si="45"/>
        <v>2</v>
      </c>
      <c r="AD647" s="22" t="str">
        <f t="shared" si="46"/>
        <v>ÚTIL</v>
      </c>
      <c r="AE647" s="25"/>
      <c r="AF647" s="9"/>
      <c r="AG647" s="9"/>
      <c r="AH647" s="9"/>
    </row>
    <row r="648" spans="15:34" hidden="1" x14ac:dyDescent="0.25">
      <c r="O648" s="4" t="s">
        <v>1077</v>
      </c>
      <c r="P648"/>
      <c r="AA648" s="19">
        <f t="shared" si="47"/>
        <v>43746</v>
      </c>
      <c r="AB648" s="20">
        <f t="shared" si="44"/>
        <v>3</v>
      </c>
      <c r="AC648" s="21">
        <f t="shared" si="45"/>
        <v>3</v>
      </c>
      <c r="AD648" s="22" t="str">
        <f t="shared" si="46"/>
        <v>ÚTIL</v>
      </c>
      <c r="AE648" s="25"/>
      <c r="AF648" s="9"/>
      <c r="AG648" s="9"/>
      <c r="AH648" s="9"/>
    </row>
    <row r="649" spans="15:34" hidden="1" x14ac:dyDescent="0.25">
      <c r="O649" s="4" t="s">
        <v>1078</v>
      </c>
      <c r="P649"/>
      <c r="AA649" s="19">
        <f t="shared" si="47"/>
        <v>43747</v>
      </c>
      <c r="AB649" s="20">
        <f t="shared" si="44"/>
        <v>4</v>
      </c>
      <c r="AC649" s="21">
        <f t="shared" si="45"/>
        <v>4</v>
      </c>
      <c r="AD649" s="22" t="str">
        <f t="shared" si="46"/>
        <v>ÚTIL</v>
      </c>
      <c r="AE649" s="25"/>
      <c r="AF649" s="9"/>
      <c r="AG649" s="9"/>
      <c r="AH649" s="9"/>
    </row>
    <row r="650" spans="15:34" hidden="1" x14ac:dyDescent="0.25">
      <c r="O650" s="4" t="s">
        <v>1079</v>
      </c>
      <c r="P650"/>
      <c r="AA650" s="19">
        <f t="shared" si="47"/>
        <v>43748</v>
      </c>
      <c r="AB650" s="20">
        <f t="shared" si="44"/>
        <v>5</v>
      </c>
      <c r="AC650" s="21">
        <f t="shared" si="45"/>
        <v>5</v>
      </c>
      <c r="AD650" s="22" t="str">
        <f t="shared" si="46"/>
        <v>ÚTIL</v>
      </c>
      <c r="AE650" s="25"/>
      <c r="AF650" s="9"/>
      <c r="AG650" s="9"/>
      <c r="AH650" s="9"/>
    </row>
    <row r="651" spans="15:34" hidden="1" x14ac:dyDescent="0.25">
      <c r="O651" s="4" t="s">
        <v>1080</v>
      </c>
      <c r="P651"/>
      <c r="AA651" s="19">
        <f t="shared" si="47"/>
        <v>43749</v>
      </c>
      <c r="AB651" s="20">
        <f t="shared" si="44"/>
        <v>6</v>
      </c>
      <c r="AC651" s="21">
        <f t="shared" si="45"/>
        <v>6</v>
      </c>
      <c r="AD651" s="22" t="str">
        <f t="shared" si="46"/>
        <v>ÚTIL</v>
      </c>
      <c r="AE651" s="25"/>
      <c r="AF651" s="9"/>
      <c r="AG651" s="9"/>
      <c r="AH651" s="9"/>
    </row>
    <row r="652" spans="15:34" hidden="1" x14ac:dyDescent="0.25">
      <c r="O652" s="4" t="s">
        <v>1081</v>
      </c>
      <c r="P652"/>
      <c r="AA652" s="19">
        <f t="shared" si="47"/>
        <v>43750</v>
      </c>
      <c r="AB652" s="20">
        <f t="shared" si="44"/>
        <v>7</v>
      </c>
      <c r="AC652" s="21">
        <f t="shared" si="45"/>
        <v>7</v>
      </c>
      <c r="AD652" s="22" t="str">
        <f t="shared" si="46"/>
        <v>NÃO ÚTIL</v>
      </c>
      <c r="AE652" s="25"/>
      <c r="AF652" s="9"/>
      <c r="AG652" s="9"/>
      <c r="AH652" s="9"/>
    </row>
    <row r="653" spans="15:34" hidden="1" x14ac:dyDescent="0.25">
      <c r="O653" s="4" t="s">
        <v>1082</v>
      </c>
      <c r="P653"/>
      <c r="AA653" s="19">
        <f t="shared" si="47"/>
        <v>43751</v>
      </c>
      <c r="AB653" s="20">
        <f t="shared" si="44"/>
        <v>1</v>
      </c>
      <c r="AC653" s="21">
        <f t="shared" si="45"/>
        <v>1</v>
      </c>
      <c r="AD653" s="22" t="str">
        <f t="shared" si="46"/>
        <v>NÃO ÚTIL</v>
      </c>
      <c r="AE653" s="25"/>
      <c r="AF653" s="9"/>
      <c r="AG653" s="9"/>
      <c r="AH653" s="9"/>
    </row>
    <row r="654" spans="15:34" hidden="1" x14ac:dyDescent="0.25">
      <c r="O654" s="4" t="s">
        <v>1083</v>
      </c>
      <c r="P654"/>
      <c r="AA654" s="19">
        <f t="shared" si="47"/>
        <v>43752</v>
      </c>
      <c r="AB654" s="20">
        <f t="shared" si="44"/>
        <v>2</v>
      </c>
      <c r="AC654" s="21">
        <f t="shared" si="45"/>
        <v>2</v>
      </c>
      <c r="AD654" s="22" t="str">
        <f t="shared" si="46"/>
        <v>ÚTIL</v>
      </c>
      <c r="AE654" s="25"/>
      <c r="AF654" s="9"/>
      <c r="AG654" s="9"/>
      <c r="AH654" s="9"/>
    </row>
    <row r="655" spans="15:34" hidden="1" x14ac:dyDescent="0.25">
      <c r="O655" s="4" t="s">
        <v>1084</v>
      </c>
      <c r="P655"/>
      <c r="AA655" s="19">
        <f t="shared" si="47"/>
        <v>43753</v>
      </c>
      <c r="AB655" s="20">
        <f t="shared" si="44"/>
        <v>3</v>
      </c>
      <c r="AC655" s="21">
        <f t="shared" si="45"/>
        <v>3</v>
      </c>
      <c r="AD655" s="22" t="str">
        <f t="shared" si="46"/>
        <v>ÚTIL</v>
      </c>
      <c r="AE655" s="25"/>
      <c r="AF655" s="9"/>
      <c r="AG655" s="9"/>
      <c r="AH655" s="9"/>
    </row>
    <row r="656" spans="15:34" hidden="1" x14ac:dyDescent="0.25">
      <c r="O656" s="4" t="s">
        <v>1085</v>
      </c>
      <c r="P656"/>
      <c r="AA656" s="19">
        <f t="shared" si="47"/>
        <v>43754</v>
      </c>
      <c r="AB656" s="20">
        <f t="shared" si="44"/>
        <v>4</v>
      </c>
      <c r="AC656" s="21">
        <f t="shared" si="45"/>
        <v>4</v>
      </c>
      <c r="AD656" s="22" t="str">
        <f t="shared" si="46"/>
        <v>ÚTIL</v>
      </c>
      <c r="AE656" s="25"/>
      <c r="AF656" s="9"/>
      <c r="AG656" s="9"/>
      <c r="AH656" s="9"/>
    </row>
    <row r="657" spans="15:34" hidden="1" x14ac:dyDescent="0.25">
      <c r="O657" s="4" t="s">
        <v>1086</v>
      </c>
      <c r="P657"/>
      <c r="AA657" s="19">
        <f t="shared" si="47"/>
        <v>43755</v>
      </c>
      <c r="AB657" s="20">
        <f t="shared" si="44"/>
        <v>5</v>
      </c>
      <c r="AC657" s="21">
        <f t="shared" si="45"/>
        <v>5</v>
      </c>
      <c r="AD657" s="22" t="str">
        <f t="shared" si="46"/>
        <v>ÚTIL</v>
      </c>
      <c r="AE657" s="25"/>
      <c r="AF657" s="9"/>
      <c r="AG657" s="9"/>
      <c r="AH657" s="9"/>
    </row>
    <row r="658" spans="15:34" hidden="1" x14ac:dyDescent="0.25">
      <c r="O658" s="4" t="s">
        <v>1087</v>
      </c>
      <c r="P658"/>
      <c r="AA658" s="19">
        <f t="shared" si="47"/>
        <v>43756</v>
      </c>
      <c r="AB658" s="20">
        <f t="shared" si="44"/>
        <v>6</v>
      </c>
      <c r="AC658" s="21">
        <f t="shared" si="45"/>
        <v>6</v>
      </c>
      <c r="AD658" s="22" t="str">
        <f t="shared" si="46"/>
        <v>ÚTIL</v>
      </c>
      <c r="AE658" s="25"/>
      <c r="AF658" s="9"/>
      <c r="AG658" s="9"/>
      <c r="AH658" s="9"/>
    </row>
    <row r="659" spans="15:34" hidden="1" x14ac:dyDescent="0.25">
      <c r="O659" s="4" t="s">
        <v>1088</v>
      </c>
      <c r="P659"/>
      <c r="AA659" s="19">
        <f t="shared" si="47"/>
        <v>43757</v>
      </c>
      <c r="AB659" s="20">
        <f t="shared" si="44"/>
        <v>7</v>
      </c>
      <c r="AC659" s="21">
        <f t="shared" si="45"/>
        <v>7</v>
      </c>
      <c r="AD659" s="22" t="str">
        <f t="shared" si="46"/>
        <v>NÃO ÚTIL</v>
      </c>
      <c r="AE659" s="25"/>
      <c r="AF659" s="9"/>
      <c r="AG659" s="9"/>
      <c r="AH659" s="9"/>
    </row>
    <row r="660" spans="15:34" hidden="1" x14ac:dyDescent="0.25">
      <c r="O660" s="4" t="s">
        <v>1089</v>
      </c>
      <c r="P660"/>
      <c r="AA660" s="19">
        <f t="shared" si="47"/>
        <v>43758</v>
      </c>
      <c r="AB660" s="20">
        <f t="shared" si="44"/>
        <v>1</v>
      </c>
      <c r="AC660" s="21">
        <f t="shared" si="45"/>
        <v>1</v>
      </c>
      <c r="AD660" s="22" t="str">
        <f t="shared" si="46"/>
        <v>NÃO ÚTIL</v>
      </c>
      <c r="AE660" s="25"/>
      <c r="AF660" s="9"/>
      <c r="AG660" s="9"/>
      <c r="AH660" s="9"/>
    </row>
    <row r="661" spans="15:34" hidden="1" x14ac:dyDescent="0.25">
      <c r="O661" s="4" t="s">
        <v>1090</v>
      </c>
      <c r="P661"/>
      <c r="AA661" s="19">
        <f t="shared" si="47"/>
        <v>43759</v>
      </c>
      <c r="AB661" s="20">
        <f t="shared" si="44"/>
        <v>2</v>
      </c>
      <c r="AC661" s="21">
        <f t="shared" si="45"/>
        <v>2</v>
      </c>
      <c r="AD661" s="22" t="str">
        <f t="shared" si="46"/>
        <v>ÚTIL</v>
      </c>
      <c r="AE661" s="25"/>
      <c r="AF661" s="9"/>
      <c r="AG661" s="9"/>
      <c r="AH661" s="9"/>
    </row>
    <row r="662" spans="15:34" hidden="1" x14ac:dyDescent="0.25">
      <c r="O662" s="4" t="s">
        <v>1091</v>
      </c>
      <c r="P662"/>
      <c r="AA662" s="19">
        <f t="shared" si="47"/>
        <v>43760</v>
      </c>
      <c r="AB662" s="20">
        <f t="shared" si="44"/>
        <v>3</v>
      </c>
      <c r="AC662" s="21">
        <f t="shared" si="45"/>
        <v>3</v>
      </c>
      <c r="AD662" s="22" t="str">
        <f t="shared" si="46"/>
        <v>ÚTIL</v>
      </c>
      <c r="AE662" s="25"/>
      <c r="AF662" s="9"/>
      <c r="AG662" s="9"/>
      <c r="AH662" s="9"/>
    </row>
    <row r="663" spans="15:34" hidden="1" x14ac:dyDescent="0.25">
      <c r="O663" s="4" t="s">
        <v>1092</v>
      </c>
      <c r="P663"/>
      <c r="AA663" s="19">
        <f t="shared" si="47"/>
        <v>43761</v>
      </c>
      <c r="AB663" s="20">
        <f t="shared" si="44"/>
        <v>4</v>
      </c>
      <c r="AC663" s="21">
        <f t="shared" si="45"/>
        <v>4</v>
      </c>
      <c r="AD663" s="22" t="str">
        <f t="shared" si="46"/>
        <v>ÚTIL</v>
      </c>
      <c r="AE663" s="25"/>
      <c r="AF663" s="9"/>
      <c r="AG663" s="9"/>
      <c r="AH663" s="9"/>
    </row>
    <row r="664" spans="15:34" hidden="1" x14ac:dyDescent="0.25">
      <c r="O664" s="4" t="s">
        <v>1093</v>
      </c>
      <c r="P664"/>
      <c r="AA664" s="19">
        <f t="shared" si="47"/>
        <v>43762</v>
      </c>
      <c r="AB664" s="20">
        <f t="shared" si="44"/>
        <v>5</v>
      </c>
      <c r="AC664" s="21">
        <f t="shared" si="45"/>
        <v>5</v>
      </c>
      <c r="AD664" s="22" t="str">
        <f t="shared" si="46"/>
        <v>ÚTIL</v>
      </c>
      <c r="AE664" s="25"/>
      <c r="AF664" s="9"/>
      <c r="AG664" s="9"/>
      <c r="AH664" s="9"/>
    </row>
    <row r="665" spans="15:34" hidden="1" x14ac:dyDescent="0.25">
      <c r="O665" s="4" t="s">
        <v>1094</v>
      </c>
      <c r="P665"/>
      <c r="AA665" s="19">
        <f t="shared" si="47"/>
        <v>43763</v>
      </c>
      <c r="AB665" s="20">
        <f t="shared" si="44"/>
        <v>6</v>
      </c>
      <c r="AC665" s="21">
        <f t="shared" si="45"/>
        <v>6</v>
      </c>
      <c r="AD665" s="22" t="str">
        <f t="shared" si="46"/>
        <v>ÚTIL</v>
      </c>
      <c r="AE665" s="25"/>
      <c r="AF665" s="9"/>
      <c r="AG665" s="9"/>
      <c r="AH665" s="9"/>
    </row>
    <row r="666" spans="15:34" hidden="1" x14ac:dyDescent="0.25">
      <c r="O666" s="4" t="s">
        <v>1095</v>
      </c>
      <c r="P666"/>
      <c r="AA666" s="19">
        <f t="shared" si="47"/>
        <v>43764</v>
      </c>
      <c r="AB666" s="20">
        <f t="shared" si="44"/>
        <v>7</v>
      </c>
      <c r="AC666" s="21">
        <f t="shared" si="45"/>
        <v>7</v>
      </c>
      <c r="AD666" s="22" t="str">
        <f t="shared" si="46"/>
        <v>NÃO ÚTIL</v>
      </c>
      <c r="AE666" s="25"/>
      <c r="AF666" s="9"/>
      <c r="AG666" s="9"/>
      <c r="AH666" s="9"/>
    </row>
    <row r="667" spans="15:34" hidden="1" x14ac:dyDescent="0.25">
      <c r="O667" s="4" t="s">
        <v>1096</v>
      </c>
      <c r="P667"/>
      <c r="AA667" s="19">
        <f t="shared" si="47"/>
        <v>43765</v>
      </c>
      <c r="AB667" s="20">
        <f t="shared" si="44"/>
        <v>1</v>
      </c>
      <c r="AC667" s="21">
        <f t="shared" si="45"/>
        <v>1</v>
      </c>
      <c r="AD667" s="22" t="str">
        <f t="shared" si="46"/>
        <v>NÃO ÚTIL</v>
      </c>
      <c r="AE667" s="25"/>
      <c r="AF667" s="9"/>
      <c r="AG667" s="9"/>
      <c r="AH667" s="9"/>
    </row>
    <row r="668" spans="15:34" hidden="1" x14ac:dyDescent="0.25">
      <c r="O668" s="4" t="s">
        <v>1097</v>
      </c>
      <c r="P668"/>
      <c r="AA668" s="19">
        <f t="shared" si="47"/>
        <v>43766</v>
      </c>
      <c r="AB668" s="20">
        <f t="shared" si="44"/>
        <v>2</v>
      </c>
      <c r="AC668" s="21">
        <f t="shared" si="45"/>
        <v>2</v>
      </c>
      <c r="AD668" s="22" t="str">
        <f t="shared" si="46"/>
        <v>ÚTIL</v>
      </c>
      <c r="AE668" s="25"/>
      <c r="AF668" s="9"/>
      <c r="AG668" s="9"/>
      <c r="AH668" s="9"/>
    </row>
    <row r="669" spans="15:34" hidden="1" x14ac:dyDescent="0.25">
      <c r="O669" s="4" t="s">
        <v>1098</v>
      </c>
      <c r="P669"/>
      <c r="AA669" s="19">
        <f t="shared" si="47"/>
        <v>43767</v>
      </c>
      <c r="AB669" s="20">
        <f t="shared" si="44"/>
        <v>3</v>
      </c>
      <c r="AC669" s="21">
        <f t="shared" si="45"/>
        <v>3</v>
      </c>
      <c r="AD669" s="22" t="str">
        <f t="shared" si="46"/>
        <v>ÚTIL</v>
      </c>
      <c r="AE669" s="25"/>
      <c r="AF669" s="9"/>
      <c r="AG669" s="9"/>
      <c r="AH669" s="9"/>
    </row>
    <row r="670" spans="15:34" hidden="1" x14ac:dyDescent="0.25">
      <c r="O670" s="4" t="s">
        <v>1099</v>
      </c>
      <c r="P670"/>
      <c r="AA670" s="19">
        <f t="shared" si="47"/>
        <v>43768</v>
      </c>
      <c r="AB670" s="20">
        <f t="shared" si="44"/>
        <v>4</v>
      </c>
      <c r="AC670" s="21">
        <f t="shared" si="45"/>
        <v>4</v>
      </c>
      <c r="AD670" s="22" t="str">
        <f t="shared" si="46"/>
        <v>ÚTIL</v>
      </c>
      <c r="AE670" s="25"/>
      <c r="AF670" s="9"/>
      <c r="AG670" s="9"/>
      <c r="AH670" s="9"/>
    </row>
    <row r="671" spans="15:34" hidden="1" x14ac:dyDescent="0.25">
      <c r="O671" s="4" t="s">
        <v>1100</v>
      </c>
      <c r="P671"/>
      <c r="AA671" s="19">
        <f t="shared" si="47"/>
        <v>43769</v>
      </c>
      <c r="AB671" s="20">
        <f t="shared" si="44"/>
        <v>5</v>
      </c>
      <c r="AC671" s="21">
        <f t="shared" si="45"/>
        <v>5</v>
      </c>
      <c r="AD671" s="22" t="str">
        <f t="shared" si="46"/>
        <v>ÚTIL</v>
      </c>
      <c r="AE671" s="25"/>
      <c r="AF671" s="9"/>
      <c r="AG671" s="9"/>
      <c r="AH671" s="9"/>
    </row>
    <row r="672" spans="15:34" hidden="1" x14ac:dyDescent="0.25">
      <c r="O672" s="4" t="s">
        <v>1101</v>
      </c>
      <c r="P672"/>
      <c r="AA672" s="19">
        <f t="shared" si="47"/>
        <v>43770</v>
      </c>
      <c r="AB672" s="20">
        <f t="shared" si="44"/>
        <v>6</v>
      </c>
      <c r="AC672" s="21">
        <f t="shared" si="45"/>
        <v>6</v>
      </c>
      <c r="AD672" s="22" t="str">
        <f t="shared" si="46"/>
        <v>ÚTIL</v>
      </c>
      <c r="AE672" s="25"/>
      <c r="AF672" s="9"/>
      <c r="AG672" s="9"/>
      <c r="AH672" s="9"/>
    </row>
    <row r="673" spans="15:34" hidden="1" x14ac:dyDescent="0.25">
      <c r="O673" s="4" t="s">
        <v>1102</v>
      </c>
      <c r="P673"/>
      <c r="AA673" s="19">
        <f t="shared" si="47"/>
        <v>43771</v>
      </c>
      <c r="AB673" s="20">
        <f t="shared" si="44"/>
        <v>7</v>
      </c>
      <c r="AC673" s="21">
        <f t="shared" si="45"/>
        <v>7</v>
      </c>
      <c r="AD673" s="22" t="str">
        <f t="shared" si="46"/>
        <v>NÃO ÚTIL</v>
      </c>
      <c r="AE673" s="25"/>
      <c r="AF673" s="9"/>
      <c r="AG673" s="9"/>
      <c r="AH673" s="9"/>
    </row>
    <row r="674" spans="15:34" hidden="1" x14ac:dyDescent="0.25">
      <c r="O674" s="4" t="s">
        <v>1103</v>
      </c>
      <c r="P674"/>
      <c r="AA674" s="19">
        <f t="shared" si="47"/>
        <v>43772</v>
      </c>
      <c r="AB674" s="20">
        <f t="shared" si="44"/>
        <v>1</v>
      </c>
      <c r="AC674" s="21">
        <f t="shared" si="45"/>
        <v>1</v>
      </c>
      <c r="AD674" s="22" t="str">
        <f t="shared" si="46"/>
        <v>NÃO ÚTIL</v>
      </c>
      <c r="AE674" s="25"/>
      <c r="AF674" s="9"/>
      <c r="AG674" s="9"/>
      <c r="AH674" s="9"/>
    </row>
    <row r="675" spans="15:34" hidden="1" x14ac:dyDescent="0.25">
      <c r="O675" s="4" t="s">
        <v>1104</v>
      </c>
      <c r="P675"/>
      <c r="AA675" s="19">
        <f t="shared" si="47"/>
        <v>43773</v>
      </c>
      <c r="AB675" s="20">
        <f t="shared" si="44"/>
        <v>2</v>
      </c>
      <c r="AC675" s="21">
        <f t="shared" si="45"/>
        <v>2</v>
      </c>
      <c r="AD675" s="22" t="str">
        <f t="shared" si="46"/>
        <v>ÚTIL</v>
      </c>
      <c r="AE675" s="25"/>
      <c r="AF675" s="9"/>
      <c r="AG675" s="9"/>
      <c r="AH675" s="9"/>
    </row>
    <row r="676" spans="15:34" hidden="1" x14ac:dyDescent="0.25">
      <c r="O676" s="4" t="s">
        <v>1105</v>
      </c>
      <c r="P676"/>
      <c r="AA676" s="19">
        <f t="shared" si="47"/>
        <v>43774</v>
      </c>
      <c r="AB676" s="20">
        <f t="shared" si="44"/>
        <v>3</v>
      </c>
      <c r="AC676" s="21">
        <f t="shared" si="45"/>
        <v>3</v>
      </c>
      <c r="AD676" s="22" t="str">
        <f t="shared" si="46"/>
        <v>ÚTIL</v>
      </c>
      <c r="AE676" s="25"/>
      <c r="AF676" s="9"/>
      <c r="AG676" s="9"/>
      <c r="AH676" s="9"/>
    </row>
    <row r="677" spans="15:34" hidden="1" x14ac:dyDescent="0.25">
      <c r="O677" s="4" t="s">
        <v>1106</v>
      </c>
      <c r="P677"/>
      <c r="AA677" s="19">
        <f t="shared" si="47"/>
        <v>43775</v>
      </c>
      <c r="AB677" s="20">
        <f t="shared" si="44"/>
        <v>4</v>
      </c>
      <c r="AC677" s="21">
        <f t="shared" si="45"/>
        <v>4</v>
      </c>
      <c r="AD677" s="22" t="str">
        <f t="shared" si="46"/>
        <v>ÚTIL</v>
      </c>
      <c r="AE677" s="25"/>
      <c r="AF677" s="9"/>
      <c r="AG677" s="9"/>
      <c r="AH677" s="9"/>
    </row>
    <row r="678" spans="15:34" hidden="1" x14ac:dyDescent="0.25">
      <c r="O678" s="4" t="s">
        <v>1107</v>
      </c>
      <c r="P678"/>
      <c r="AA678" s="19">
        <f t="shared" si="47"/>
        <v>43776</v>
      </c>
      <c r="AB678" s="20">
        <f t="shared" si="44"/>
        <v>5</v>
      </c>
      <c r="AC678" s="21">
        <f t="shared" si="45"/>
        <v>5</v>
      </c>
      <c r="AD678" s="22" t="str">
        <f t="shared" si="46"/>
        <v>ÚTIL</v>
      </c>
      <c r="AE678" s="25"/>
      <c r="AF678" s="9"/>
      <c r="AG678" s="9"/>
      <c r="AH678" s="9"/>
    </row>
    <row r="679" spans="15:34" hidden="1" x14ac:dyDescent="0.25">
      <c r="O679" s="4" t="s">
        <v>1108</v>
      </c>
      <c r="P679"/>
      <c r="AA679" s="19">
        <f t="shared" si="47"/>
        <v>43777</v>
      </c>
      <c r="AB679" s="20">
        <f t="shared" si="44"/>
        <v>6</v>
      </c>
      <c r="AC679" s="21">
        <f t="shared" si="45"/>
        <v>6</v>
      </c>
      <c r="AD679" s="22" t="str">
        <f t="shared" si="46"/>
        <v>ÚTIL</v>
      </c>
      <c r="AE679" s="25"/>
      <c r="AF679" s="9"/>
      <c r="AG679" s="9"/>
      <c r="AH679" s="9"/>
    </row>
    <row r="680" spans="15:34" hidden="1" x14ac:dyDescent="0.25">
      <c r="O680" s="4" t="s">
        <v>1109</v>
      </c>
      <c r="P680"/>
      <c r="AA680" s="19">
        <f t="shared" si="47"/>
        <v>43778</v>
      </c>
      <c r="AB680" s="20">
        <f t="shared" si="44"/>
        <v>7</v>
      </c>
      <c r="AC680" s="21">
        <f t="shared" si="45"/>
        <v>7</v>
      </c>
      <c r="AD680" s="22" t="str">
        <f t="shared" si="46"/>
        <v>NÃO ÚTIL</v>
      </c>
      <c r="AE680" s="25"/>
      <c r="AF680" s="9"/>
      <c r="AG680" s="9"/>
      <c r="AH680" s="9"/>
    </row>
    <row r="681" spans="15:34" hidden="1" x14ac:dyDescent="0.25">
      <c r="O681" s="4" t="s">
        <v>1110</v>
      </c>
      <c r="P681"/>
      <c r="AA681" s="19">
        <f t="shared" si="47"/>
        <v>43779</v>
      </c>
      <c r="AB681" s="20">
        <f t="shared" si="44"/>
        <v>1</v>
      </c>
      <c r="AC681" s="21">
        <f t="shared" si="45"/>
        <v>1</v>
      </c>
      <c r="AD681" s="22" t="str">
        <f t="shared" si="46"/>
        <v>NÃO ÚTIL</v>
      </c>
      <c r="AE681" s="25"/>
      <c r="AF681" s="9"/>
      <c r="AG681" s="9"/>
      <c r="AH681" s="9"/>
    </row>
    <row r="682" spans="15:34" hidden="1" x14ac:dyDescent="0.25">
      <c r="O682" s="4" t="s">
        <v>1111</v>
      </c>
      <c r="P682"/>
      <c r="AA682" s="19">
        <f t="shared" si="47"/>
        <v>43780</v>
      </c>
      <c r="AB682" s="20">
        <f t="shared" si="44"/>
        <v>2</v>
      </c>
      <c r="AC682" s="21">
        <f t="shared" si="45"/>
        <v>2</v>
      </c>
      <c r="AD682" s="22" t="str">
        <f t="shared" si="46"/>
        <v>ÚTIL</v>
      </c>
      <c r="AE682" s="25"/>
      <c r="AF682" s="9"/>
      <c r="AG682" s="9"/>
      <c r="AH682" s="9"/>
    </row>
    <row r="683" spans="15:34" hidden="1" x14ac:dyDescent="0.25">
      <c r="O683" s="4" t="s">
        <v>1112</v>
      </c>
      <c r="P683"/>
      <c r="AA683" s="19">
        <f t="shared" si="47"/>
        <v>43781</v>
      </c>
      <c r="AB683" s="20">
        <f t="shared" si="44"/>
        <v>3</v>
      </c>
      <c r="AC683" s="21">
        <f t="shared" si="45"/>
        <v>3</v>
      </c>
      <c r="AD683" s="22" t="str">
        <f t="shared" si="46"/>
        <v>ÚTIL</v>
      </c>
      <c r="AE683" s="25"/>
      <c r="AF683" s="9"/>
      <c r="AG683" s="9"/>
      <c r="AH683" s="9"/>
    </row>
    <row r="684" spans="15:34" hidden="1" x14ac:dyDescent="0.25">
      <c r="O684" s="4" t="s">
        <v>1113</v>
      </c>
      <c r="P684"/>
      <c r="AA684" s="19">
        <f t="shared" si="47"/>
        <v>43782</v>
      </c>
      <c r="AB684" s="20">
        <f t="shared" si="44"/>
        <v>4</v>
      </c>
      <c r="AC684" s="21">
        <f t="shared" si="45"/>
        <v>4</v>
      </c>
      <c r="AD684" s="22" t="str">
        <f t="shared" si="46"/>
        <v>ÚTIL</v>
      </c>
      <c r="AE684" s="25"/>
      <c r="AF684" s="9"/>
      <c r="AG684" s="9"/>
      <c r="AH684" s="9"/>
    </row>
    <row r="685" spans="15:34" hidden="1" x14ac:dyDescent="0.25">
      <c r="O685" s="4" t="s">
        <v>1114</v>
      </c>
      <c r="P685"/>
      <c r="AA685" s="19">
        <f t="shared" si="47"/>
        <v>43783</v>
      </c>
      <c r="AB685" s="20">
        <f t="shared" si="44"/>
        <v>5</v>
      </c>
      <c r="AC685" s="21">
        <f t="shared" si="45"/>
        <v>5</v>
      </c>
      <c r="AD685" s="22" t="str">
        <f t="shared" si="46"/>
        <v>ÚTIL</v>
      </c>
      <c r="AE685" s="25"/>
      <c r="AF685" s="9"/>
      <c r="AG685" s="9"/>
      <c r="AH685" s="9"/>
    </row>
    <row r="686" spans="15:34" hidden="1" x14ac:dyDescent="0.25">
      <c r="O686" s="4" t="s">
        <v>1115</v>
      </c>
      <c r="P686"/>
      <c r="AA686" s="19">
        <f t="shared" si="47"/>
        <v>43784</v>
      </c>
      <c r="AB686" s="20">
        <f t="shared" si="44"/>
        <v>6</v>
      </c>
      <c r="AC686" s="21">
        <f t="shared" si="45"/>
        <v>6</v>
      </c>
      <c r="AD686" s="22" t="str">
        <f t="shared" si="46"/>
        <v>ÚTIL</v>
      </c>
      <c r="AE686" s="25"/>
      <c r="AF686" s="9"/>
      <c r="AG686" s="9"/>
      <c r="AH686" s="9"/>
    </row>
    <row r="687" spans="15:34" hidden="1" x14ac:dyDescent="0.25">
      <c r="O687" s="4" t="s">
        <v>1116</v>
      </c>
      <c r="P687"/>
      <c r="AA687" s="19">
        <f t="shared" si="47"/>
        <v>43785</v>
      </c>
      <c r="AB687" s="20">
        <f t="shared" si="44"/>
        <v>7</v>
      </c>
      <c r="AC687" s="21">
        <f t="shared" si="45"/>
        <v>7</v>
      </c>
      <c r="AD687" s="22" t="str">
        <f t="shared" si="46"/>
        <v>NÃO ÚTIL</v>
      </c>
      <c r="AE687" s="25"/>
      <c r="AF687" s="9"/>
      <c r="AG687" s="9"/>
      <c r="AH687" s="9"/>
    </row>
    <row r="688" spans="15:34" hidden="1" x14ac:dyDescent="0.25">
      <c r="O688" s="4" t="s">
        <v>1117</v>
      </c>
      <c r="P688"/>
      <c r="AA688" s="19">
        <f t="shared" si="47"/>
        <v>43786</v>
      </c>
      <c r="AB688" s="20">
        <f t="shared" si="44"/>
        <v>1</v>
      </c>
      <c r="AC688" s="21">
        <f t="shared" si="45"/>
        <v>1</v>
      </c>
      <c r="AD688" s="22" t="str">
        <f t="shared" si="46"/>
        <v>NÃO ÚTIL</v>
      </c>
      <c r="AE688" s="25"/>
      <c r="AF688" s="9"/>
      <c r="AG688" s="9"/>
      <c r="AH688" s="9"/>
    </row>
    <row r="689" spans="15:34" hidden="1" x14ac:dyDescent="0.25">
      <c r="O689" s="4" t="s">
        <v>1118</v>
      </c>
      <c r="P689"/>
      <c r="AA689" s="19">
        <f t="shared" si="47"/>
        <v>43787</v>
      </c>
      <c r="AB689" s="20">
        <f t="shared" si="44"/>
        <v>2</v>
      </c>
      <c r="AC689" s="21">
        <f t="shared" si="45"/>
        <v>2</v>
      </c>
      <c r="AD689" s="22" t="str">
        <f t="shared" si="46"/>
        <v>ÚTIL</v>
      </c>
      <c r="AE689" s="25"/>
      <c r="AF689" s="9"/>
      <c r="AG689" s="9"/>
      <c r="AH689" s="9"/>
    </row>
    <row r="690" spans="15:34" hidden="1" x14ac:dyDescent="0.25">
      <c r="O690" s="4" t="s">
        <v>1119</v>
      </c>
      <c r="P690"/>
      <c r="AA690" s="19">
        <f t="shared" si="47"/>
        <v>43788</v>
      </c>
      <c r="AB690" s="20">
        <f t="shared" si="44"/>
        <v>3</v>
      </c>
      <c r="AC690" s="21">
        <f t="shared" si="45"/>
        <v>3</v>
      </c>
      <c r="AD690" s="22" t="str">
        <f t="shared" si="46"/>
        <v>ÚTIL</v>
      </c>
      <c r="AE690" s="25"/>
      <c r="AF690" s="9"/>
      <c r="AG690" s="9"/>
      <c r="AH690" s="9"/>
    </row>
    <row r="691" spans="15:34" hidden="1" x14ac:dyDescent="0.25">
      <c r="O691" s="4" t="s">
        <v>1120</v>
      </c>
      <c r="P691"/>
      <c r="AA691" s="19">
        <f t="shared" si="47"/>
        <v>43789</v>
      </c>
      <c r="AB691" s="20">
        <f t="shared" si="44"/>
        <v>4</v>
      </c>
      <c r="AC691" s="21">
        <f t="shared" si="45"/>
        <v>4</v>
      </c>
      <c r="AD691" s="22" t="str">
        <f t="shared" si="46"/>
        <v>ÚTIL</v>
      </c>
      <c r="AE691" s="25"/>
      <c r="AF691" s="9"/>
      <c r="AG691" s="9"/>
      <c r="AH691" s="9"/>
    </row>
    <row r="692" spans="15:34" hidden="1" x14ac:dyDescent="0.25">
      <c r="O692" s="4" t="s">
        <v>1121</v>
      </c>
      <c r="P692"/>
      <c r="AA692" s="19">
        <f t="shared" si="47"/>
        <v>43790</v>
      </c>
      <c r="AB692" s="20">
        <f t="shared" si="44"/>
        <v>5</v>
      </c>
      <c r="AC692" s="21">
        <f t="shared" si="45"/>
        <v>5</v>
      </c>
      <c r="AD692" s="22" t="str">
        <f t="shared" si="46"/>
        <v>ÚTIL</v>
      </c>
      <c r="AE692" s="25"/>
      <c r="AF692" s="9"/>
      <c r="AG692" s="9"/>
      <c r="AH692" s="9"/>
    </row>
    <row r="693" spans="15:34" hidden="1" x14ac:dyDescent="0.25">
      <c r="O693" s="4" t="s">
        <v>1122</v>
      </c>
      <c r="P693"/>
      <c r="AA693" s="19">
        <f t="shared" si="47"/>
        <v>43791</v>
      </c>
      <c r="AB693" s="20">
        <f t="shared" si="44"/>
        <v>6</v>
      </c>
      <c r="AC693" s="21">
        <f t="shared" si="45"/>
        <v>6</v>
      </c>
      <c r="AD693" s="22" t="str">
        <f t="shared" si="46"/>
        <v>ÚTIL</v>
      </c>
      <c r="AE693" s="25"/>
      <c r="AF693" s="9"/>
      <c r="AG693" s="9"/>
      <c r="AH693" s="9"/>
    </row>
    <row r="694" spans="15:34" hidden="1" x14ac:dyDescent="0.25">
      <c r="O694" s="4" t="s">
        <v>1123</v>
      </c>
      <c r="P694"/>
      <c r="AA694" s="19">
        <f t="shared" si="47"/>
        <v>43792</v>
      </c>
      <c r="AB694" s="20">
        <f t="shared" si="44"/>
        <v>7</v>
      </c>
      <c r="AC694" s="21">
        <f t="shared" si="45"/>
        <v>7</v>
      </c>
      <c r="AD694" s="22" t="str">
        <f t="shared" si="46"/>
        <v>NÃO ÚTIL</v>
      </c>
      <c r="AE694" s="25"/>
      <c r="AF694" s="9"/>
      <c r="AG694" s="9"/>
      <c r="AH694" s="9"/>
    </row>
    <row r="695" spans="15:34" hidden="1" x14ac:dyDescent="0.25">
      <c r="O695" s="4" t="s">
        <v>1124</v>
      </c>
      <c r="P695"/>
      <c r="AA695" s="19">
        <f t="shared" si="47"/>
        <v>43793</v>
      </c>
      <c r="AB695" s="20">
        <f t="shared" si="44"/>
        <v>1</v>
      </c>
      <c r="AC695" s="21">
        <f t="shared" si="45"/>
        <v>1</v>
      </c>
      <c r="AD695" s="22" t="str">
        <f t="shared" si="46"/>
        <v>NÃO ÚTIL</v>
      </c>
      <c r="AE695" s="25"/>
      <c r="AF695" s="9"/>
      <c r="AG695" s="9"/>
      <c r="AH695" s="9"/>
    </row>
    <row r="696" spans="15:34" hidden="1" x14ac:dyDescent="0.25">
      <c r="O696" s="4" t="s">
        <v>1125</v>
      </c>
      <c r="P696"/>
      <c r="AA696" s="19">
        <f t="shared" si="47"/>
        <v>43794</v>
      </c>
      <c r="AB696" s="20">
        <f t="shared" si="44"/>
        <v>2</v>
      </c>
      <c r="AC696" s="21">
        <f t="shared" si="45"/>
        <v>2</v>
      </c>
      <c r="AD696" s="22" t="str">
        <f t="shared" si="46"/>
        <v>ÚTIL</v>
      </c>
      <c r="AE696" s="25"/>
      <c r="AF696" s="9"/>
      <c r="AG696" s="9"/>
      <c r="AH696" s="9"/>
    </row>
    <row r="697" spans="15:34" hidden="1" x14ac:dyDescent="0.25">
      <c r="O697" s="4" t="s">
        <v>1126</v>
      </c>
      <c r="P697"/>
      <c r="AA697" s="19">
        <f t="shared" si="47"/>
        <v>43795</v>
      </c>
      <c r="AB697" s="20">
        <f t="shared" si="44"/>
        <v>3</v>
      </c>
      <c r="AC697" s="21">
        <f t="shared" si="45"/>
        <v>3</v>
      </c>
      <c r="AD697" s="22" t="str">
        <f t="shared" si="46"/>
        <v>ÚTIL</v>
      </c>
      <c r="AE697" s="25"/>
      <c r="AF697" s="9"/>
      <c r="AG697" s="9"/>
      <c r="AH697" s="9"/>
    </row>
    <row r="698" spans="15:34" hidden="1" x14ac:dyDescent="0.25">
      <c r="O698" s="4" t="s">
        <v>1127</v>
      </c>
      <c r="P698"/>
      <c r="AA698" s="19">
        <f t="shared" si="47"/>
        <v>43796</v>
      </c>
      <c r="AB698" s="20">
        <f t="shared" si="44"/>
        <v>4</v>
      </c>
      <c r="AC698" s="21">
        <f t="shared" si="45"/>
        <v>4</v>
      </c>
      <c r="AD698" s="22" t="str">
        <f t="shared" si="46"/>
        <v>ÚTIL</v>
      </c>
      <c r="AE698" s="25"/>
      <c r="AF698" s="9"/>
      <c r="AG698" s="9"/>
      <c r="AH698" s="9"/>
    </row>
    <row r="699" spans="15:34" hidden="1" x14ac:dyDescent="0.25">
      <c r="O699" s="4" t="s">
        <v>1128</v>
      </c>
      <c r="P699"/>
      <c r="AA699" s="19">
        <f t="shared" si="47"/>
        <v>43797</v>
      </c>
      <c r="AB699" s="20">
        <f t="shared" si="44"/>
        <v>5</v>
      </c>
      <c r="AC699" s="21">
        <f t="shared" si="45"/>
        <v>5</v>
      </c>
      <c r="AD699" s="22" t="str">
        <f t="shared" si="46"/>
        <v>ÚTIL</v>
      </c>
      <c r="AE699" s="25"/>
      <c r="AF699" s="9"/>
      <c r="AG699" s="9"/>
      <c r="AH699" s="9"/>
    </row>
    <row r="700" spans="15:34" hidden="1" x14ac:dyDescent="0.25">
      <c r="O700" s="4" t="s">
        <v>1129</v>
      </c>
      <c r="P700"/>
      <c r="AA700" s="19">
        <f t="shared" si="47"/>
        <v>43798</v>
      </c>
      <c r="AB700" s="20">
        <f t="shared" si="44"/>
        <v>6</v>
      </c>
      <c r="AC700" s="21">
        <f t="shared" si="45"/>
        <v>6</v>
      </c>
      <c r="AD700" s="22" t="str">
        <f t="shared" si="46"/>
        <v>ÚTIL</v>
      </c>
      <c r="AE700" s="25"/>
      <c r="AF700" s="9"/>
      <c r="AG700" s="9"/>
      <c r="AH700" s="9"/>
    </row>
    <row r="701" spans="15:34" hidden="1" x14ac:dyDescent="0.25">
      <c r="O701" s="4" t="s">
        <v>1130</v>
      </c>
      <c r="P701"/>
      <c r="AA701" s="19">
        <f t="shared" si="47"/>
        <v>43799</v>
      </c>
      <c r="AB701" s="20">
        <f t="shared" si="44"/>
        <v>7</v>
      </c>
      <c r="AC701" s="21">
        <f t="shared" si="45"/>
        <v>7</v>
      </c>
      <c r="AD701" s="22" t="str">
        <f t="shared" si="46"/>
        <v>NÃO ÚTIL</v>
      </c>
      <c r="AE701" s="25"/>
      <c r="AF701" s="9"/>
      <c r="AG701" s="9"/>
      <c r="AH701" s="9"/>
    </row>
    <row r="702" spans="15:34" hidden="1" x14ac:dyDescent="0.25">
      <c r="O702" s="4" t="s">
        <v>1131</v>
      </c>
      <c r="P702"/>
      <c r="AA702" s="19">
        <f t="shared" si="47"/>
        <v>43800</v>
      </c>
      <c r="AB702" s="20">
        <f t="shared" si="44"/>
        <v>1</v>
      </c>
      <c r="AC702" s="21">
        <f t="shared" si="45"/>
        <v>1</v>
      </c>
      <c r="AD702" s="22" t="str">
        <f t="shared" si="46"/>
        <v>NÃO ÚTIL</v>
      </c>
      <c r="AE702" s="25"/>
      <c r="AF702" s="9"/>
      <c r="AG702" s="9"/>
      <c r="AH702" s="9"/>
    </row>
    <row r="703" spans="15:34" hidden="1" x14ac:dyDescent="0.25">
      <c r="O703" s="4" t="s">
        <v>1132</v>
      </c>
      <c r="P703"/>
      <c r="AA703" s="19">
        <f t="shared" si="47"/>
        <v>43801</v>
      </c>
      <c r="AB703" s="20">
        <f t="shared" si="44"/>
        <v>2</v>
      </c>
      <c r="AC703" s="21">
        <f t="shared" si="45"/>
        <v>2</v>
      </c>
      <c r="AD703" s="22" t="str">
        <f t="shared" si="46"/>
        <v>ÚTIL</v>
      </c>
      <c r="AE703" s="25"/>
      <c r="AF703" s="9"/>
      <c r="AG703" s="9"/>
      <c r="AH703" s="9"/>
    </row>
    <row r="704" spans="15:34" hidden="1" x14ac:dyDescent="0.25">
      <c r="O704" s="4" t="s">
        <v>1133</v>
      </c>
      <c r="P704"/>
      <c r="AA704" s="19">
        <f t="shared" si="47"/>
        <v>43802</v>
      </c>
      <c r="AB704" s="20">
        <f t="shared" si="44"/>
        <v>3</v>
      </c>
      <c r="AC704" s="21">
        <f t="shared" si="45"/>
        <v>3</v>
      </c>
      <c r="AD704" s="22" t="str">
        <f t="shared" si="46"/>
        <v>ÚTIL</v>
      </c>
      <c r="AE704" s="25"/>
      <c r="AF704" s="9"/>
      <c r="AG704" s="9"/>
      <c r="AH704" s="9"/>
    </row>
    <row r="705" spans="15:34" hidden="1" x14ac:dyDescent="0.25">
      <c r="O705" s="4" t="s">
        <v>1134</v>
      </c>
      <c r="P705"/>
      <c r="AA705" s="19">
        <f t="shared" si="47"/>
        <v>43803</v>
      </c>
      <c r="AB705" s="20">
        <f t="shared" si="44"/>
        <v>4</v>
      </c>
      <c r="AC705" s="21">
        <f t="shared" si="45"/>
        <v>4</v>
      </c>
      <c r="AD705" s="22" t="str">
        <f t="shared" si="46"/>
        <v>ÚTIL</v>
      </c>
      <c r="AE705" s="25"/>
      <c r="AF705" s="9"/>
      <c r="AG705" s="9"/>
      <c r="AH705" s="9"/>
    </row>
    <row r="706" spans="15:34" hidden="1" x14ac:dyDescent="0.25">
      <c r="O706" s="4" t="s">
        <v>1135</v>
      </c>
      <c r="P706"/>
      <c r="AA706" s="19">
        <f t="shared" si="47"/>
        <v>43804</v>
      </c>
      <c r="AB706" s="20">
        <f t="shared" si="44"/>
        <v>5</v>
      </c>
      <c r="AC706" s="21">
        <f t="shared" si="45"/>
        <v>5</v>
      </c>
      <c r="AD706" s="22" t="str">
        <f t="shared" si="46"/>
        <v>ÚTIL</v>
      </c>
      <c r="AE706" s="25"/>
      <c r="AF706" s="9"/>
      <c r="AG706" s="9"/>
      <c r="AH706" s="9"/>
    </row>
    <row r="707" spans="15:34" hidden="1" x14ac:dyDescent="0.25">
      <c r="O707" s="4" t="s">
        <v>1136</v>
      </c>
      <c r="P707"/>
      <c r="AA707" s="19">
        <f t="shared" si="47"/>
        <v>43805</v>
      </c>
      <c r="AB707" s="20">
        <f t="shared" ref="AB707:AB770" si="48">AC707</f>
        <v>6</v>
      </c>
      <c r="AC707" s="21">
        <f t="shared" ref="AC707:AC770" si="49">WEEKDAY(AA707)</f>
        <v>6</v>
      </c>
      <c r="AD707" s="22" t="str">
        <f t="shared" ref="AD707:AD770" si="50">IF(WORKDAY(AA707-1,1,$AE$3:$AE$14)=AA707,"ÚTIL","NÃO ÚTIL")</f>
        <v>ÚTIL</v>
      </c>
      <c r="AE707" s="25"/>
      <c r="AF707" s="9"/>
      <c r="AG707" s="9"/>
      <c r="AH707" s="9"/>
    </row>
    <row r="708" spans="15:34" hidden="1" x14ac:dyDescent="0.25">
      <c r="O708" s="4" t="s">
        <v>1137</v>
      </c>
      <c r="P708"/>
      <c r="AA708" s="19">
        <f t="shared" ref="AA708:AA771" si="51">AA707+1</f>
        <v>43806</v>
      </c>
      <c r="AB708" s="20">
        <f t="shared" si="48"/>
        <v>7</v>
      </c>
      <c r="AC708" s="21">
        <f t="shared" si="49"/>
        <v>7</v>
      </c>
      <c r="AD708" s="22" t="str">
        <f t="shared" si="50"/>
        <v>NÃO ÚTIL</v>
      </c>
      <c r="AE708" s="25"/>
      <c r="AF708" s="9"/>
      <c r="AG708" s="9"/>
      <c r="AH708" s="9"/>
    </row>
    <row r="709" spans="15:34" hidden="1" x14ac:dyDescent="0.25">
      <c r="O709" s="4" t="s">
        <v>1138</v>
      </c>
      <c r="P709"/>
      <c r="AA709" s="19">
        <f t="shared" si="51"/>
        <v>43807</v>
      </c>
      <c r="AB709" s="20">
        <f t="shared" si="48"/>
        <v>1</v>
      </c>
      <c r="AC709" s="21">
        <f t="shared" si="49"/>
        <v>1</v>
      </c>
      <c r="AD709" s="22" t="str">
        <f t="shared" si="50"/>
        <v>NÃO ÚTIL</v>
      </c>
      <c r="AE709" s="25"/>
      <c r="AF709" s="9"/>
      <c r="AG709" s="9"/>
      <c r="AH709" s="9"/>
    </row>
    <row r="710" spans="15:34" hidden="1" x14ac:dyDescent="0.25">
      <c r="O710" s="4" t="s">
        <v>1139</v>
      </c>
      <c r="P710"/>
      <c r="AA710" s="19">
        <f t="shared" si="51"/>
        <v>43808</v>
      </c>
      <c r="AB710" s="20">
        <f t="shared" si="48"/>
        <v>2</v>
      </c>
      <c r="AC710" s="21">
        <f t="shared" si="49"/>
        <v>2</v>
      </c>
      <c r="AD710" s="22" t="str">
        <f t="shared" si="50"/>
        <v>ÚTIL</v>
      </c>
      <c r="AE710" s="25"/>
      <c r="AF710" s="9"/>
      <c r="AG710" s="9"/>
      <c r="AH710" s="9"/>
    </row>
    <row r="711" spans="15:34" hidden="1" x14ac:dyDescent="0.25">
      <c r="O711" s="4" t="s">
        <v>1140</v>
      </c>
      <c r="P711"/>
      <c r="AA711" s="19">
        <f t="shared" si="51"/>
        <v>43809</v>
      </c>
      <c r="AB711" s="20">
        <f t="shared" si="48"/>
        <v>3</v>
      </c>
      <c r="AC711" s="21">
        <f t="shared" si="49"/>
        <v>3</v>
      </c>
      <c r="AD711" s="22" t="str">
        <f t="shared" si="50"/>
        <v>ÚTIL</v>
      </c>
      <c r="AE711" s="25"/>
      <c r="AF711" s="9"/>
      <c r="AG711" s="9"/>
      <c r="AH711" s="9"/>
    </row>
    <row r="712" spans="15:34" hidden="1" x14ac:dyDescent="0.25">
      <c r="O712" s="4" t="s">
        <v>1141</v>
      </c>
      <c r="P712"/>
      <c r="AA712" s="19">
        <f t="shared" si="51"/>
        <v>43810</v>
      </c>
      <c r="AB712" s="20">
        <f t="shared" si="48"/>
        <v>4</v>
      </c>
      <c r="AC712" s="21">
        <f t="shared" si="49"/>
        <v>4</v>
      </c>
      <c r="AD712" s="22" t="str">
        <f t="shared" si="50"/>
        <v>ÚTIL</v>
      </c>
      <c r="AE712" s="25"/>
      <c r="AF712" s="9"/>
      <c r="AG712" s="9"/>
      <c r="AH712" s="9"/>
    </row>
    <row r="713" spans="15:34" hidden="1" x14ac:dyDescent="0.25">
      <c r="O713" s="4" t="s">
        <v>1142</v>
      </c>
      <c r="P713"/>
      <c r="AA713" s="19">
        <f t="shared" si="51"/>
        <v>43811</v>
      </c>
      <c r="AB713" s="20">
        <f t="shared" si="48"/>
        <v>5</v>
      </c>
      <c r="AC713" s="21">
        <f t="shared" si="49"/>
        <v>5</v>
      </c>
      <c r="AD713" s="22" t="str">
        <f t="shared" si="50"/>
        <v>ÚTIL</v>
      </c>
      <c r="AE713" s="25"/>
      <c r="AF713" s="9"/>
      <c r="AG713" s="9"/>
      <c r="AH713" s="9"/>
    </row>
    <row r="714" spans="15:34" hidden="1" x14ac:dyDescent="0.25">
      <c r="O714" s="4" t="s">
        <v>1143</v>
      </c>
      <c r="P714"/>
      <c r="AA714" s="19">
        <f t="shared" si="51"/>
        <v>43812</v>
      </c>
      <c r="AB714" s="20">
        <f t="shared" si="48"/>
        <v>6</v>
      </c>
      <c r="AC714" s="21">
        <f t="shared" si="49"/>
        <v>6</v>
      </c>
      <c r="AD714" s="22" t="str">
        <f t="shared" si="50"/>
        <v>ÚTIL</v>
      </c>
      <c r="AE714" s="25"/>
      <c r="AF714" s="9"/>
      <c r="AG714" s="9"/>
      <c r="AH714" s="9"/>
    </row>
    <row r="715" spans="15:34" hidden="1" x14ac:dyDescent="0.25">
      <c r="O715" s="4" t="s">
        <v>1144</v>
      </c>
      <c r="P715"/>
      <c r="AA715" s="19">
        <f t="shared" si="51"/>
        <v>43813</v>
      </c>
      <c r="AB715" s="20">
        <f t="shared" si="48"/>
        <v>7</v>
      </c>
      <c r="AC715" s="21">
        <f t="shared" si="49"/>
        <v>7</v>
      </c>
      <c r="AD715" s="22" t="str">
        <f t="shared" si="50"/>
        <v>NÃO ÚTIL</v>
      </c>
      <c r="AE715" s="25"/>
      <c r="AF715" s="9"/>
      <c r="AG715" s="9"/>
      <c r="AH715" s="9"/>
    </row>
    <row r="716" spans="15:34" hidden="1" x14ac:dyDescent="0.25">
      <c r="O716" s="4" t="s">
        <v>1145</v>
      </c>
      <c r="P716"/>
      <c r="AA716" s="19">
        <f t="shared" si="51"/>
        <v>43814</v>
      </c>
      <c r="AB716" s="20">
        <f t="shared" si="48"/>
        <v>1</v>
      </c>
      <c r="AC716" s="21">
        <f t="shared" si="49"/>
        <v>1</v>
      </c>
      <c r="AD716" s="22" t="str">
        <f t="shared" si="50"/>
        <v>NÃO ÚTIL</v>
      </c>
      <c r="AE716" s="25"/>
      <c r="AF716" s="9"/>
      <c r="AG716" s="9"/>
      <c r="AH716" s="9"/>
    </row>
    <row r="717" spans="15:34" hidden="1" x14ac:dyDescent="0.25">
      <c r="O717" s="4" t="s">
        <v>1146</v>
      </c>
      <c r="P717"/>
      <c r="AA717" s="19">
        <f t="shared" si="51"/>
        <v>43815</v>
      </c>
      <c r="AB717" s="20">
        <f t="shared" si="48"/>
        <v>2</v>
      </c>
      <c r="AC717" s="21">
        <f t="shared" si="49"/>
        <v>2</v>
      </c>
      <c r="AD717" s="22" t="str">
        <f t="shared" si="50"/>
        <v>ÚTIL</v>
      </c>
      <c r="AE717" s="25"/>
      <c r="AF717" s="9"/>
      <c r="AG717" s="9"/>
      <c r="AH717" s="9"/>
    </row>
    <row r="718" spans="15:34" hidden="1" x14ac:dyDescent="0.25">
      <c r="O718" s="4" t="s">
        <v>1147</v>
      </c>
      <c r="P718"/>
      <c r="AA718" s="19">
        <f t="shared" si="51"/>
        <v>43816</v>
      </c>
      <c r="AB718" s="20">
        <f t="shared" si="48"/>
        <v>3</v>
      </c>
      <c r="AC718" s="21">
        <f t="shared" si="49"/>
        <v>3</v>
      </c>
      <c r="AD718" s="22" t="str">
        <f t="shared" si="50"/>
        <v>ÚTIL</v>
      </c>
      <c r="AE718" s="25"/>
      <c r="AF718" s="9"/>
      <c r="AG718" s="9"/>
      <c r="AH718" s="9"/>
    </row>
    <row r="719" spans="15:34" hidden="1" x14ac:dyDescent="0.25">
      <c r="O719" s="4" t="s">
        <v>1148</v>
      </c>
      <c r="P719"/>
      <c r="AA719" s="19">
        <f t="shared" si="51"/>
        <v>43817</v>
      </c>
      <c r="AB719" s="20">
        <f t="shared" si="48"/>
        <v>4</v>
      </c>
      <c r="AC719" s="21">
        <f t="shared" si="49"/>
        <v>4</v>
      </c>
      <c r="AD719" s="22" t="str">
        <f t="shared" si="50"/>
        <v>ÚTIL</v>
      </c>
      <c r="AE719" s="25"/>
      <c r="AF719" s="9"/>
      <c r="AG719" s="9"/>
      <c r="AH719" s="9"/>
    </row>
    <row r="720" spans="15:34" hidden="1" x14ac:dyDescent="0.25">
      <c r="O720" s="4" t="s">
        <v>1149</v>
      </c>
      <c r="P720"/>
      <c r="AA720" s="19">
        <f t="shared" si="51"/>
        <v>43818</v>
      </c>
      <c r="AB720" s="20">
        <f t="shared" si="48"/>
        <v>5</v>
      </c>
      <c r="AC720" s="21">
        <f t="shared" si="49"/>
        <v>5</v>
      </c>
      <c r="AD720" s="22" t="str">
        <f t="shared" si="50"/>
        <v>ÚTIL</v>
      </c>
      <c r="AE720" s="25"/>
      <c r="AF720" s="9"/>
      <c r="AG720" s="9"/>
      <c r="AH720" s="9"/>
    </row>
    <row r="721" spans="15:34" hidden="1" x14ac:dyDescent="0.25">
      <c r="O721" s="4" t="s">
        <v>1150</v>
      </c>
      <c r="P721"/>
      <c r="AA721" s="19">
        <f t="shared" si="51"/>
        <v>43819</v>
      </c>
      <c r="AB721" s="20">
        <f t="shared" si="48"/>
        <v>6</v>
      </c>
      <c r="AC721" s="21">
        <f t="shared" si="49"/>
        <v>6</v>
      </c>
      <c r="AD721" s="22" t="str">
        <f t="shared" si="50"/>
        <v>ÚTIL</v>
      </c>
      <c r="AE721" s="25"/>
      <c r="AF721" s="9"/>
      <c r="AG721" s="9"/>
      <c r="AH721" s="9"/>
    </row>
    <row r="722" spans="15:34" hidden="1" x14ac:dyDescent="0.25">
      <c r="O722" s="4" t="s">
        <v>1151</v>
      </c>
      <c r="P722"/>
      <c r="AA722" s="19">
        <f t="shared" si="51"/>
        <v>43820</v>
      </c>
      <c r="AB722" s="20">
        <f t="shared" si="48"/>
        <v>7</v>
      </c>
      <c r="AC722" s="21">
        <f t="shared" si="49"/>
        <v>7</v>
      </c>
      <c r="AD722" s="22" t="str">
        <f t="shared" si="50"/>
        <v>NÃO ÚTIL</v>
      </c>
      <c r="AE722" s="25"/>
      <c r="AF722" s="9"/>
      <c r="AG722" s="9"/>
      <c r="AH722" s="9"/>
    </row>
    <row r="723" spans="15:34" hidden="1" x14ac:dyDescent="0.25">
      <c r="O723" s="4" t="s">
        <v>1152</v>
      </c>
      <c r="P723"/>
      <c r="AA723" s="19">
        <f t="shared" si="51"/>
        <v>43821</v>
      </c>
      <c r="AB723" s="20">
        <f t="shared" si="48"/>
        <v>1</v>
      </c>
      <c r="AC723" s="21">
        <f t="shared" si="49"/>
        <v>1</v>
      </c>
      <c r="AD723" s="22" t="str">
        <f t="shared" si="50"/>
        <v>NÃO ÚTIL</v>
      </c>
      <c r="AE723" s="25"/>
      <c r="AF723" s="9"/>
      <c r="AG723" s="9"/>
      <c r="AH723" s="9"/>
    </row>
    <row r="724" spans="15:34" hidden="1" x14ac:dyDescent="0.25">
      <c r="O724" s="4" t="s">
        <v>1153</v>
      </c>
      <c r="P724"/>
      <c r="AA724" s="19">
        <f t="shared" si="51"/>
        <v>43822</v>
      </c>
      <c r="AB724" s="20">
        <f t="shared" si="48"/>
        <v>2</v>
      </c>
      <c r="AC724" s="21">
        <f t="shared" si="49"/>
        <v>2</v>
      </c>
      <c r="AD724" s="22" t="str">
        <f t="shared" si="50"/>
        <v>ÚTIL</v>
      </c>
      <c r="AE724" s="25"/>
      <c r="AF724" s="9"/>
      <c r="AG724" s="9"/>
      <c r="AH724" s="9"/>
    </row>
    <row r="725" spans="15:34" hidden="1" x14ac:dyDescent="0.25">
      <c r="O725" s="4" t="s">
        <v>1154</v>
      </c>
      <c r="P725"/>
      <c r="AA725" s="19">
        <f t="shared" si="51"/>
        <v>43823</v>
      </c>
      <c r="AB725" s="20">
        <f t="shared" si="48"/>
        <v>3</v>
      </c>
      <c r="AC725" s="21">
        <f t="shared" si="49"/>
        <v>3</v>
      </c>
      <c r="AD725" s="22" t="str">
        <f t="shared" si="50"/>
        <v>ÚTIL</v>
      </c>
      <c r="AE725" s="25"/>
      <c r="AF725" s="9"/>
      <c r="AG725" s="9"/>
      <c r="AH725" s="9"/>
    </row>
    <row r="726" spans="15:34" hidden="1" x14ac:dyDescent="0.25">
      <c r="O726" s="4" t="s">
        <v>1155</v>
      </c>
      <c r="P726"/>
      <c r="AA726" s="19">
        <f t="shared" si="51"/>
        <v>43824</v>
      </c>
      <c r="AB726" s="20">
        <f t="shared" si="48"/>
        <v>4</v>
      </c>
      <c r="AC726" s="21">
        <f t="shared" si="49"/>
        <v>4</v>
      </c>
      <c r="AD726" s="22" t="str">
        <f t="shared" si="50"/>
        <v>ÚTIL</v>
      </c>
      <c r="AE726" s="25"/>
      <c r="AF726" s="9"/>
      <c r="AG726" s="9"/>
      <c r="AH726" s="9"/>
    </row>
    <row r="727" spans="15:34" hidden="1" x14ac:dyDescent="0.25">
      <c r="O727" s="4" t="s">
        <v>1156</v>
      </c>
      <c r="P727"/>
      <c r="AA727" s="19">
        <f t="shared" si="51"/>
        <v>43825</v>
      </c>
      <c r="AB727" s="20">
        <f t="shared" si="48"/>
        <v>5</v>
      </c>
      <c r="AC727" s="21">
        <f t="shared" si="49"/>
        <v>5</v>
      </c>
      <c r="AD727" s="22" t="str">
        <f t="shared" si="50"/>
        <v>ÚTIL</v>
      </c>
      <c r="AE727" s="25"/>
      <c r="AF727" s="9"/>
      <c r="AG727" s="9"/>
      <c r="AH727" s="9"/>
    </row>
    <row r="728" spans="15:34" hidden="1" x14ac:dyDescent="0.25">
      <c r="O728" s="4" t="s">
        <v>1157</v>
      </c>
      <c r="P728"/>
      <c r="AA728" s="19">
        <f t="shared" si="51"/>
        <v>43826</v>
      </c>
      <c r="AB728" s="20">
        <f t="shared" si="48"/>
        <v>6</v>
      </c>
      <c r="AC728" s="21">
        <f t="shared" si="49"/>
        <v>6</v>
      </c>
      <c r="AD728" s="22" t="str">
        <f t="shared" si="50"/>
        <v>ÚTIL</v>
      </c>
      <c r="AE728" s="25"/>
      <c r="AF728" s="9"/>
      <c r="AG728" s="9"/>
      <c r="AH728" s="9"/>
    </row>
    <row r="729" spans="15:34" hidden="1" x14ac:dyDescent="0.25">
      <c r="O729" s="4" t="s">
        <v>1158</v>
      </c>
      <c r="P729"/>
      <c r="AA729" s="19">
        <f t="shared" si="51"/>
        <v>43827</v>
      </c>
      <c r="AB729" s="20">
        <f t="shared" si="48"/>
        <v>7</v>
      </c>
      <c r="AC729" s="21">
        <f t="shared" si="49"/>
        <v>7</v>
      </c>
      <c r="AD729" s="22" t="str">
        <f t="shared" si="50"/>
        <v>NÃO ÚTIL</v>
      </c>
      <c r="AE729" s="25"/>
      <c r="AF729" s="9"/>
      <c r="AG729" s="9"/>
      <c r="AH729" s="9"/>
    </row>
    <row r="730" spans="15:34" hidden="1" x14ac:dyDescent="0.25">
      <c r="O730" s="4" t="s">
        <v>1159</v>
      </c>
      <c r="P730"/>
      <c r="AA730" s="19">
        <f t="shared" si="51"/>
        <v>43828</v>
      </c>
      <c r="AB730" s="20">
        <f t="shared" si="48"/>
        <v>1</v>
      </c>
      <c r="AC730" s="21">
        <f t="shared" si="49"/>
        <v>1</v>
      </c>
      <c r="AD730" s="22" t="str">
        <f t="shared" si="50"/>
        <v>NÃO ÚTIL</v>
      </c>
      <c r="AE730" s="25"/>
      <c r="AF730" s="9"/>
      <c r="AG730" s="9"/>
      <c r="AH730" s="9"/>
    </row>
    <row r="731" spans="15:34" hidden="1" x14ac:dyDescent="0.25">
      <c r="O731" s="4" t="s">
        <v>1160</v>
      </c>
      <c r="P731"/>
      <c r="AA731" s="19">
        <f t="shared" si="51"/>
        <v>43829</v>
      </c>
      <c r="AB731" s="20">
        <f t="shared" si="48"/>
        <v>2</v>
      </c>
      <c r="AC731" s="21">
        <f t="shared" si="49"/>
        <v>2</v>
      </c>
      <c r="AD731" s="22" t="str">
        <f t="shared" si="50"/>
        <v>ÚTIL</v>
      </c>
      <c r="AE731" s="25"/>
      <c r="AF731" s="9"/>
      <c r="AG731" s="9"/>
      <c r="AH731" s="9"/>
    </row>
    <row r="732" spans="15:34" hidden="1" x14ac:dyDescent="0.25">
      <c r="O732" s="4" t="s">
        <v>1161</v>
      </c>
      <c r="P732"/>
      <c r="AA732" s="19">
        <f t="shared" si="51"/>
        <v>43830</v>
      </c>
      <c r="AB732" s="20">
        <f t="shared" si="48"/>
        <v>3</v>
      </c>
      <c r="AC732" s="21">
        <f t="shared" si="49"/>
        <v>3</v>
      </c>
      <c r="AD732" s="22" t="str">
        <f t="shared" si="50"/>
        <v>ÚTIL</v>
      </c>
      <c r="AE732" s="25"/>
      <c r="AF732" s="9"/>
      <c r="AG732" s="9"/>
      <c r="AH732" s="9"/>
    </row>
    <row r="733" spans="15:34" hidden="1" x14ac:dyDescent="0.25">
      <c r="O733" s="4" t="s">
        <v>1162</v>
      </c>
      <c r="P733"/>
      <c r="AA733" s="19">
        <f t="shared" si="51"/>
        <v>43831</v>
      </c>
      <c r="AB733" s="20">
        <f t="shared" si="48"/>
        <v>4</v>
      </c>
      <c r="AC733" s="21">
        <f t="shared" si="49"/>
        <v>4</v>
      </c>
      <c r="AD733" s="22" t="str">
        <f t="shared" si="50"/>
        <v>ÚTIL</v>
      </c>
      <c r="AE733" s="25"/>
      <c r="AF733" s="9"/>
      <c r="AG733" s="9"/>
      <c r="AH733" s="9"/>
    </row>
    <row r="734" spans="15:34" hidden="1" x14ac:dyDescent="0.25">
      <c r="O734" s="4" t="s">
        <v>1163</v>
      </c>
      <c r="P734"/>
      <c r="AA734" s="19">
        <f t="shared" si="51"/>
        <v>43832</v>
      </c>
      <c r="AB734" s="20">
        <f t="shared" si="48"/>
        <v>5</v>
      </c>
      <c r="AC734" s="21">
        <f t="shared" si="49"/>
        <v>5</v>
      </c>
      <c r="AD734" s="22" t="str">
        <f t="shared" si="50"/>
        <v>ÚTIL</v>
      </c>
      <c r="AE734" s="25"/>
      <c r="AF734" s="9"/>
      <c r="AG734" s="9"/>
      <c r="AH734" s="9"/>
    </row>
    <row r="735" spans="15:34" hidden="1" x14ac:dyDescent="0.25">
      <c r="O735" s="4" t="s">
        <v>1164</v>
      </c>
      <c r="P735"/>
      <c r="AA735" s="19">
        <f t="shared" si="51"/>
        <v>43833</v>
      </c>
      <c r="AB735" s="20">
        <f t="shared" si="48"/>
        <v>6</v>
      </c>
      <c r="AC735" s="21">
        <f t="shared" si="49"/>
        <v>6</v>
      </c>
      <c r="AD735" s="22" t="str">
        <f t="shared" si="50"/>
        <v>ÚTIL</v>
      </c>
      <c r="AE735" s="25"/>
      <c r="AF735" s="9"/>
      <c r="AG735" s="9"/>
      <c r="AH735" s="9"/>
    </row>
    <row r="736" spans="15:34" hidden="1" x14ac:dyDescent="0.25">
      <c r="O736" s="4" t="s">
        <v>1165</v>
      </c>
      <c r="P736"/>
      <c r="AA736" s="19">
        <f t="shared" si="51"/>
        <v>43834</v>
      </c>
      <c r="AB736" s="20">
        <f t="shared" si="48"/>
        <v>7</v>
      </c>
      <c r="AC736" s="21">
        <f t="shared" si="49"/>
        <v>7</v>
      </c>
      <c r="AD736" s="22" t="str">
        <f t="shared" si="50"/>
        <v>NÃO ÚTIL</v>
      </c>
      <c r="AE736" s="25"/>
      <c r="AF736" s="9"/>
      <c r="AG736" s="9"/>
      <c r="AH736" s="9"/>
    </row>
    <row r="737" spans="15:34" hidden="1" x14ac:dyDescent="0.25">
      <c r="O737" s="4" t="s">
        <v>1166</v>
      </c>
      <c r="P737"/>
      <c r="AA737" s="19">
        <f t="shared" si="51"/>
        <v>43835</v>
      </c>
      <c r="AB737" s="20">
        <f t="shared" si="48"/>
        <v>1</v>
      </c>
      <c r="AC737" s="21">
        <f t="shared" si="49"/>
        <v>1</v>
      </c>
      <c r="AD737" s="22" t="str">
        <f t="shared" si="50"/>
        <v>NÃO ÚTIL</v>
      </c>
      <c r="AE737" s="25"/>
      <c r="AF737" s="9"/>
      <c r="AG737" s="9"/>
      <c r="AH737" s="9"/>
    </row>
    <row r="738" spans="15:34" hidden="1" x14ac:dyDescent="0.25">
      <c r="O738" s="4" t="s">
        <v>1167</v>
      </c>
      <c r="P738"/>
      <c r="AA738" s="19">
        <f t="shared" si="51"/>
        <v>43836</v>
      </c>
      <c r="AB738" s="20">
        <f t="shared" si="48"/>
        <v>2</v>
      </c>
      <c r="AC738" s="21">
        <f t="shared" si="49"/>
        <v>2</v>
      </c>
      <c r="AD738" s="22" t="str">
        <f t="shared" si="50"/>
        <v>ÚTIL</v>
      </c>
      <c r="AE738" s="25"/>
      <c r="AF738" s="9"/>
      <c r="AG738" s="9"/>
      <c r="AH738" s="9"/>
    </row>
    <row r="739" spans="15:34" hidden="1" x14ac:dyDescent="0.25">
      <c r="O739" s="4" t="s">
        <v>1168</v>
      </c>
      <c r="P739"/>
      <c r="AA739" s="19">
        <f t="shared" si="51"/>
        <v>43837</v>
      </c>
      <c r="AB739" s="20">
        <f t="shared" si="48"/>
        <v>3</v>
      </c>
      <c r="AC739" s="21">
        <f t="shared" si="49"/>
        <v>3</v>
      </c>
      <c r="AD739" s="22" t="str">
        <f t="shared" si="50"/>
        <v>ÚTIL</v>
      </c>
      <c r="AE739" s="25"/>
      <c r="AF739" s="9"/>
      <c r="AG739" s="9"/>
      <c r="AH739" s="9"/>
    </row>
    <row r="740" spans="15:34" hidden="1" x14ac:dyDescent="0.25">
      <c r="O740" s="4" t="s">
        <v>1169</v>
      </c>
      <c r="P740"/>
      <c r="AA740" s="19">
        <f t="shared" si="51"/>
        <v>43838</v>
      </c>
      <c r="AB740" s="20">
        <f t="shared" si="48"/>
        <v>4</v>
      </c>
      <c r="AC740" s="21">
        <f t="shared" si="49"/>
        <v>4</v>
      </c>
      <c r="AD740" s="22" t="str">
        <f t="shared" si="50"/>
        <v>ÚTIL</v>
      </c>
      <c r="AE740" s="25"/>
      <c r="AF740" s="9"/>
      <c r="AG740" s="9"/>
      <c r="AH740" s="9"/>
    </row>
    <row r="741" spans="15:34" hidden="1" x14ac:dyDescent="0.25">
      <c r="O741" s="4" t="s">
        <v>1170</v>
      </c>
      <c r="P741"/>
      <c r="AA741" s="19">
        <f t="shared" si="51"/>
        <v>43839</v>
      </c>
      <c r="AB741" s="20">
        <f t="shared" si="48"/>
        <v>5</v>
      </c>
      <c r="AC741" s="21">
        <f t="shared" si="49"/>
        <v>5</v>
      </c>
      <c r="AD741" s="22" t="str">
        <f t="shared" si="50"/>
        <v>ÚTIL</v>
      </c>
      <c r="AE741" s="25"/>
      <c r="AF741" s="9"/>
      <c r="AG741" s="9"/>
      <c r="AH741" s="9"/>
    </row>
    <row r="742" spans="15:34" hidden="1" x14ac:dyDescent="0.25">
      <c r="O742" s="4" t="s">
        <v>1171</v>
      </c>
      <c r="P742"/>
      <c r="AA742" s="19">
        <f t="shared" si="51"/>
        <v>43840</v>
      </c>
      <c r="AB742" s="20">
        <f t="shared" si="48"/>
        <v>6</v>
      </c>
      <c r="AC742" s="21">
        <f t="shared" si="49"/>
        <v>6</v>
      </c>
      <c r="AD742" s="22" t="str">
        <f t="shared" si="50"/>
        <v>ÚTIL</v>
      </c>
      <c r="AE742" s="25"/>
      <c r="AF742" s="9"/>
      <c r="AG742" s="9"/>
      <c r="AH742" s="9"/>
    </row>
    <row r="743" spans="15:34" hidden="1" x14ac:dyDescent="0.25">
      <c r="O743" s="4" t="s">
        <v>1172</v>
      </c>
      <c r="P743"/>
      <c r="AA743" s="19">
        <f t="shared" si="51"/>
        <v>43841</v>
      </c>
      <c r="AB743" s="20">
        <f t="shared" si="48"/>
        <v>7</v>
      </c>
      <c r="AC743" s="21">
        <f t="shared" si="49"/>
        <v>7</v>
      </c>
      <c r="AD743" s="22" t="str">
        <f t="shared" si="50"/>
        <v>NÃO ÚTIL</v>
      </c>
      <c r="AE743" s="25"/>
      <c r="AF743" s="9"/>
      <c r="AG743" s="9"/>
      <c r="AH743" s="9"/>
    </row>
    <row r="744" spans="15:34" hidden="1" x14ac:dyDescent="0.25">
      <c r="O744" s="4" t="s">
        <v>1173</v>
      </c>
      <c r="P744"/>
      <c r="AA744" s="19">
        <f t="shared" si="51"/>
        <v>43842</v>
      </c>
      <c r="AB744" s="20">
        <f t="shared" si="48"/>
        <v>1</v>
      </c>
      <c r="AC744" s="21">
        <f t="shared" si="49"/>
        <v>1</v>
      </c>
      <c r="AD744" s="22" t="str">
        <f t="shared" si="50"/>
        <v>NÃO ÚTIL</v>
      </c>
      <c r="AE744" s="25"/>
      <c r="AF744" s="9"/>
      <c r="AG744" s="9"/>
      <c r="AH744" s="9"/>
    </row>
    <row r="745" spans="15:34" hidden="1" x14ac:dyDescent="0.25">
      <c r="O745" s="4" t="s">
        <v>1174</v>
      </c>
      <c r="P745"/>
      <c r="AA745" s="19">
        <f t="shared" si="51"/>
        <v>43843</v>
      </c>
      <c r="AB745" s="20">
        <f t="shared" si="48"/>
        <v>2</v>
      </c>
      <c r="AC745" s="21">
        <f t="shared" si="49"/>
        <v>2</v>
      </c>
      <c r="AD745" s="22" t="str">
        <f t="shared" si="50"/>
        <v>ÚTIL</v>
      </c>
      <c r="AE745" s="25"/>
      <c r="AF745" s="9"/>
      <c r="AG745" s="9"/>
      <c r="AH745" s="9"/>
    </row>
    <row r="746" spans="15:34" hidden="1" x14ac:dyDescent="0.25">
      <c r="O746" s="4" t="s">
        <v>1175</v>
      </c>
      <c r="P746"/>
      <c r="AA746" s="19">
        <f t="shared" si="51"/>
        <v>43844</v>
      </c>
      <c r="AB746" s="20">
        <f t="shared" si="48"/>
        <v>3</v>
      </c>
      <c r="AC746" s="21">
        <f t="shared" si="49"/>
        <v>3</v>
      </c>
      <c r="AD746" s="22" t="str">
        <f t="shared" si="50"/>
        <v>ÚTIL</v>
      </c>
      <c r="AE746" s="25"/>
      <c r="AF746" s="9"/>
      <c r="AG746" s="9"/>
      <c r="AH746" s="9"/>
    </row>
    <row r="747" spans="15:34" hidden="1" x14ac:dyDescent="0.25">
      <c r="O747" s="4" t="s">
        <v>1176</v>
      </c>
      <c r="P747"/>
      <c r="AA747" s="19">
        <f t="shared" si="51"/>
        <v>43845</v>
      </c>
      <c r="AB747" s="20">
        <f t="shared" si="48"/>
        <v>4</v>
      </c>
      <c r="AC747" s="21">
        <f t="shared" si="49"/>
        <v>4</v>
      </c>
      <c r="AD747" s="22" t="str">
        <f t="shared" si="50"/>
        <v>ÚTIL</v>
      </c>
      <c r="AE747" s="25"/>
      <c r="AF747" s="9"/>
      <c r="AG747" s="9"/>
      <c r="AH747" s="9"/>
    </row>
    <row r="748" spans="15:34" hidden="1" x14ac:dyDescent="0.25">
      <c r="O748" s="4" t="s">
        <v>1177</v>
      </c>
      <c r="P748"/>
      <c r="AA748" s="19">
        <f t="shared" si="51"/>
        <v>43846</v>
      </c>
      <c r="AB748" s="20">
        <f t="shared" si="48"/>
        <v>5</v>
      </c>
      <c r="AC748" s="21">
        <f t="shared" si="49"/>
        <v>5</v>
      </c>
      <c r="AD748" s="22" t="str">
        <f t="shared" si="50"/>
        <v>ÚTIL</v>
      </c>
      <c r="AE748" s="25"/>
      <c r="AF748" s="9"/>
      <c r="AG748" s="9"/>
      <c r="AH748" s="9"/>
    </row>
    <row r="749" spans="15:34" hidden="1" x14ac:dyDescent="0.25">
      <c r="O749" s="4" t="s">
        <v>1178</v>
      </c>
      <c r="P749"/>
      <c r="AA749" s="19">
        <f t="shared" si="51"/>
        <v>43847</v>
      </c>
      <c r="AB749" s="20">
        <f t="shared" si="48"/>
        <v>6</v>
      </c>
      <c r="AC749" s="21">
        <f t="shared" si="49"/>
        <v>6</v>
      </c>
      <c r="AD749" s="22" t="str">
        <f t="shared" si="50"/>
        <v>ÚTIL</v>
      </c>
      <c r="AE749" s="25"/>
      <c r="AF749" s="9"/>
      <c r="AG749" s="9"/>
      <c r="AH749" s="9"/>
    </row>
    <row r="750" spans="15:34" hidden="1" x14ac:dyDescent="0.25">
      <c r="O750" s="4" t="s">
        <v>1179</v>
      </c>
      <c r="P750"/>
      <c r="AA750" s="19">
        <f t="shared" si="51"/>
        <v>43848</v>
      </c>
      <c r="AB750" s="20">
        <f t="shared" si="48"/>
        <v>7</v>
      </c>
      <c r="AC750" s="21">
        <f t="shared" si="49"/>
        <v>7</v>
      </c>
      <c r="AD750" s="22" t="str">
        <f t="shared" si="50"/>
        <v>NÃO ÚTIL</v>
      </c>
      <c r="AE750" s="25"/>
      <c r="AF750" s="9"/>
      <c r="AG750" s="9"/>
      <c r="AH750" s="9"/>
    </row>
    <row r="751" spans="15:34" hidden="1" x14ac:dyDescent="0.25">
      <c r="O751" s="4" t="s">
        <v>1180</v>
      </c>
      <c r="P751"/>
      <c r="AA751" s="19">
        <f t="shared" si="51"/>
        <v>43849</v>
      </c>
      <c r="AB751" s="20">
        <f t="shared" si="48"/>
        <v>1</v>
      </c>
      <c r="AC751" s="21">
        <f t="shared" si="49"/>
        <v>1</v>
      </c>
      <c r="AD751" s="22" t="str">
        <f t="shared" si="50"/>
        <v>NÃO ÚTIL</v>
      </c>
      <c r="AE751" s="25"/>
      <c r="AF751" s="9"/>
      <c r="AG751" s="9"/>
      <c r="AH751" s="9"/>
    </row>
    <row r="752" spans="15:34" hidden="1" x14ac:dyDescent="0.25">
      <c r="O752" s="4" t="s">
        <v>1181</v>
      </c>
      <c r="P752"/>
      <c r="AA752" s="19">
        <f t="shared" si="51"/>
        <v>43850</v>
      </c>
      <c r="AB752" s="20">
        <f t="shared" si="48"/>
        <v>2</v>
      </c>
      <c r="AC752" s="21">
        <f t="shared" si="49"/>
        <v>2</v>
      </c>
      <c r="AD752" s="22" t="str">
        <f t="shared" si="50"/>
        <v>ÚTIL</v>
      </c>
      <c r="AE752" s="25"/>
      <c r="AF752" s="9"/>
      <c r="AG752" s="9"/>
      <c r="AH752" s="9"/>
    </row>
    <row r="753" spans="15:34" hidden="1" x14ac:dyDescent="0.25">
      <c r="O753" s="4" t="s">
        <v>1182</v>
      </c>
      <c r="P753"/>
      <c r="AA753" s="19">
        <f t="shared" si="51"/>
        <v>43851</v>
      </c>
      <c r="AB753" s="20">
        <f t="shared" si="48"/>
        <v>3</v>
      </c>
      <c r="AC753" s="21">
        <f t="shared" si="49"/>
        <v>3</v>
      </c>
      <c r="AD753" s="22" t="str">
        <f t="shared" si="50"/>
        <v>ÚTIL</v>
      </c>
      <c r="AE753" s="25"/>
      <c r="AF753" s="9"/>
      <c r="AG753" s="9"/>
      <c r="AH753" s="9"/>
    </row>
    <row r="754" spans="15:34" hidden="1" x14ac:dyDescent="0.25">
      <c r="O754" s="4" t="s">
        <v>1183</v>
      </c>
      <c r="P754"/>
      <c r="AA754" s="19">
        <f t="shared" si="51"/>
        <v>43852</v>
      </c>
      <c r="AB754" s="20">
        <f t="shared" si="48"/>
        <v>4</v>
      </c>
      <c r="AC754" s="21">
        <f t="shared" si="49"/>
        <v>4</v>
      </c>
      <c r="AD754" s="22" t="str">
        <f t="shared" si="50"/>
        <v>ÚTIL</v>
      </c>
      <c r="AE754" s="25"/>
      <c r="AF754" s="9"/>
      <c r="AG754" s="9"/>
      <c r="AH754" s="9"/>
    </row>
    <row r="755" spans="15:34" hidden="1" x14ac:dyDescent="0.25">
      <c r="O755" s="4" t="s">
        <v>1184</v>
      </c>
      <c r="P755"/>
      <c r="AA755" s="19">
        <f t="shared" si="51"/>
        <v>43853</v>
      </c>
      <c r="AB755" s="20">
        <f t="shared" si="48"/>
        <v>5</v>
      </c>
      <c r="AC755" s="21">
        <f t="shared" si="49"/>
        <v>5</v>
      </c>
      <c r="AD755" s="22" t="str">
        <f t="shared" si="50"/>
        <v>ÚTIL</v>
      </c>
      <c r="AE755" s="25"/>
      <c r="AF755" s="9"/>
      <c r="AG755" s="9"/>
      <c r="AH755" s="9"/>
    </row>
    <row r="756" spans="15:34" hidden="1" x14ac:dyDescent="0.25">
      <c r="O756" s="4" t="s">
        <v>1185</v>
      </c>
      <c r="P756"/>
      <c r="AA756" s="19">
        <f t="shared" si="51"/>
        <v>43854</v>
      </c>
      <c r="AB756" s="20">
        <f t="shared" si="48"/>
        <v>6</v>
      </c>
      <c r="AC756" s="21">
        <f t="shared" si="49"/>
        <v>6</v>
      </c>
      <c r="AD756" s="22" t="str">
        <f t="shared" si="50"/>
        <v>ÚTIL</v>
      </c>
      <c r="AE756" s="25"/>
      <c r="AF756" s="9"/>
      <c r="AG756" s="9"/>
      <c r="AH756" s="9"/>
    </row>
    <row r="757" spans="15:34" hidden="1" x14ac:dyDescent="0.25">
      <c r="O757" s="4" t="s">
        <v>1186</v>
      </c>
      <c r="P757"/>
      <c r="AA757" s="19">
        <f t="shared" si="51"/>
        <v>43855</v>
      </c>
      <c r="AB757" s="20">
        <f t="shared" si="48"/>
        <v>7</v>
      </c>
      <c r="AC757" s="21">
        <f t="shared" si="49"/>
        <v>7</v>
      </c>
      <c r="AD757" s="22" t="str">
        <f t="shared" si="50"/>
        <v>NÃO ÚTIL</v>
      </c>
      <c r="AE757" s="25"/>
      <c r="AF757" s="9"/>
      <c r="AG757" s="9"/>
      <c r="AH757" s="9"/>
    </row>
    <row r="758" spans="15:34" hidden="1" x14ac:dyDescent="0.25">
      <c r="O758" s="4" t="s">
        <v>1187</v>
      </c>
      <c r="P758"/>
      <c r="AA758" s="19">
        <f t="shared" si="51"/>
        <v>43856</v>
      </c>
      <c r="AB758" s="20">
        <f t="shared" si="48"/>
        <v>1</v>
      </c>
      <c r="AC758" s="21">
        <f t="shared" si="49"/>
        <v>1</v>
      </c>
      <c r="AD758" s="22" t="str">
        <f t="shared" si="50"/>
        <v>NÃO ÚTIL</v>
      </c>
      <c r="AE758" s="25"/>
      <c r="AF758" s="9"/>
      <c r="AG758" s="9"/>
      <c r="AH758" s="9"/>
    </row>
    <row r="759" spans="15:34" hidden="1" x14ac:dyDescent="0.25">
      <c r="O759" s="4" t="s">
        <v>1188</v>
      </c>
      <c r="P759"/>
      <c r="AA759" s="19">
        <f t="shared" si="51"/>
        <v>43857</v>
      </c>
      <c r="AB759" s="20">
        <f t="shared" si="48"/>
        <v>2</v>
      </c>
      <c r="AC759" s="21">
        <f t="shared" si="49"/>
        <v>2</v>
      </c>
      <c r="AD759" s="22" t="str">
        <f t="shared" si="50"/>
        <v>ÚTIL</v>
      </c>
      <c r="AE759" s="25"/>
      <c r="AF759" s="9"/>
      <c r="AG759" s="9"/>
      <c r="AH759" s="9"/>
    </row>
    <row r="760" spans="15:34" hidden="1" x14ac:dyDescent="0.25">
      <c r="O760" s="4" t="s">
        <v>1189</v>
      </c>
      <c r="P760"/>
      <c r="AA760" s="19">
        <f t="shared" si="51"/>
        <v>43858</v>
      </c>
      <c r="AB760" s="20">
        <f t="shared" si="48"/>
        <v>3</v>
      </c>
      <c r="AC760" s="21">
        <f t="shared" si="49"/>
        <v>3</v>
      </c>
      <c r="AD760" s="22" t="str">
        <f t="shared" si="50"/>
        <v>ÚTIL</v>
      </c>
      <c r="AE760" s="25"/>
      <c r="AF760" s="9"/>
      <c r="AG760" s="9"/>
      <c r="AH760" s="9"/>
    </row>
    <row r="761" spans="15:34" hidden="1" x14ac:dyDescent="0.25">
      <c r="O761" s="4" t="s">
        <v>1190</v>
      </c>
      <c r="P761"/>
      <c r="AA761" s="19">
        <f t="shared" si="51"/>
        <v>43859</v>
      </c>
      <c r="AB761" s="20">
        <f t="shared" si="48"/>
        <v>4</v>
      </c>
      <c r="AC761" s="21">
        <f t="shared" si="49"/>
        <v>4</v>
      </c>
      <c r="AD761" s="22" t="str">
        <f t="shared" si="50"/>
        <v>ÚTIL</v>
      </c>
      <c r="AE761" s="25"/>
      <c r="AF761" s="9"/>
      <c r="AG761" s="9"/>
      <c r="AH761" s="9"/>
    </row>
    <row r="762" spans="15:34" hidden="1" x14ac:dyDescent="0.25">
      <c r="O762" s="4" t="s">
        <v>1191</v>
      </c>
      <c r="P762"/>
      <c r="AA762" s="19">
        <f t="shared" si="51"/>
        <v>43860</v>
      </c>
      <c r="AB762" s="20">
        <f t="shared" si="48"/>
        <v>5</v>
      </c>
      <c r="AC762" s="21">
        <f t="shared" si="49"/>
        <v>5</v>
      </c>
      <c r="AD762" s="22" t="str">
        <f t="shared" si="50"/>
        <v>ÚTIL</v>
      </c>
      <c r="AE762" s="25"/>
      <c r="AF762" s="9"/>
      <c r="AG762" s="9"/>
      <c r="AH762" s="9"/>
    </row>
    <row r="763" spans="15:34" hidden="1" x14ac:dyDescent="0.25">
      <c r="O763" s="4" t="s">
        <v>1192</v>
      </c>
      <c r="P763"/>
      <c r="AA763" s="19">
        <f t="shared" si="51"/>
        <v>43861</v>
      </c>
      <c r="AB763" s="20">
        <f t="shared" si="48"/>
        <v>6</v>
      </c>
      <c r="AC763" s="21">
        <f t="shared" si="49"/>
        <v>6</v>
      </c>
      <c r="AD763" s="22" t="str">
        <f t="shared" si="50"/>
        <v>ÚTIL</v>
      </c>
      <c r="AE763" s="25"/>
      <c r="AF763" s="9"/>
      <c r="AG763" s="9"/>
      <c r="AH763" s="9"/>
    </row>
    <row r="764" spans="15:34" hidden="1" x14ac:dyDescent="0.25">
      <c r="O764" s="4" t="s">
        <v>1193</v>
      </c>
      <c r="P764"/>
      <c r="AA764" s="19">
        <f t="shared" si="51"/>
        <v>43862</v>
      </c>
      <c r="AB764" s="20">
        <f t="shared" si="48"/>
        <v>7</v>
      </c>
      <c r="AC764" s="21">
        <f t="shared" si="49"/>
        <v>7</v>
      </c>
      <c r="AD764" s="22" t="str">
        <f t="shared" si="50"/>
        <v>NÃO ÚTIL</v>
      </c>
      <c r="AE764" s="25"/>
      <c r="AF764" s="9"/>
      <c r="AG764" s="9"/>
      <c r="AH764" s="9"/>
    </row>
    <row r="765" spans="15:34" hidden="1" x14ac:dyDescent="0.25">
      <c r="O765" s="4" t="s">
        <v>1194</v>
      </c>
      <c r="P765"/>
      <c r="AA765" s="19">
        <f t="shared" si="51"/>
        <v>43863</v>
      </c>
      <c r="AB765" s="20">
        <f t="shared" si="48"/>
        <v>1</v>
      </c>
      <c r="AC765" s="21">
        <f t="shared" si="49"/>
        <v>1</v>
      </c>
      <c r="AD765" s="22" t="str">
        <f t="shared" si="50"/>
        <v>NÃO ÚTIL</v>
      </c>
      <c r="AE765" s="25"/>
      <c r="AF765" s="9"/>
      <c r="AG765" s="9"/>
      <c r="AH765" s="9"/>
    </row>
    <row r="766" spans="15:34" hidden="1" x14ac:dyDescent="0.25">
      <c r="O766" s="4" t="s">
        <v>1195</v>
      </c>
      <c r="P766"/>
      <c r="AA766" s="19">
        <f t="shared" si="51"/>
        <v>43864</v>
      </c>
      <c r="AB766" s="20">
        <f t="shared" si="48"/>
        <v>2</v>
      </c>
      <c r="AC766" s="21">
        <f t="shared" si="49"/>
        <v>2</v>
      </c>
      <c r="AD766" s="22" t="str">
        <f t="shared" si="50"/>
        <v>ÚTIL</v>
      </c>
      <c r="AE766" s="25"/>
      <c r="AF766" s="9"/>
      <c r="AG766" s="9"/>
      <c r="AH766" s="9"/>
    </row>
    <row r="767" spans="15:34" hidden="1" x14ac:dyDescent="0.25">
      <c r="O767" s="4" t="s">
        <v>1196</v>
      </c>
      <c r="P767"/>
      <c r="AA767" s="19">
        <f t="shared" si="51"/>
        <v>43865</v>
      </c>
      <c r="AB767" s="20">
        <f t="shared" si="48"/>
        <v>3</v>
      </c>
      <c r="AC767" s="21">
        <f t="shared" si="49"/>
        <v>3</v>
      </c>
      <c r="AD767" s="22" t="str">
        <f t="shared" si="50"/>
        <v>ÚTIL</v>
      </c>
      <c r="AE767" s="25"/>
      <c r="AF767" s="9"/>
      <c r="AG767" s="9"/>
      <c r="AH767" s="9"/>
    </row>
    <row r="768" spans="15:34" hidden="1" x14ac:dyDescent="0.25">
      <c r="O768" s="4" t="s">
        <v>1197</v>
      </c>
      <c r="P768"/>
      <c r="AA768" s="19">
        <f t="shared" si="51"/>
        <v>43866</v>
      </c>
      <c r="AB768" s="20">
        <f t="shared" si="48"/>
        <v>4</v>
      </c>
      <c r="AC768" s="21">
        <f t="shared" si="49"/>
        <v>4</v>
      </c>
      <c r="AD768" s="22" t="str">
        <f t="shared" si="50"/>
        <v>ÚTIL</v>
      </c>
      <c r="AE768" s="25"/>
      <c r="AF768" s="9"/>
      <c r="AG768" s="9"/>
      <c r="AH768" s="9"/>
    </row>
    <row r="769" spans="15:34" hidden="1" x14ac:dyDescent="0.25">
      <c r="O769" s="4" t="s">
        <v>1198</v>
      </c>
      <c r="P769"/>
      <c r="AA769" s="19">
        <f t="shared" si="51"/>
        <v>43867</v>
      </c>
      <c r="AB769" s="20">
        <f t="shared" si="48"/>
        <v>5</v>
      </c>
      <c r="AC769" s="21">
        <f t="shared" si="49"/>
        <v>5</v>
      </c>
      <c r="AD769" s="22" t="str">
        <f t="shared" si="50"/>
        <v>ÚTIL</v>
      </c>
      <c r="AE769" s="25"/>
      <c r="AF769" s="9"/>
      <c r="AG769" s="9"/>
      <c r="AH769" s="9"/>
    </row>
    <row r="770" spans="15:34" hidden="1" x14ac:dyDescent="0.25">
      <c r="O770" s="4" t="s">
        <v>1199</v>
      </c>
      <c r="P770"/>
      <c r="AA770" s="19">
        <f t="shared" si="51"/>
        <v>43868</v>
      </c>
      <c r="AB770" s="20">
        <f t="shared" si="48"/>
        <v>6</v>
      </c>
      <c r="AC770" s="21">
        <f t="shared" si="49"/>
        <v>6</v>
      </c>
      <c r="AD770" s="22" t="str">
        <f t="shared" si="50"/>
        <v>ÚTIL</v>
      </c>
      <c r="AE770" s="25"/>
      <c r="AF770" s="9"/>
      <c r="AG770" s="9"/>
      <c r="AH770" s="9"/>
    </row>
    <row r="771" spans="15:34" hidden="1" x14ac:dyDescent="0.25">
      <c r="O771" s="4" t="s">
        <v>1200</v>
      </c>
      <c r="P771"/>
      <c r="AA771" s="19">
        <f t="shared" si="51"/>
        <v>43869</v>
      </c>
      <c r="AB771" s="20">
        <f t="shared" ref="AB771:AB834" si="52">AC771</f>
        <v>7</v>
      </c>
      <c r="AC771" s="21">
        <f t="shared" ref="AC771:AC834" si="53">WEEKDAY(AA771)</f>
        <v>7</v>
      </c>
      <c r="AD771" s="22" t="str">
        <f t="shared" ref="AD771:AD834" si="54">IF(WORKDAY(AA771-1,1,$AE$3:$AE$14)=AA771,"ÚTIL","NÃO ÚTIL")</f>
        <v>NÃO ÚTIL</v>
      </c>
      <c r="AE771" s="25"/>
      <c r="AF771" s="9"/>
      <c r="AG771" s="9"/>
      <c r="AH771" s="9"/>
    </row>
    <row r="772" spans="15:34" hidden="1" x14ac:dyDescent="0.25">
      <c r="O772" s="4" t="s">
        <v>1201</v>
      </c>
      <c r="P772"/>
      <c r="AA772" s="19">
        <f t="shared" ref="AA772:AA835" si="55">AA771+1</f>
        <v>43870</v>
      </c>
      <c r="AB772" s="20">
        <f t="shared" si="52"/>
        <v>1</v>
      </c>
      <c r="AC772" s="21">
        <f t="shared" si="53"/>
        <v>1</v>
      </c>
      <c r="AD772" s="22" t="str">
        <f t="shared" si="54"/>
        <v>NÃO ÚTIL</v>
      </c>
      <c r="AE772" s="25"/>
      <c r="AF772" s="9"/>
      <c r="AG772" s="9"/>
      <c r="AH772" s="9"/>
    </row>
    <row r="773" spans="15:34" hidden="1" x14ac:dyDescent="0.25">
      <c r="O773" s="4" t="s">
        <v>1202</v>
      </c>
      <c r="P773"/>
      <c r="AA773" s="19">
        <f t="shared" si="55"/>
        <v>43871</v>
      </c>
      <c r="AB773" s="20">
        <f t="shared" si="52"/>
        <v>2</v>
      </c>
      <c r="AC773" s="21">
        <f t="shared" si="53"/>
        <v>2</v>
      </c>
      <c r="AD773" s="22" t="str">
        <f t="shared" si="54"/>
        <v>ÚTIL</v>
      </c>
      <c r="AE773" s="25"/>
      <c r="AF773" s="9"/>
      <c r="AG773" s="9"/>
      <c r="AH773" s="9"/>
    </row>
    <row r="774" spans="15:34" hidden="1" x14ac:dyDescent="0.25">
      <c r="O774" s="4" t="s">
        <v>1203</v>
      </c>
      <c r="P774"/>
      <c r="AA774" s="19">
        <f t="shared" si="55"/>
        <v>43872</v>
      </c>
      <c r="AB774" s="20">
        <f t="shared" si="52"/>
        <v>3</v>
      </c>
      <c r="AC774" s="21">
        <f t="shared" si="53"/>
        <v>3</v>
      </c>
      <c r="AD774" s="22" t="str">
        <f t="shared" si="54"/>
        <v>ÚTIL</v>
      </c>
      <c r="AE774" s="25"/>
      <c r="AF774" s="9"/>
      <c r="AG774" s="9"/>
      <c r="AH774" s="9"/>
    </row>
    <row r="775" spans="15:34" hidden="1" x14ac:dyDescent="0.25">
      <c r="O775" s="4" t="s">
        <v>1204</v>
      </c>
      <c r="P775"/>
      <c r="AA775" s="19">
        <f t="shared" si="55"/>
        <v>43873</v>
      </c>
      <c r="AB775" s="20">
        <f t="shared" si="52"/>
        <v>4</v>
      </c>
      <c r="AC775" s="21">
        <f t="shared" si="53"/>
        <v>4</v>
      </c>
      <c r="AD775" s="22" t="str">
        <f t="shared" si="54"/>
        <v>ÚTIL</v>
      </c>
      <c r="AE775" s="25"/>
      <c r="AF775" s="9"/>
      <c r="AG775" s="9"/>
      <c r="AH775" s="9"/>
    </row>
    <row r="776" spans="15:34" hidden="1" x14ac:dyDescent="0.25">
      <c r="O776" s="4" t="s">
        <v>1205</v>
      </c>
      <c r="P776"/>
      <c r="AA776" s="19">
        <f t="shared" si="55"/>
        <v>43874</v>
      </c>
      <c r="AB776" s="20">
        <f t="shared" si="52"/>
        <v>5</v>
      </c>
      <c r="AC776" s="21">
        <f t="shared" si="53"/>
        <v>5</v>
      </c>
      <c r="AD776" s="22" t="str">
        <f t="shared" si="54"/>
        <v>ÚTIL</v>
      </c>
      <c r="AE776" s="25"/>
      <c r="AF776" s="9"/>
      <c r="AG776" s="9"/>
      <c r="AH776" s="9"/>
    </row>
    <row r="777" spans="15:34" hidden="1" x14ac:dyDescent="0.25">
      <c r="O777" s="4" t="s">
        <v>1206</v>
      </c>
      <c r="P777"/>
      <c r="AA777" s="19">
        <f t="shared" si="55"/>
        <v>43875</v>
      </c>
      <c r="AB777" s="20">
        <f t="shared" si="52"/>
        <v>6</v>
      </c>
      <c r="AC777" s="21">
        <f t="shared" si="53"/>
        <v>6</v>
      </c>
      <c r="AD777" s="22" t="str">
        <f t="shared" si="54"/>
        <v>ÚTIL</v>
      </c>
      <c r="AE777" s="25"/>
      <c r="AF777" s="9"/>
      <c r="AG777" s="9"/>
      <c r="AH777" s="9"/>
    </row>
    <row r="778" spans="15:34" hidden="1" x14ac:dyDescent="0.25">
      <c r="O778" s="4" t="s">
        <v>1207</v>
      </c>
      <c r="P778"/>
      <c r="AA778" s="19">
        <f t="shared" si="55"/>
        <v>43876</v>
      </c>
      <c r="AB778" s="20">
        <f t="shared" si="52"/>
        <v>7</v>
      </c>
      <c r="AC778" s="21">
        <f t="shared" si="53"/>
        <v>7</v>
      </c>
      <c r="AD778" s="22" t="str">
        <f t="shared" si="54"/>
        <v>NÃO ÚTIL</v>
      </c>
      <c r="AE778" s="25"/>
      <c r="AF778" s="9"/>
      <c r="AG778" s="9"/>
      <c r="AH778" s="9"/>
    </row>
    <row r="779" spans="15:34" hidden="1" x14ac:dyDescent="0.25">
      <c r="O779" s="4" t="s">
        <v>1208</v>
      </c>
      <c r="P779"/>
      <c r="AA779" s="19">
        <f t="shared" si="55"/>
        <v>43877</v>
      </c>
      <c r="AB779" s="20">
        <f t="shared" si="52"/>
        <v>1</v>
      </c>
      <c r="AC779" s="21">
        <f t="shared" si="53"/>
        <v>1</v>
      </c>
      <c r="AD779" s="22" t="str">
        <f t="shared" si="54"/>
        <v>NÃO ÚTIL</v>
      </c>
      <c r="AE779" s="25"/>
      <c r="AF779" s="9"/>
      <c r="AG779" s="9"/>
      <c r="AH779" s="9"/>
    </row>
    <row r="780" spans="15:34" hidden="1" x14ac:dyDescent="0.25">
      <c r="O780" s="4" t="s">
        <v>1209</v>
      </c>
      <c r="P780"/>
      <c r="AA780" s="19">
        <f t="shared" si="55"/>
        <v>43878</v>
      </c>
      <c r="AB780" s="20">
        <f t="shared" si="52"/>
        <v>2</v>
      </c>
      <c r="AC780" s="21">
        <f t="shared" si="53"/>
        <v>2</v>
      </c>
      <c r="AD780" s="22" t="str">
        <f t="shared" si="54"/>
        <v>ÚTIL</v>
      </c>
      <c r="AE780" s="25"/>
      <c r="AF780" s="9"/>
      <c r="AG780" s="9"/>
      <c r="AH780" s="9"/>
    </row>
    <row r="781" spans="15:34" hidden="1" x14ac:dyDescent="0.25">
      <c r="O781" s="4" t="s">
        <v>1210</v>
      </c>
      <c r="P781"/>
      <c r="AA781" s="19">
        <f t="shared" si="55"/>
        <v>43879</v>
      </c>
      <c r="AB781" s="20">
        <f t="shared" si="52"/>
        <v>3</v>
      </c>
      <c r="AC781" s="21">
        <f t="shared" si="53"/>
        <v>3</v>
      </c>
      <c r="AD781" s="22" t="str">
        <f t="shared" si="54"/>
        <v>ÚTIL</v>
      </c>
      <c r="AE781" s="25"/>
      <c r="AF781" s="9"/>
      <c r="AG781" s="9"/>
      <c r="AH781" s="9"/>
    </row>
    <row r="782" spans="15:34" hidden="1" x14ac:dyDescent="0.25">
      <c r="O782" s="4" t="s">
        <v>1211</v>
      </c>
      <c r="P782"/>
      <c r="AA782" s="19">
        <f t="shared" si="55"/>
        <v>43880</v>
      </c>
      <c r="AB782" s="20">
        <f t="shared" si="52"/>
        <v>4</v>
      </c>
      <c r="AC782" s="21">
        <f t="shared" si="53"/>
        <v>4</v>
      </c>
      <c r="AD782" s="22" t="str">
        <f t="shared" si="54"/>
        <v>ÚTIL</v>
      </c>
      <c r="AE782" s="25"/>
      <c r="AF782" s="9"/>
      <c r="AG782" s="9"/>
      <c r="AH782" s="9"/>
    </row>
    <row r="783" spans="15:34" hidden="1" x14ac:dyDescent="0.25">
      <c r="O783" s="4" t="s">
        <v>1212</v>
      </c>
      <c r="P783"/>
      <c r="AA783" s="19">
        <f t="shared" si="55"/>
        <v>43881</v>
      </c>
      <c r="AB783" s="20">
        <f t="shared" si="52"/>
        <v>5</v>
      </c>
      <c r="AC783" s="21">
        <f t="shared" si="53"/>
        <v>5</v>
      </c>
      <c r="AD783" s="22" t="str">
        <f t="shared" si="54"/>
        <v>ÚTIL</v>
      </c>
      <c r="AE783" s="25"/>
      <c r="AF783" s="9"/>
      <c r="AG783" s="9"/>
      <c r="AH783" s="9"/>
    </row>
    <row r="784" spans="15:34" hidden="1" x14ac:dyDescent="0.25">
      <c r="O784" s="4" t="s">
        <v>1213</v>
      </c>
      <c r="P784"/>
      <c r="AA784" s="19">
        <f t="shared" si="55"/>
        <v>43882</v>
      </c>
      <c r="AB784" s="20">
        <f t="shared" si="52"/>
        <v>6</v>
      </c>
      <c r="AC784" s="21">
        <f t="shared" si="53"/>
        <v>6</v>
      </c>
      <c r="AD784" s="22" t="str">
        <f t="shared" si="54"/>
        <v>ÚTIL</v>
      </c>
      <c r="AE784" s="25"/>
      <c r="AF784" s="9"/>
      <c r="AG784" s="9"/>
      <c r="AH784" s="9"/>
    </row>
    <row r="785" spans="15:34" hidden="1" x14ac:dyDescent="0.25">
      <c r="O785" s="4" t="s">
        <v>1214</v>
      </c>
      <c r="P785"/>
      <c r="AA785" s="19">
        <f t="shared" si="55"/>
        <v>43883</v>
      </c>
      <c r="AB785" s="20">
        <f t="shared" si="52"/>
        <v>7</v>
      </c>
      <c r="AC785" s="21">
        <f t="shared" si="53"/>
        <v>7</v>
      </c>
      <c r="AD785" s="22" t="str">
        <f t="shared" si="54"/>
        <v>NÃO ÚTIL</v>
      </c>
      <c r="AE785" s="25"/>
      <c r="AF785" s="9"/>
      <c r="AG785" s="9"/>
      <c r="AH785" s="9"/>
    </row>
    <row r="786" spans="15:34" hidden="1" x14ac:dyDescent="0.25">
      <c r="O786" s="4" t="s">
        <v>1215</v>
      </c>
      <c r="P786"/>
      <c r="AA786" s="19">
        <f t="shared" si="55"/>
        <v>43884</v>
      </c>
      <c r="AB786" s="20">
        <f t="shared" si="52"/>
        <v>1</v>
      </c>
      <c r="AC786" s="21">
        <f t="shared" si="53"/>
        <v>1</v>
      </c>
      <c r="AD786" s="22" t="str">
        <f t="shared" si="54"/>
        <v>NÃO ÚTIL</v>
      </c>
      <c r="AE786" s="25"/>
      <c r="AF786" s="9"/>
      <c r="AG786" s="9"/>
      <c r="AH786" s="9"/>
    </row>
    <row r="787" spans="15:34" hidden="1" x14ac:dyDescent="0.25">
      <c r="O787" s="4" t="s">
        <v>1216</v>
      </c>
      <c r="P787"/>
      <c r="AA787" s="19">
        <f t="shared" si="55"/>
        <v>43885</v>
      </c>
      <c r="AB787" s="20">
        <f t="shared" si="52"/>
        <v>2</v>
      </c>
      <c r="AC787" s="21">
        <f t="shared" si="53"/>
        <v>2</v>
      </c>
      <c r="AD787" s="22" t="str">
        <f t="shared" si="54"/>
        <v>ÚTIL</v>
      </c>
      <c r="AE787" s="25"/>
      <c r="AF787" s="9"/>
      <c r="AG787" s="9"/>
      <c r="AH787" s="9"/>
    </row>
    <row r="788" spans="15:34" hidden="1" x14ac:dyDescent="0.25">
      <c r="O788" s="4" t="s">
        <v>1217</v>
      </c>
      <c r="P788"/>
      <c r="AA788" s="19">
        <f t="shared" si="55"/>
        <v>43886</v>
      </c>
      <c r="AB788" s="20">
        <f t="shared" si="52"/>
        <v>3</v>
      </c>
      <c r="AC788" s="21">
        <f t="shared" si="53"/>
        <v>3</v>
      </c>
      <c r="AD788" s="22" t="str">
        <f t="shared" si="54"/>
        <v>ÚTIL</v>
      </c>
      <c r="AE788" s="25"/>
      <c r="AF788" s="9"/>
      <c r="AG788" s="9"/>
      <c r="AH788" s="9"/>
    </row>
    <row r="789" spans="15:34" hidden="1" x14ac:dyDescent="0.25">
      <c r="O789" s="4" t="s">
        <v>1218</v>
      </c>
      <c r="P789"/>
      <c r="AA789" s="19">
        <f t="shared" si="55"/>
        <v>43887</v>
      </c>
      <c r="AB789" s="20">
        <f t="shared" si="52"/>
        <v>4</v>
      </c>
      <c r="AC789" s="21">
        <f t="shared" si="53"/>
        <v>4</v>
      </c>
      <c r="AD789" s="22" t="str">
        <f t="shared" si="54"/>
        <v>ÚTIL</v>
      </c>
      <c r="AE789" s="25"/>
      <c r="AF789" s="9"/>
      <c r="AG789" s="9"/>
      <c r="AH789" s="9"/>
    </row>
    <row r="790" spans="15:34" hidden="1" x14ac:dyDescent="0.25">
      <c r="O790" s="4" t="s">
        <v>1219</v>
      </c>
      <c r="P790"/>
      <c r="AA790" s="19">
        <f t="shared" si="55"/>
        <v>43888</v>
      </c>
      <c r="AB790" s="20">
        <f t="shared" si="52"/>
        <v>5</v>
      </c>
      <c r="AC790" s="21">
        <f t="shared" si="53"/>
        <v>5</v>
      </c>
      <c r="AD790" s="22" t="str">
        <f t="shared" si="54"/>
        <v>ÚTIL</v>
      </c>
      <c r="AE790" s="25"/>
      <c r="AF790" s="9"/>
      <c r="AG790" s="9"/>
      <c r="AH790" s="9"/>
    </row>
    <row r="791" spans="15:34" hidden="1" x14ac:dyDescent="0.25">
      <c r="O791" s="4" t="s">
        <v>1220</v>
      </c>
      <c r="P791"/>
      <c r="AA791" s="19">
        <f t="shared" si="55"/>
        <v>43889</v>
      </c>
      <c r="AB791" s="20">
        <f t="shared" si="52"/>
        <v>6</v>
      </c>
      <c r="AC791" s="21">
        <f t="shared" si="53"/>
        <v>6</v>
      </c>
      <c r="AD791" s="22" t="str">
        <f t="shared" si="54"/>
        <v>ÚTIL</v>
      </c>
      <c r="AE791" s="25"/>
      <c r="AF791" s="9"/>
      <c r="AG791" s="9"/>
      <c r="AH791" s="9"/>
    </row>
    <row r="792" spans="15:34" hidden="1" x14ac:dyDescent="0.25">
      <c r="O792" s="4" t="s">
        <v>1221</v>
      </c>
      <c r="P792"/>
      <c r="AA792" s="19">
        <f t="shared" si="55"/>
        <v>43890</v>
      </c>
      <c r="AB792" s="20">
        <f t="shared" si="52"/>
        <v>7</v>
      </c>
      <c r="AC792" s="21">
        <f t="shared" si="53"/>
        <v>7</v>
      </c>
      <c r="AD792" s="22" t="str">
        <f t="shared" si="54"/>
        <v>NÃO ÚTIL</v>
      </c>
      <c r="AE792" s="25"/>
      <c r="AF792" s="9"/>
      <c r="AG792" s="9"/>
      <c r="AH792" s="9"/>
    </row>
    <row r="793" spans="15:34" hidden="1" x14ac:dyDescent="0.25">
      <c r="O793" s="4" t="s">
        <v>1222</v>
      </c>
      <c r="P793"/>
      <c r="AA793" s="19">
        <f t="shared" si="55"/>
        <v>43891</v>
      </c>
      <c r="AB793" s="20">
        <f t="shared" si="52"/>
        <v>1</v>
      </c>
      <c r="AC793" s="21">
        <f t="shared" si="53"/>
        <v>1</v>
      </c>
      <c r="AD793" s="22" t="str">
        <f t="shared" si="54"/>
        <v>NÃO ÚTIL</v>
      </c>
      <c r="AE793" s="25"/>
      <c r="AF793" s="9"/>
      <c r="AG793" s="9"/>
      <c r="AH793" s="9"/>
    </row>
    <row r="794" spans="15:34" hidden="1" x14ac:dyDescent="0.25">
      <c r="O794" s="4" t="s">
        <v>1223</v>
      </c>
      <c r="P794"/>
      <c r="AA794" s="19">
        <f t="shared" si="55"/>
        <v>43892</v>
      </c>
      <c r="AB794" s="20">
        <f t="shared" si="52"/>
        <v>2</v>
      </c>
      <c r="AC794" s="21">
        <f t="shared" si="53"/>
        <v>2</v>
      </c>
      <c r="AD794" s="22" t="str">
        <f t="shared" si="54"/>
        <v>ÚTIL</v>
      </c>
      <c r="AE794" s="25"/>
      <c r="AF794" s="9"/>
      <c r="AG794" s="9"/>
      <c r="AH794" s="9"/>
    </row>
    <row r="795" spans="15:34" hidden="1" x14ac:dyDescent="0.25">
      <c r="O795" s="4" t="s">
        <v>1224</v>
      </c>
      <c r="P795"/>
      <c r="AA795" s="19">
        <f t="shared" si="55"/>
        <v>43893</v>
      </c>
      <c r="AB795" s="20">
        <f t="shared" si="52"/>
        <v>3</v>
      </c>
      <c r="AC795" s="21">
        <f t="shared" si="53"/>
        <v>3</v>
      </c>
      <c r="AD795" s="22" t="str">
        <f t="shared" si="54"/>
        <v>ÚTIL</v>
      </c>
      <c r="AE795" s="25"/>
      <c r="AF795" s="9"/>
      <c r="AG795" s="9"/>
      <c r="AH795" s="9"/>
    </row>
    <row r="796" spans="15:34" hidden="1" x14ac:dyDescent="0.25">
      <c r="O796" s="4" t="s">
        <v>1225</v>
      </c>
      <c r="P796"/>
      <c r="AA796" s="19">
        <f t="shared" si="55"/>
        <v>43894</v>
      </c>
      <c r="AB796" s="20">
        <f t="shared" si="52"/>
        <v>4</v>
      </c>
      <c r="AC796" s="21">
        <f t="shared" si="53"/>
        <v>4</v>
      </c>
      <c r="AD796" s="22" t="str">
        <f t="shared" si="54"/>
        <v>ÚTIL</v>
      </c>
      <c r="AE796" s="25"/>
      <c r="AF796" s="9"/>
      <c r="AG796" s="9"/>
      <c r="AH796" s="9"/>
    </row>
    <row r="797" spans="15:34" hidden="1" x14ac:dyDescent="0.25">
      <c r="O797" s="4" t="s">
        <v>1226</v>
      </c>
      <c r="P797"/>
      <c r="AA797" s="19">
        <f t="shared" si="55"/>
        <v>43895</v>
      </c>
      <c r="AB797" s="20">
        <f t="shared" si="52"/>
        <v>5</v>
      </c>
      <c r="AC797" s="21">
        <f t="shared" si="53"/>
        <v>5</v>
      </c>
      <c r="AD797" s="22" t="str">
        <f t="shared" si="54"/>
        <v>ÚTIL</v>
      </c>
      <c r="AE797" s="25"/>
      <c r="AF797" s="9"/>
      <c r="AG797" s="9"/>
      <c r="AH797" s="9"/>
    </row>
    <row r="798" spans="15:34" hidden="1" x14ac:dyDescent="0.25">
      <c r="O798" s="4" t="s">
        <v>1227</v>
      </c>
      <c r="P798"/>
      <c r="AA798" s="19">
        <f t="shared" si="55"/>
        <v>43896</v>
      </c>
      <c r="AB798" s="20">
        <f t="shared" si="52"/>
        <v>6</v>
      </c>
      <c r="AC798" s="21">
        <f t="shared" si="53"/>
        <v>6</v>
      </c>
      <c r="AD798" s="22" t="str">
        <f t="shared" si="54"/>
        <v>ÚTIL</v>
      </c>
      <c r="AE798" s="25"/>
      <c r="AF798" s="9"/>
      <c r="AG798" s="9"/>
      <c r="AH798" s="9"/>
    </row>
    <row r="799" spans="15:34" hidden="1" x14ac:dyDescent="0.25">
      <c r="O799" s="4" t="s">
        <v>1228</v>
      </c>
      <c r="P799"/>
      <c r="AA799" s="19">
        <f t="shared" si="55"/>
        <v>43897</v>
      </c>
      <c r="AB799" s="20">
        <f t="shared" si="52"/>
        <v>7</v>
      </c>
      <c r="AC799" s="21">
        <f t="shared" si="53"/>
        <v>7</v>
      </c>
      <c r="AD799" s="22" t="str">
        <f t="shared" si="54"/>
        <v>NÃO ÚTIL</v>
      </c>
      <c r="AE799" s="25"/>
      <c r="AF799" s="9"/>
      <c r="AG799" s="9"/>
      <c r="AH799" s="9"/>
    </row>
    <row r="800" spans="15:34" hidden="1" x14ac:dyDescent="0.25">
      <c r="O800" s="4" t="s">
        <v>1229</v>
      </c>
      <c r="P800"/>
      <c r="AA800" s="19">
        <f t="shared" si="55"/>
        <v>43898</v>
      </c>
      <c r="AB800" s="20">
        <f t="shared" si="52"/>
        <v>1</v>
      </c>
      <c r="AC800" s="21">
        <f t="shared" si="53"/>
        <v>1</v>
      </c>
      <c r="AD800" s="22" t="str">
        <f t="shared" si="54"/>
        <v>NÃO ÚTIL</v>
      </c>
      <c r="AE800" s="25"/>
      <c r="AF800" s="9"/>
      <c r="AG800" s="9"/>
      <c r="AH800" s="9"/>
    </row>
    <row r="801" spans="15:34" hidden="1" x14ac:dyDescent="0.25">
      <c r="O801" s="4" t="s">
        <v>1230</v>
      </c>
      <c r="P801"/>
      <c r="AA801" s="19">
        <f t="shared" si="55"/>
        <v>43899</v>
      </c>
      <c r="AB801" s="20">
        <f t="shared" si="52"/>
        <v>2</v>
      </c>
      <c r="AC801" s="21">
        <f t="shared" si="53"/>
        <v>2</v>
      </c>
      <c r="AD801" s="22" t="str">
        <f t="shared" si="54"/>
        <v>ÚTIL</v>
      </c>
      <c r="AE801" s="25"/>
      <c r="AF801" s="9"/>
      <c r="AG801" s="9"/>
      <c r="AH801" s="9"/>
    </row>
    <row r="802" spans="15:34" hidden="1" x14ac:dyDescent="0.25">
      <c r="O802" s="4" t="s">
        <v>1231</v>
      </c>
      <c r="P802"/>
      <c r="AA802" s="19">
        <f t="shared" si="55"/>
        <v>43900</v>
      </c>
      <c r="AB802" s="20">
        <f t="shared" si="52"/>
        <v>3</v>
      </c>
      <c r="AC802" s="21">
        <f t="shared" si="53"/>
        <v>3</v>
      </c>
      <c r="AD802" s="22" t="str">
        <f t="shared" si="54"/>
        <v>ÚTIL</v>
      </c>
      <c r="AE802" s="25"/>
      <c r="AF802" s="9"/>
      <c r="AG802" s="9"/>
      <c r="AH802" s="9"/>
    </row>
    <row r="803" spans="15:34" hidden="1" x14ac:dyDescent="0.25">
      <c r="O803" s="4" t="s">
        <v>1232</v>
      </c>
      <c r="P803"/>
      <c r="AA803" s="19">
        <f t="shared" si="55"/>
        <v>43901</v>
      </c>
      <c r="AB803" s="20">
        <f t="shared" si="52"/>
        <v>4</v>
      </c>
      <c r="AC803" s="21">
        <f t="shared" si="53"/>
        <v>4</v>
      </c>
      <c r="AD803" s="22" t="str">
        <f t="shared" si="54"/>
        <v>ÚTIL</v>
      </c>
      <c r="AE803" s="25"/>
      <c r="AF803" s="9"/>
      <c r="AG803" s="9"/>
      <c r="AH803" s="9"/>
    </row>
    <row r="804" spans="15:34" hidden="1" x14ac:dyDescent="0.25">
      <c r="O804" s="4" t="s">
        <v>1233</v>
      </c>
      <c r="P804"/>
      <c r="AA804" s="19">
        <f t="shared" si="55"/>
        <v>43902</v>
      </c>
      <c r="AB804" s="20">
        <f t="shared" si="52"/>
        <v>5</v>
      </c>
      <c r="AC804" s="21">
        <f t="shared" si="53"/>
        <v>5</v>
      </c>
      <c r="AD804" s="22" t="str">
        <f t="shared" si="54"/>
        <v>ÚTIL</v>
      </c>
      <c r="AE804" s="25"/>
      <c r="AF804" s="9"/>
      <c r="AG804" s="9"/>
      <c r="AH804" s="9"/>
    </row>
    <row r="805" spans="15:34" hidden="1" x14ac:dyDescent="0.25">
      <c r="O805" s="4" t="s">
        <v>1234</v>
      </c>
      <c r="P805"/>
      <c r="AA805" s="19">
        <f t="shared" si="55"/>
        <v>43903</v>
      </c>
      <c r="AB805" s="20">
        <f t="shared" si="52"/>
        <v>6</v>
      </c>
      <c r="AC805" s="21">
        <f t="shared" si="53"/>
        <v>6</v>
      </c>
      <c r="AD805" s="22" t="str">
        <f t="shared" si="54"/>
        <v>ÚTIL</v>
      </c>
      <c r="AE805" s="25"/>
      <c r="AF805" s="9"/>
      <c r="AG805" s="9"/>
      <c r="AH805" s="9"/>
    </row>
    <row r="806" spans="15:34" hidden="1" x14ac:dyDescent="0.25">
      <c r="O806" s="4" t="s">
        <v>1235</v>
      </c>
      <c r="P806"/>
      <c r="AA806" s="19">
        <f t="shared" si="55"/>
        <v>43904</v>
      </c>
      <c r="AB806" s="20">
        <f t="shared" si="52"/>
        <v>7</v>
      </c>
      <c r="AC806" s="21">
        <f t="shared" si="53"/>
        <v>7</v>
      </c>
      <c r="AD806" s="22" t="str">
        <f t="shared" si="54"/>
        <v>NÃO ÚTIL</v>
      </c>
      <c r="AE806" s="25"/>
      <c r="AF806" s="9"/>
      <c r="AG806" s="9"/>
      <c r="AH806" s="9"/>
    </row>
    <row r="807" spans="15:34" hidden="1" x14ac:dyDescent="0.25">
      <c r="O807" s="4" t="s">
        <v>1236</v>
      </c>
      <c r="P807"/>
      <c r="AA807" s="19">
        <f t="shared" si="55"/>
        <v>43905</v>
      </c>
      <c r="AB807" s="20">
        <f t="shared" si="52"/>
        <v>1</v>
      </c>
      <c r="AC807" s="21">
        <f t="shared" si="53"/>
        <v>1</v>
      </c>
      <c r="AD807" s="22" t="str">
        <f t="shared" si="54"/>
        <v>NÃO ÚTIL</v>
      </c>
      <c r="AE807" s="25"/>
      <c r="AF807" s="9"/>
      <c r="AG807" s="9"/>
      <c r="AH807" s="9"/>
    </row>
    <row r="808" spans="15:34" hidden="1" x14ac:dyDescent="0.25">
      <c r="O808" s="4" t="s">
        <v>1237</v>
      </c>
      <c r="P808"/>
      <c r="AA808" s="19">
        <f t="shared" si="55"/>
        <v>43906</v>
      </c>
      <c r="AB808" s="20">
        <f t="shared" si="52"/>
        <v>2</v>
      </c>
      <c r="AC808" s="21">
        <f t="shared" si="53"/>
        <v>2</v>
      </c>
      <c r="AD808" s="22" t="str">
        <f t="shared" si="54"/>
        <v>ÚTIL</v>
      </c>
      <c r="AE808" s="25"/>
      <c r="AF808" s="9"/>
      <c r="AG808" s="9"/>
      <c r="AH808" s="9"/>
    </row>
    <row r="809" spans="15:34" hidden="1" x14ac:dyDescent="0.25">
      <c r="O809" s="4" t="s">
        <v>1238</v>
      </c>
      <c r="P809"/>
      <c r="AA809" s="19">
        <f t="shared" si="55"/>
        <v>43907</v>
      </c>
      <c r="AB809" s="20">
        <f t="shared" si="52"/>
        <v>3</v>
      </c>
      <c r="AC809" s="21">
        <f t="shared" si="53"/>
        <v>3</v>
      </c>
      <c r="AD809" s="22" t="str">
        <f t="shared" si="54"/>
        <v>ÚTIL</v>
      </c>
      <c r="AE809" s="25"/>
      <c r="AF809" s="9"/>
      <c r="AG809" s="9"/>
      <c r="AH809" s="9"/>
    </row>
    <row r="810" spans="15:34" hidden="1" x14ac:dyDescent="0.25">
      <c r="O810" s="4" t="s">
        <v>1239</v>
      </c>
      <c r="P810"/>
      <c r="AA810" s="19">
        <f t="shared" si="55"/>
        <v>43908</v>
      </c>
      <c r="AB810" s="20">
        <f t="shared" si="52"/>
        <v>4</v>
      </c>
      <c r="AC810" s="21">
        <f t="shared" si="53"/>
        <v>4</v>
      </c>
      <c r="AD810" s="22" t="str">
        <f t="shared" si="54"/>
        <v>ÚTIL</v>
      </c>
      <c r="AE810" s="25"/>
      <c r="AF810" s="9"/>
      <c r="AG810" s="9"/>
      <c r="AH810" s="9"/>
    </row>
    <row r="811" spans="15:34" hidden="1" x14ac:dyDescent="0.25">
      <c r="O811" s="4" t="s">
        <v>1240</v>
      </c>
      <c r="P811"/>
      <c r="AA811" s="19">
        <f t="shared" si="55"/>
        <v>43909</v>
      </c>
      <c r="AB811" s="20">
        <f t="shared" si="52"/>
        <v>5</v>
      </c>
      <c r="AC811" s="21">
        <f t="shared" si="53"/>
        <v>5</v>
      </c>
      <c r="AD811" s="22" t="str">
        <f t="shared" si="54"/>
        <v>ÚTIL</v>
      </c>
      <c r="AE811" s="25"/>
      <c r="AF811" s="9"/>
      <c r="AG811" s="9"/>
      <c r="AH811" s="9"/>
    </row>
    <row r="812" spans="15:34" hidden="1" x14ac:dyDescent="0.25">
      <c r="O812" s="4" t="s">
        <v>1241</v>
      </c>
      <c r="P812"/>
      <c r="AA812" s="19">
        <f t="shared" si="55"/>
        <v>43910</v>
      </c>
      <c r="AB812" s="20">
        <f t="shared" si="52"/>
        <v>6</v>
      </c>
      <c r="AC812" s="21">
        <f t="shared" si="53"/>
        <v>6</v>
      </c>
      <c r="AD812" s="22" t="str">
        <f t="shared" si="54"/>
        <v>ÚTIL</v>
      </c>
      <c r="AE812" s="25"/>
      <c r="AF812" s="9"/>
      <c r="AG812" s="9"/>
      <c r="AH812" s="9"/>
    </row>
    <row r="813" spans="15:34" hidden="1" x14ac:dyDescent="0.25">
      <c r="O813" s="4" t="s">
        <v>1242</v>
      </c>
      <c r="P813"/>
      <c r="AA813" s="19">
        <f t="shared" si="55"/>
        <v>43911</v>
      </c>
      <c r="AB813" s="20">
        <f t="shared" si="52"/>
        <v>7</v>
      </c>
      <c r="AC813" s="21">
        <f t="shared" si="53"/>
        <v>7</v>
      </c>
      <c r="AD813" s="22" t="str">
        <f t="shared" si="54"/>
        <v>NÃO ÚTIL</v>
      </c>
      <c r="AE813" s="25"/>
      <c r="AF813" s="9"/>
      <c r="AG813" s="9"/>
      <c r="AH813" s="9"/>
    </row>
    <row r="814" spans="15:34" hidden="1" x14ac:dyDescent="0.25">
      <c r="O814" s="4" t="s">
        <v>1243</v>
      </c>
      <c r="P814"/>
      <c r="AA814" s="19">
        <f t="shared" si="55"/>
        <v>43912</v>
      </c>
      <c r="AB814" s="20">
        <f t="shared" si="52"/>
        <v>1</v>
      </c>
      <c r="AC814" s="21">
        <f t="shared" si="53"/>
        <v>1</v>
      </c>
      <c r="AD814" s="22" t="str">
        <f t="shared" si="54"/>
        <v>NÃO ÚTIL</v>
      </c>
      <c r="AE814" s="25"/>
      <c r="AF814" s="9"/>
      <c r="AG814" s="9"/>
      <c r="AH814" s="9"/>
    </row>
    <row r="815" spans="15:34" hidden="1" x14ac:dyDescent="0.25">
      <c r="O815" s="4" t="s">
        <v>1244</v>
      </c>
      <c r="P815"/>
      <c r="AA815" s="19">
        <f t="shared" si="55"/>
        <v>43913</v>
      </c>
      <c r="AB815" s="20">
        <f t="shared" si="52"/>
        <v>2</v>
      </c>
      <c r="AC815" s="21">
        <f t="shared" si="53"/>
        <v>2</v>
      </c>
      <c r="AD815" s="22" t="str">
        <f t="shared" si="54"/>
        <v>ÚTIL</v>
      </c>
      <c r="AE815" s="25"/>
      <c r="AF815" s="9"/>
      <c r="AG815" s="9"/>
      <c r="AH815" s="9"/>
    </row>
    <row r="816" spans="15:34" hidden="1" x14ac:dyDescent="0.25">
      <c r="O816" s="4" t="s">
        <v>1245</v>
      </c>
      <c r="P816"/>
      <c r="AA816" s="19">
        <f t="shared" si="55"/>
        <v>43914</v>
      </c>
      <c r="AB816" s="20">
        <f t="shared" si="52"/>
        <v>3</v>
      </c>
      <c r="AC816" s="21">
        <f t="shared" si="53"/>
        <v>3</v>
      </c>
      <c r="AD816" s="22" t="str">
        <f t="shared" si="54"/>
        <v>ÚTIL</v>
      </c>
      <c r="AE816" s="25"/>
      <c r="AF816" s="9"/>
      <c r="AG816" s="9"/>
      <c r="AH816" s="9"/>
    </row>
    <row r="817" spans="15:34" hidden="1" x14ac:dyDescent="0.25">
      <c r="O817" s="4" t="s">
        <v>1246</v>
      </c>
      <c r="P817"/>
      <c r="AA817" s="19">
        <f t="shared" si="55"/>
        <v>43915</v>
      </c>
      <c r="AB817" s="20">
        <f t="shared" si="52"/>
        <v>4</v>
      </c>
      <c r="AC817" s="21">
        <f t="shared" si="53"/>
        <v>4</v>
      </c>
      <c r="AD817" s="22" t="str">
        <f t="shared" si="54"/>
        <v>ÚTIL</v>
      </c>
      <c r="AE817" s="25"/>
      <c r="AF817" s="9"/>
      <c r="AG817" s="9"/>
      <c r="AH817" s="9"/>
    </row>
    <row r="818" spans="15:34" hidden="1" x14ac:dyDescent="0.25">
      <c r="O818" s="4" t="s">
        <v>1247</v>
      </c>
      <c r="P818"/>
      <c r="AA818" s="19">
        <f t="shared" si="55"/>
        <v>43916</v>
      </c>
      <c r="AB818" s="20">
        <f t="shared" si="52"/>
        <v>5</v>
      </c>
      <c r="AC818" s="21">
        <f t="shared" si="53"/>
        <v>5</v>
      </c>
      <c r="AD818" s="22" t="str">
        <f t="shared" si="54"/>
        <v>ÚTIL</v>
      </c>
      <c r="AE818" s="25"/>
      <c r="AF818" s="9"/>
      <c r="AG818" s="9"/>
      <c r="AH818" s="9"/>
    </row>
    <row r="819" spans="15:34" hidden="1" x14ac:dyDescent="0.25">
      <c r="O819" s="4" t="s">
        <v>1248</v>
      </c>
      <c r="P819"/>
      <c r="AA819" s="19">
        <f t="shared" si="55"/>
        <v>43917</v>
      </c>
      <c r="AB819" s="20">
        <f t="shared" si="52"/>
        <v>6</v>
      </c>
      <c r="AC819" s="21">
        <f t="shared" si="53"/>
        <v>6</v>
      </c>
      <c r="AD819" s="22" t="str">
        <f t="shared" si="54"/>
        <v>ÚTIL</v>
      </c>
      <c r="AE819" s="25"/>
      <c r="AF819" s="9"/>
      <c r="AG819" s="9"/>
      <c r="AH819" s="9"/>
    </row>
    <row r="820" spans="15:34" hidden="1" x14ac:dyDescent="0.25">
      <c r="O820" s="4" t="s">
        <v>1249</v>
      </c>
      <c r="P820"/>
      <c r="AA820" s="19">
        <f t="shared" si="55"/>
        <v>43918</v>
      </c>
      <c r="AB820" s="20">
        <f t="shared" si="52"/>
        <v>7</v>
      </c>
      <c r="AC820" s="21">
        <f t="shared" si="53"/>
        <v>7</v>
      </c>
      <c r="AD820" s="22" t="str">
        <f t="shared" si="54"/>
        <v>NÃO ÚTIL</v>
      </c>
      <c r="AE820" s="25"/>
      <c r="AF820" s="9"/>
      <c r="AG820" s="9"/>
      <c r="AH820" s="9"/>
    </row>
    <row r="821" spans="15:34" hidden="1" x14ac:dyDescent="0.25">
      <c r="O821" s="4" t="s">
        <v>1250</v>
      </c>
      <c r="P821"/>
      <c r="AA821" s="19">
        <f t="shared" si="55"/>
        <v>43919</v>
      </c>
      <c r="AB821" s="20">
        <f t="shared" si="52"/>
        <v>1</v>
      </c>
      <c r="AC821" s="21">
        <f t="shared" si="53"/>
        <v>1</v>
      </c>
      <c r="AD821" s="22" t="str">
        <f t="shared" si="54"/>
        <v>NÃO ÚTIL</v>
      </c>
      <c r="AE821" s="25"/>
      <c r="AF821" s="9"/>
      <c r="AG821" s="9"/>
      <c r="AH821" s="9"/>
    </row>
    <row r="822" spans="15:34" hidden="1" x14ac:dyDescent="0.25">
      <c r="O822" s="4" t="s">
        <v>1251</v>
      </c>
      <c r="P822"/>
      <c r="AA822" s="19">
        <f t="shared" si="55"/>
        <v>43920</v>
      </c>
      <c r="AB822" s="20">
        <f t="shared" si="52"/>
        <v>2</v>
      </c>
      <c r="AC822" s="21">
        <f t="shared" si="53"/>
        <v>2</v>
      </c>
      <c r="AD822" s="22" t="str">
        <f t="shared" si="54"/>
        <v>ÚTIL</v>
      </c>
      <c r="AE822" s="25"/>
      <c r="AF822" s="9"/>
      <c r="AG822" s="9"/>
      <c r="AH822" s="9"/>
    </row>
    <row r="823" spans="15:34" hidden="1" x14ac:dyDescent="0.25">
      <c r="O823" s="4" t="s">
        <v>1252</v>
      </c>
      <c r="P823"/>
      <c r="AA823" s="19">
        <f t="shared" si="55"/>
        <v>43921</v>
      </c>
      <c r="AB823" s="20">
        <f t="shared" si="52"/>
        <v>3</v>
      </c>
      <c r="AC823" s="21">
        <f t="shared" si="53"/>
        <v>3</v>
      </c>
      <c r="AD823" s="22" t="str">
        <f t="shared" si="54"/>
        <v>ÚTIL</v>
      </c>
      <c r="AE823" s="25"/>
      <c r="AF823" s="9"/>
      <c r="AG823" s="9"/>
      <c r="AH823" s="9"/>
    </row>
    <row r="824" spans="15:34" hidden="1" x14ac:dyDescent="0.25">
      <c r="O824" s="4" t="s">
        <v>1253</v>
      </c>
      <c r="P824"/>
      <c r="AA824" s="19">
        <f t="shared" si="55"/>
        <v>43922</v>
      </c>
      <c r="AB824" s="20">
        <f t="shared" si="52"/>
        <v>4</v>
      </c>
      <c r="AC824" s="21">
        <f t="shared" si="53"/>
        <v>4</v>
      </c>
      <c r="AD824" s="22" t="str">
        <f t="shared" si="54"/>
        <v>ÚTIL</v>
      </c>
      <c r="AE824" s="25"/>
      <c r="AF824" s="9"/>
      <c r="AG824" s="9"/>
      <c r="AH824" s="9"/>
    </row>
    <row r="825" spans="15:34" hidden="1" x14ac:dyDescent="0.25">
      <c r="O825" s="4" t="s">
        <v>1254</v>
      </c>
      <c r="P825"/>
      <c r="AA825" s="19">
        <f t="shared" si="55"/>
        <v>43923</v>
      </c>
      <c r="AB825" s="20">
        <f t="shared" si="52"/>
        <v>5</v>
      </c>
      <c r="AC825" s="21">
        <f t="shared" si="53"/>
        <v>5</v>
      </c>
      <c r="AD825" s="22" t="str">
        <f t="shared" si="54"/>
        <v>ÚTIL</v>
      </c>
      <c r="AE825" s="25"/>
      <c r="AF825" s="9"/>
      <c r="AG825" s="9"/>
      <c r="AH825" s="9"/>
    </row>
    <row r="826" spans="15:34" hidden="1" x14ac:dyDescent="0.25">
      <c r="O826" s="4" t="s">
        <v>1255</v>
      </c>
      <c r="P826"/>
      <c r="AA826" s="19">
        <f t="shared" si="55"/>
        <v>43924</v>
      </c>
      <c r="AB826" s="20">
        <f t="shared" si="52"/>
        <v>6</v>
      </c>
      <c r="AC826" s="21">
        <f t="shared" si="53"/>
        <v>6</v>
      </c>
      <c r="AD826" s="22" t="str">
        <f t="shared" si="54"/>
        <v>ÚTIL</v>
      </c>
      <c r="AE826" s="25"/>
      <c r="AF826" s="9"/>
      <c r="AG826" s="9"/>
      <c r="AH826" s="9"/>
    </row>
    <row r="827" spans="15:34" hidden="1" x14ac:dyDescent="0.25">
      <c r="O827" s="4" t="s">
        <v>1256</v>
      </c>
      <c r="P827"/>
      <c r="AA827" s="19">
        <f t="shared" si="55"/>
        <v>43925</v>
      </c>
      <c r="AB827" s="20">
        <f t="shared" si="52"/>
        <v>7</v>
      </c>
      <c r="AC827" s="21">
        <f t="shared" si="53"/>
        <v>7</v>
      </c>
      <c r="AD827" s="22" t="str">
        <f t="shared" si="54"/>
        <v>NÃO ÚTIL</v>
      </c>
      <c r="AE827" s="25"/>
      <c r="AF827" s="9"/>
      <c r="AG827" s="9"/>
      <c r="AH827" s="9"/>
    </row>
    <row r="828" spans="15:34" hidden="1" x14ac:dyDescent="0.25">
      <c r="O828" s="4" t="s">
        <v>1257</v>
      </c>
      <c r="P828"/>
      <c r="AA828" s="19">
        <f t="shared" si="55"/>
        <v>43926</v>
      </c>
      <c r="AB828" s="20">
        <f t="shared" si="52"/>
        <v>1</v>
      </c>
      <c r="AC828" s="21">
        <f t="shared" si="53"/>
        <v>1</v>
      </c>
      <c r="AD828" s="22" t="str">
        <f t="shared" si="54"/>
        <v>NÃO ÚTIL</v>
      </c>
      <c r="AE828" s="25"/>
      <c r="AF828" s="9"/>
      <c r="AG828" s="9"/>
      <c r="AH828" s="9"/>
    </row>
    <row r="829" spans="15:34" hidden="1" x14ac:dyDescent="0.25">
      <c r="O829" s="4" t="s">
        <v>1258</v>
      </c>
      <c r="P829"/>
      <c r="AA829" s="19">
        <f t="shared" si="55"/>
        <v>43927</v>
      </c>
      <c r="AB829" s="20">
        <f t="shared" si="52"/>
        <v>2</v>
      </c>
      <c r="AC829" s="21">
        <f t="shared" si="53"/>
        <v>2</v>
      </c>
      <c r="AD829" s="22" t="str">
        <f t="shared" si="54"/>
        <v>ÚTIL</v>
      </c>
      <c r="AE829" s="25"/>
      <c r="AF829" s="9"/>
      <c r="AG829" s="9"/>
      <c r="AH829" s="9"/>
    </row>
    <row r="830" spans="15:34" hidden="1" x14ac:dyDescent="0.25">
      <c r="O830" s="4" t="s">
        <v>1259</v>
      </c>
      <c r="P830"/>
      <c r="AA830" s="19">
        <f t="shared" si="55"/>
        <v>43928</v>
      </c>
      <c r="AB830" s="20">
        <f t="shared" si="52"/>
        <v>3</v>
      </c>
      <c r="AC830" s="21">
        <f t="shared" si="53"/>
        <v>3</v>
      </c>
      <c r="AD830" s="22" t="str">
        <f t="shared" si="54"/>
        <v>ÚTIL</v>
      </c>
      <c r="AE830" s="25"/>
      <c r="AF830" s="9"/>
      <c r="AG830" s="9"/>
      <c r="AH830" s="9"/>
    </row>
    <row r="831" spans="15:34" hidden="1" x14ac:dyDescent="0.25">
      <c r="O831" s="4" t="s">
        <v>1260</v>
      </c>
      <c r="P831"/>
      <c r="AA831" s="19">
        <f t="shared" si="55"/>
        <v>43929</v>
      </c>
      <c r="AB831" s="20">
        <f t="shared" si="52"/>
        <v>4</v>
      </c>
      <c r="AC831" s="21">
        <f t="shared" si="53"/>
        <v>4</v>
      </c>
      <c r="AD831" s="22" t="str">
        <f t="shared" si="54"/>
        <v>ÚTIL</v>
      </c>
      <c r="AE831" s="25"/>
      <c r="AF831" s="9"/>
      <c r="AG831" s="9"/>
      <c r="AH831" s="9"/>
    </row>
    <row r="832" spans="15:34" hidden="1" x14ac:dyDescent="0.25">
      <c r="O832" s="4" t="s">
        <v>1261</v>
      </c>
      <c r="P832"/>
      <c r="AA832" s="19">
        <f t="shared" si="55"/>
        <v>43930</v>
      </c>
      <c r="AB832" s="20">
        <f t="shared" si="52"/>
        <v>5</v>
      </c>
      <c r="AC832" s="21">
        <f t="shared" si="53"/>
        <v>5</v>
      </c>
      <c r="AD832" s="22" t="str">
        <f t="shared" si="54"/>
        <v>ÚTIL</v>
      </c>
      <c r="AE832" s="25"/>
      <c r="AF832" s="9"/>
      <c r="AG832" s="9"/>
      <c r="AH832" s="9"/>
    </row>
    <row r="833" spans="15:34" hidden="1" x14ac:dyDescent="0.25">
      <c r="O833" s="4" t="s">
        <v>1262</v>
      </c>
      <c r="P833"/>
      <c r="AA833" s="19">
        <f t="shared" si="55"/>
        <v>43931</v>
      </c>
      <c r="AB833" s="20">
        <f t="shared" si="52"/>
        <v>6</v>
      </c>
      <c r="AC833" s="21">
        <f t="shared" si="53"/>
        <v>6</v>
      </c>
      <c r="AD833" s="22" t="str">
        <f t="shared" si="54"/>
        <v>ÚTIL</v>
      </c>
      <c r="AE833" s="25"/>
      <c r="AF833" s="9"/>
      <c r="AG833" s="9"/>
      <c r="AH833" s="9"/>
    </row>
    <row r="834" spans="15:34" hidden="1" x14ac:dyDescent="0.25">
      <c r="O834" s="4" t="s">
        <v>1263</v>
      </c>
      <c r="P834"/>
      <c r="AA834" s="19">
        <f t="shared" si="55"/>
        <v>43932</v>
      </c>
      <c r="AB834" s="20">
        <f t="shared" si="52"/>
        <v>7</v>
      </c>
      <c r="AC834" s="21">
        <f t="shared" si="53"/>
        <v>7</v>
      </c>
      <c r="AD834" s="22" t="str">
        <f t="shared" si="54"/>
        <v>NÃO ÚTIL</v>
      </c>
      <c r="AE834" s="25"/>
      <c r="AF834" s="9"/>
      <c r="AG834" s="9"/>
      <c r="AH834" s="9"/>
    </row>
    <row r="835" spans="15:34" hidden="1" x14ac:dyDescent="0.25">
      <c r="O835" s="4" t="s">
        <v>1264</v>
      </c>
      <c r="P835"/>
      <c r="AA835" s="19">
        <f t="shared" si="55"/>
        <v>43933</v>
      </c>
      <c r="AB835" s="20">
        <f t="shared" ref="AB835:AB898" si="56">AC835</f>
        <v>1</v>
      </c>
      <c r="AC835" s="21">
        <f t="shared" ref="AC835:AC898" si="57">WEEKDAY(AA835)</f>
        <v>1</v>
      </c>
      <c r="AD835" s="22" t="str">
        <f t="shared" ref="AD835:AD898" si="58">IF(WORKDAY(AA835-1,1,$AE$3:$AE$14)=AA835,"ÚTIL","NÃO ÚTIL")</f>
        <v>NÃO ÚTIL</v>
      </c>
      <c r="AE835" s="25"/>
      <c r="AF835" s="9"/>
      <c r="AG835" s="9"/>
      <c r="AH835" s="9"/>
    </row>
    <row r="836" spans="15:34" hidden="1" x14ac:dyDescent="0.25">
      <c r="O836" s="4" t="s">
        <v>1265</v>
      </c>
      <c r="P836"/>
      <c r="AA836" s="19">
        <f t="shared" ref="AA836:AA899" si="59">AA835+1</f>
        <v>43934</v>
      </c>
      <c r="AB836" s="20">
        <f t="shared" si="56"/>
        <v>2</v>
      </c>
      <c r="AC836" s="21">
        <f t="shared" si="57"/>
        <v>2</v>
      </c>
      <c r="AD836" s="22" t="str">
        <f t="shared" si="58"/>
        <v>ÚTIL</v>
      </c>
      <c r="AE836" s="25"/>
      <c r="AF836" s="9"/>
      <c r="AG836" s="9"/>
      <c r="AH836" s="9"/>
    </row>
    <row r="837" spans="15:34" hidden="1" x14ac:dyDescent="0.25">
      <c r="O837" s="4" t="s">
        <v>1266</v>
      </c>
      <c r="P837"/>
      <c r="AA837" s="19">
        <f t="shared" si="59"/>
        <v>43935</v>
      </c>
      <c r="AB837" s="20">
        <f t="shared" si="56"/>
        <v>3</v>
      </c>
      <c r="AC837" s="21">
        <f t="shared" si="57"/>
        <v>3</v>
      </c>
      <c r="AD837" s="22" t="str">
        <f t="shared" si="58"/>
        <v>ÚTIL</v>
      </c>
      <c r="AE837" s="25"/>
      <c r="AF837" s="9"/>
      <c r="AG837" s="9"/>
      <c r="AH837" s="9"/>
    </row>
    <row r="838" spans="15:34" hidden="1" x14ac:dyDescent="0.25">
      <c r="O838" s="4" t="s">
        <v>1267</v>
      </c>
      <c r="P838"/>
      <c r="AA838" s="19">
        <f t="shared" si="59"/>
        <v>43936</v>
      </c>
      <c r="AB838" s="20">
        <f t="shared" si="56"/>
        <v>4</v>
      </c>
      <c r="AC838" s="21">
        <f t="shared" si="57"/>
        <v>4</v>
      </c>
      <c r="AD838" s="22" t="str">
        <f t="shared" si="58"/>
        <v>ÚTIL</v>
      </c>
      <c r="AE838" s="25"/>
      <c r="AF838" s="9"/>
      <c r="AG838" s="9"/>
      <c r="AH838" s="9"/>
    </row>
    <row r="839" spans="15:34" hidden="1" x14ac:dyDescent="0.25">
      <c r="O839" s="4" t="s">
        <v>1268</v>
      </c>
      <c r="P839"/>
      <c r="AA839" s="19">
        <f t="shared" si="59"/>
        <v>43937</v>
      </c>
      <c r="AB839" s="20">
        <f t="shared" si="56"/>
        <v>5</v>
      </c>
      <c r="AC839" s="21">
        <f t="shared" si="57"/>
        <v>5</v>
      </c>
      <c r="AD839" s="22" t="str">
        <f t="shared" si="58"/>
        <v>ÚTIL</v>
      </c>
      <c r="AE839" s="25"/>
      <c r="AF839" s="9"/>
      <c r="AG839" s="9"/>
      <c r="AH839" s="9"/>
    </row>
    <row r="840" spans="15:34" hidden="1" x14ac:dyDescent="0.25">
      <c r="O840" s="4" t="s">
        <v>1269</v>
      </c>
      <c r="P840"/>
      <c r="AA840" s="19">
        <f t="shared" si="59"/>
        <v>43938</v>
      </c>
      <c r="AB840" s="20">
        <f t="shared" si="56"/>
        <v>6</v>
      </c>
      <c r="AC840" s="21">
        <f t="shared" si="57"/>
        <v>6</v>
      </c>
      <c r="AD840" s="22" t="str">
        <f t="shared" si="58"/>
        <v>ÚTIL</v>
      </c>
      <c r="AE840" s="25"/>
      <c r="AF840" s="9"/>
      <c r="AG840" s="9"/>
      <c r="AH840" s="9"/>
    </row>
    <row r="841" spans="15:34" hidden="1" x14ac:dyDescent="0.25">
      <c r="O841" s="4" t="s">
        <v>1270</v>
      </c>
      <c r="P841"/>
      <c r="AA841" s="19">
        <f t="shared" si="59"/>
        <v>43939</v>
      </c>
      <c r="AB841" s="20">
        <f t="shared" si="56"/>
        <v>7</v>
      </c>
      <c r="AC841" s="21">
        <f t="shared" si="57"/>
        <v>7</v>
      </c>
      <c r="AD841" s="22" t="str">
        <f t="shared" si="58"/>
        <v>NÃO ÚTIL</v>
      </c>
      <c r="AE841" s="25"/>
      <c r="AF841" s="9"/>
      <c r="AG841" s="9"/>
      <c r="AH841" s="9"/>
    </row>
    <row r="842" spans="15:34" hidden="1" x14ac:dyDescent="0.25">
      <c r="O842" s="4" t="s">
        <v>1271</v>
      </c>
      <c r="P842"/>
      <c r="AA842" s="19">
        <f t="shared" si="59"/>
        <v>43940</v>
      </c>
      <c r="AB842" s="20">
        <f t="shared" si="56"/>
        <v>1</v>
      </c>
      <c r="AC842" s="21">
        <f t="shared" si="57"/>
        <v>1</v>
      </c>
      <c r="AD842" s="22" t="str">
        <f t="shared" si="58"/>
        <v>NÃO ÚTIL</v>
      </c>
      <c r="AE842" s="25"/>
      <c r="AF842" s="9"/>
      <c r="AG842" s="9"/>
      <c r="AH842" s="9"/>
    </row>
    <row r="843" spans="15:34" hidden="1" x14ac:dyDescent="0.25">
      <c r="O843" s="4" t="s">
        <v>1272</v>
      </c>
      <c r="P843"/>
      <c r="AA843" s="19">
        <f t="shared" si="59"/>
        <v>43941</v>
      </c>
      <c r="AB843" s="20">
        <f t="shared" si="56"/>
        <v>2</v>
      </c>
      <c r="AC843" s="21">
        <f t="shared" si="57"/>
        <v>2</v>
      </c>
      <c r="AD843" s="22" t="str">
        <f t="shared" si="58"/>
        <v>ÚTIL</v>
      </c>
      <c r="AE843" s="25"/>
      <c r="AF843" s="9"/>
      <c r="AG843" s="9"/>
      <c r="AH843" s="9"/>
    </row>
    <row r="844" spans="15:34" hidden="1" x14ac:dyDescent="0.25">
      <c r="O844" s="4" t="s">
        <v>1273</v>
      </c>
      <c r="P844"/>
      <c r="AA844" s="19">
        <f t="shared" si="59"/>
        <v>43942</v>
      </c>
      <c r="AB844" s="20">
        <f t="shared" si="56"/>
        <v>3</v>
      </c>
      <c r="AC844" s="21">
        <f t="shared" si="57"/>
        <v>3</v>
      </c>
      <c r="AD844" s="22" t="str">
        <f t="shared" si="58"/>
        <v>ÚTIL</v>
      </c>
      <c r="AE844" s="25"/>
      <c r="AF844" s="9"/>
      <c r="AG844" s="9"/>
      <c r="AH844" s="9"/>
    </row>
    <row r="845" spans="15:34" hidden="1" x14ac:dyDescent="0.25">
      <c r="O845" s="4" t="s">
        <v>1274</v>
      </c>
      <c r="P845"/>
      <c r="AA845" s="19">
        <f t="shared" si="59"/>
        <v>43943</v>
      </c>
      <c r="AB845" s="20">
        <f t="shared" si="56"/>
        <v>4</v>
      </c>
      <c r="AC845" s="21">
        <f t="shared" si="57"/>
        <v>4</v>
      </c>
      <c r="AD845" s="22" t="str">
        <f t="shared" si="58"/>
        <v>ÚTIL</v>
      </c>
      <c r="AE845" s="25"/>
      <c r="AF845" s="9"/>
      <c r="AG845" s="9"/>
      <c r="AH845" s="9"/>
    </row>
    <row r="846" spans="15:34" hidden="1" x14ac:dyDescent="0.25">
      <c r="O846" s="4" t="s">
        <v>1275</v>
      </c>
      <c r="P846"/>
      <c r="AA846" s="19">
        <f t="shared" si="59"/>
        <v>43944</v>
      </c>
      <c r="AB846" s="20">
        <f t="shared" si="56"/>
        <v>5</v>
      </c>
      <c r="AC846" s="21">
        <f t="shared" si="57"/>
        <v>5</v>
      </c>
      <c r="AD846" s="22" t="str">
        <f t="shared" si="58"/>
        <v>ÚTIL</v>
      </c>
      <c r="AE846" s="25"/>
      <c r="AF846" s="9"/>
      <c r="AG846" s="9"/>
      <c r="AH846" s="9"/>
    </row>
    <row r="847" spans="15:34" hidden="1" x14ac:dyDescent="0.25">
      <c r="O847" s="4" t="s">
        <v>1276</v>
      </c>
      <c r="P847"/>
      <c r="AA847" s="19">
        <f t="shared" si="59"/>
        <v>43945</v>
      </c>
      <c r="AB847" s="20">
        <f t="shared" si="56"/>
        <v>6</v>
      </c>
      <c r="AC847" s="21">
        <f t="shared" si="57"/>
        <v>6</v>
      </c>
      <c r="AD847" s="22" t="str">
        <f t="shared" si="58"/>
        <v>ÚTIL</v>
      </c>
      <c r="AE847" s="25"/>
      <c r="AF847" s="9"/>
      <c r="AG847" s="9"/>
      <c r="AH847" s="9"/>
    </row>
    <row r="848" spans="15:34" hidden="1" x14ac:dyDescent="0.25">
      <c r="O848" s="4" t="s">
        <v>1277</v>
      </c>
      <c r="P848"/>
      <c r="AA848" s="19">
        <f t="shared" si="59"/>
        <v>43946</v>
      </c>
      <c r="AB848" s="20">
        <f t="shared" si="56"/>
        <v>7</v>
      </c>
      <c r="AC848" s="21">
        <f t="shared" si="57"/>
        <v>7</v>
      </c>
      <c r="AD848" s="22" t="str">
        <f t="shared" si="58"/>
        <v>NÃO ÚTIL</v>
      </c>
      <c r="AE848" s="25"/>
      <c r="AF848" s="9"/>
      <c r="AG848" s="9"/>
      <c r="AH848" s="9"/>
    </row>
    <row r="849" spans="15:34" hidden="1" x14ac:dyDescent="0.25">
      <c r="O849" s="4" t="s">
        <v>1278</v>
      </c>
      <c r="P849"/>
      <c r="AA849" s="19">
        <f t="shared" si="59"/>
        <v>43947</v>
      </c>
      <c r="AB849" s="20">
        <f t="shared" si="56"/>
        <v>1</v>
      </c>
      <c r="AC849" s="21">
        <f t="shared" si="57"/>
        <v>1</v>
      </c>
      <c r="AD849" s="22" t="str">
        <f t="shared" si="58"/>
        <v>NÃO ÚTIL</v>
      </c>
      <c r="AE849" s="25"/>
      <c r="AF849" s="9"/>
      <c r="AG849" s="9"/>
      <c r="AH849" s="9"/>
    </row>
    <row r="850" spans="15:34" hidden="1" x14ac:dyDescent="0.25">
      <c r="O850" s="4" t="s">
        <v>1279</v>
      </c>
      <c r="P850"/>
      <c r="AA850" s="19">
        <f t="shared" si="59"/>
        <v>43948</v>
      </c>
      <c r="AB850" s="20">
        <f t="shared" si="56"/>
        <v>2</v>
      </c>
      <c r="AC850" s="21">
        <f t="shared" si="57"/>
        <v>2</v>
      </c>
      <c r="AD850" s="22" t="str">
        <f t="shared" si="58"/>
        <v>ÚTIL</v>
      </c>
      <c r="AE850" s="25"/>
      <c r="AF850" s="9"/>
      <c r="AG850" s="9"/>
      <c r="AH850" s="9"/>
    </row>
    <row r="851" spans="15:34" hidden="1" x14ac:dyDescent="0.25">
      <c r="O851" s="4" t="s">
        <v>1280</v>
      </c>
      <c r="P851"/>
      <c r="AA851" s="19">
        <f t="shared" si="59"/>
        <v>43949</v>
      </c>
      <c r="AB851" s="20">
        <f t="shared" si="56"/>
        <v>3</v>
      </c>
      <c r="AC851" s="21">
        <f t="shared" si="57"/>
        <v>3</v>
      </c>
      <c r="AD851" s="22" t="str">
        <f t="shared" si="58"/>
        <v>ÚTIL</v>
      </c>
      <c r="AE851" s="25"/>
      <c r="AF851" s="9"/>
      <c r="AG851" s="9"/>
      <c r="AH851" s="9"/>
    </row>
    <row r="852" spans="15:34" hidden="1" x14ac:dyDescent="0.25">
      <c r="O852" s="4" t="s">
        <v>1281</v>
      </c>
      <c r="P852"/>
      <c r="AA852" s="19">
        <f t="shared" si="59"/>
        <v>43950</v>
      </c>
      <c r="AB852" s="20">
        <f t="shared" si="56"/>
        <v>4</v>
      </c>
      <c r="AC852" s="21">
        <f t="shared" si="57"/>
        <v>4</v>
      </c>
      <c r="AD852" s="22" t="str">
        <f t="shared" si="58"/>
        <v>ÚTIL</v>
      </c>
      <c r="AE852" s="25"/>
      <c r="AF852" s="9"/>
      <c r="AG852" s="9"/>
      <c r="AH852" s="9"/>
    </row>
    <row r="853" spans="15:34" hidden="1" x14ac:dyDescent="0.25">
      <c r="O853" s="4" t="s">
        <v>1282</v>
      </c>
      <c r="P853"/>
      <c r="AA853" s="19">
        <f t="shared" si="59"/>
        <v>43951</v>
      </c>
      <c r="AB853" s="20">
        <f t="shared" si="56"/>
        <v>5</v>
      </c>
      <c r="AC853" s="21">
        <f t="shared" si="57"/>
        <v>5</v>
      </c>
      <c r="AD853" s="22" t="str">
        <f t="shared" si="58"/>
        <v>ÚTIL</v>
      </c>
      <c r="AE853" s="25"/>
      <c r="AF853" s="9"/>
      <c r="AG853" s="9"/>
      <c r="AH853" s="9"/>
    </row>
    <row r="854" spans="15:34" hidden="1" x14ac:dyDescent="0.25">
      <c r="O854" s="4" t="s">
        <v>1283</v>
      </c>
      <c r="P854"/>
      <c r="AA854" s="19">
        <f t="shared" si="59"/>
        <v>43952</v>
      </c>
      <c r="AB854" s="20">
        <f t="shared" si="56"/>
        <v>6</v>
      </c>
      <c r="AC854" s="21">
        <f t="shared" si="57"/>
        <v>6</v>
      </c>
      <c r="AD854" s="22" t="str">
        <f t="shared" si="58"/>
        <v>ÚTIL</v>
      </c>
      <c r="AE854" s="25"/>
      <c r="AF854" s="9"/>
      <c r="AG854" s="9"/>
      <c r="AH854" s="9"/>
    </row>
    <row r="855" spans="15:34" hidden="1" x14ac:dyDescent="0.25">
      <c r="O855" s="4" t="s">
        <v>1284</v>
      </c>
      <c r="P855"/>
      <c r="AA855" s="19">
        <f t="shared" si="59"/>
        <v>43953</v>
      </c>
      <c r="AB855" s="20">
        <f t="shared" si="56"/>
        <v>7</v>
      </c>
      <c r="AC855" s="21">
        <f t="shared" si="57"/>
        <v>7</v>
      </c>
      <c r="AD855" s="22" t="str">
        <f t="shared" si="58"/>
        <v>NÃO ÚTIL</v>
      </c>
      <c r="AE855" s="25"/>
      <c r="AF855" s="9"/>
      <c r="AG855" s="9"/>
      <c r="AH855" s="9"/>
    </row>
    <row r="856" spans="15:34" hidden="1" x14ac:dyDescent="0.25">
      <c r="O856" s="4" t="s">
        <v>1285</v>
      </c>
      <c r="P856"/>
      <c r="AA856" s="19">
        <f t="shared" si="59"/>
        <v>43954</v>
      </c>
      <c r="AB856" s="20">
        <f t="shared" si="56"/>
        <v>1</v>
      </c>
      <c r="AC856" s="21">
        <f t="shared" si="57"/>
        <v>1</v>
      </c>
      <c r="AD856" s="22" t="str">
        <f t="shared" si="58"/>
        <v>NÃO ÚTIL</v>
      </c>
      <c r="AE856" s="25"/>
      <c r="AF856" s="9"/>
      <c r="AG856" s="9"/>
      <c r="AH856" s="9"/>
    </row>
    <row r="857" spans="15:34" hidden="1" x14ac:dyDescent="0.25">
      <c r="O857" s="4" t="s">
        <v>1286</v>
      </c>
      <c r="P857"/>
      <c r="AA857" s="19">
        <f t="shared" si="59"/>
        <v>43955</v>
      </c>
      <c r="AB857" s="20">
        <f t="shared" si="56"/>
        <v>2</v>
      </c>
      <c r="AC857" s="21">
        <f t="shared" si="57"/>
        <v>2</v>
      </c>
      <c r="AD857" s="22" t="str">
        <f t="shared" si="58"/>
        <v>ÚTIL</v>
      </c>
      <c r="AE857" s="25"/>
      <c r="AF857" s="9"/>
      <c r="AG857" s="9"/>
      <c r="AH857" s="9"/>
    </row>
    <row r="858" spans="15:34" hidden="1" x14ac:dyDescent="0.25">
      <c r="O858" s="4" t="s">
        <v>1287</v>
      </c>
      <c r="P858"/>
      <c r="AA858" s="19">
        <f t="shared" si="59"/>
        <v>43956</v>
      </c>
      <c r="AB858" s="20">
        <f t="shared" si="56"/>
        <v>3</v>
      </c>
      <c r="AC858" s="21">
        <f t="shared" si="57"/>
        <v>3</v>
      </c>
      <c r="AD858" s="22" t="str">
        <f t="shared" si="58"/>
        <v>ÚTIL</v>
      </c>
      <c r="AE858" s="25"/>
      <c r="AF858" s="9"/>
      <c r="AG858" s="9"/>
      <c r="AH858" s="9"/>
    </row>
    <row r="859" spans="15:34" hidden="1" x14ac:dyDescent="0.25">
      <c r="O859" s="4" t="s">
        <v>1288</v>
      </c>
      <c r="P859"/>
      <c r="AA859" s="19">
        <f t="shared" si="59"/>
        <v>43957</v>
      </c>
      <c r="AB859" s="20">
        <f t="shared" si="56"/>
        <v>4</v>
      </c>
      <c r="AC859" s="21">
        <f t="shared" si="57"/>
        <v>4</v>
      </c>
      <c r="AD859" s="22" t="str">
        <f t="shared" si="58"/>
        <v>ÚTIL</v>
      </c>
      <c r="AE859" s="25"/>
      <c r="AF859" s="9"/>
      <c r="AG859" s="9"/>
      <c r="AH859" s="9"/>
    </row>
    <row r="860" spans="15:34" hidden="1" x14ac:dyDescent="0.25">
      <c r="O860" s="4" t="s">
        <v>1289</v>
      </c>
      <c r="P860"/>
      <c r="AA860" s="19">
        <f t="shared" si="59"/>
        <v>43958</v>
      </c>
      <c r="AB860" s="20">
        <f t="shared" si="56"/>
        <v>5</v>
      </c>
      <c r="AC860" s="21">
        <f t="shared" si="57"/>
        <v>5</v>
      </c>
      <c r="AD860" s="22" t="str">
        <f t="shared" si="58"/>
        <v>ÚTIL</v>
      </c>
      <c r="AE860" s="25"/>
      <c r="AF860" s="9"/>
      <c r="AG860" s="9"/>
      <c r="AH860" s="9"/>
    </row>
    <row r="861" spans="15:34" hidden="1" x14ac:dyDescent="0.25">
      <c r="O861" s="4" t="s">
        <v>1290</v>
      </c>
      <c r="P861"/>
      <c r="AA861" s="19">
        <f t="shared" si="59"/>
        <v>43959</v>
      </c>
      <c r="AB861" s="20">
        <f t="shared" si="56"/>
        <v>6</v>
      </c>
      <c r="AC861" s="21">
        <f t="shared" si="57"/>
        <v>6</v>
      </c>
      <c r="AD861" s="22" t="str">
        <f t="shared" si="58"/>
        <v>ÚTIL</v>
      </c>
      <c r="AE861" s="25"/>
      <c r="AF861" s="9"/>
      <c r="AG861" s="9"/>
      <c r="AH861" s="9"/>
    </row>
    <row r="862" spans="15:34" hidden="1" x14ac:dyDescent="0.25">
      <c r="O862" s="4" t="s">
        <v>1291</v>
      </c>
      <c r="P862"/>
      <c r="AA862" s="19">
        <f t="shared" si="59"/>
        <v>43960</v>
      </c>
      <c r="AB862" s="20">
        <f t="shared" si="56"/>
        <v>7</v>
      </c>
      <c r="AC862" s="21">
        <f t="shared" si="57"/>
        <v>7</v>
      </c>
      <c r="AD862" s="22" t="str">
        <f t="shared" si="58"/>
        <v>NÃO ÚTIL</v>
      </c>
      <c r="AE862" s="25"/>
      <c r="AF862" s="9"/>
      <c r="AG862" s="9"/>
      <c r="AH862" s="9"/>
    </row>
    <row r="863" spans="15:34" hidden="1" x14ac:dyDescent="0.25">
      <c r="O863" s="4" t="s">
        <v>1292</v>
      </c>
      <c r="P863"/>
      <c r="AA863" s="19">
        <f t="shared" si="59"/>
        <v>43961</v>
      </c>
      <c r="AB863" s="20">
        <f t="shared" si="56"/>
        <v>1</v>
      </c>
      <c r="AC863" s="21">
        <f t="shared" si="57"/>
        <v>1</v>
      </c>
      <c r="AD863" s="22" t="str">
        <f t="shared" si="58"/>
        <v>NÃO ÚTIL</v>
      </c>
      <c r="AE863" s="25"/>
      <c r="AF863" s="9"/>
      <c r="AG863" s="9"/>
      <c r="AH863" s="9"/>
    </row>
    <row r="864" spans="15:34" hidden="1" x14ac:dyDescent="0.25">
      <c r="O864" s="4" t="s">
        <v>1293</v>
      </c>
      <c r="P864"/>
      <c r="AA864" s="19">
        <f t="shared" si="59"/>
        <v>43962</v>
      </c>
      <c r="AB864" s="20">
        <f t="shared" si="56"/>
        <v>2</v>
      </c>
      <c r="AC864" s="21">
        <f t="shared" si="57"/>
        <v>2</v>
      </c>
      <c r="AD864" s="22" t="str">
        <f t="shared" si="58"/>
        <v>ÚTIL</v>
      </c>
      <c r="AE864" s="25"/>
      <c r="AF864" s="9"/>
      <c r="AG864" s="9"/>
      <c r="AH864" s="9"/>
    </row>
    <row r="865" spans="15:34" hidden="1" x14ac:dyDescent="0.25">
      <c r="O865" s="4" t="s">
        <v>1294</v>
      </c>
      <c r="P865"/>
      <c r="AA865" s="19">
        <f t="shared" si="59"/>
        <v>43963</v>
      </c>
      <c r="AB865" s="20">
        <f t="shared" si="56"/>
        <v>3</v>
      </c>
      <c r="AC865" s="21">
        <f t="shared" si="57"/>
        <v>3</v>
      </c>
      <c r="AD865" s="22" t="str">
        <f t="shared" si="58"/>
        <v>ÚTIL</v>
      </c>
      <c r="AE865" s="25"/>
      <c r="AF865" s="9"/>
      <c r="AG865" s="9"/>
      <c r="AH865" s="9"/>
    </row>
    <row r="866" spans="15:34" hidden="1" x14ac:dyDescent="0.25">
      <c r="O866" s="4" t="s">
        <v>1295</v>
      </c>
      <c r="P866"/>
      <c r="AA866" s="19">
        <f t="shared" si="59"/>
        <v>43964</v>
      </c>
      <c r="AB866" s="20">
        <f t="shared" si="56"/>
        <v>4</v>
      </c>
      <c r="AC866" s="21">
        <f t="shared" si="57"/>
        <v>4</v>
      </c>
      <c r="AD866" s="22" t="str">
        <f t="shared" si="58"/>
        <v>ÚTIL</v>
      </c>
      <c r="AE866" s="25"/>
      <c r="AF866" s="9"/>
      <c r="AG866" s="9"/>
      <c r="AH866" s="9"/>
    </row>
    <row r="867" spans="15:34" hidden="1" x14ac:dyDescent="0.25">
      <c r="O867" s="4" t="s">
        <v>1296</v>
      </c>
      <c r="P867"/>
      <c r="AA867" s="19">
        <f t="shared" si="59"/>
        <v>43965</v>
      </c>
      <c r="AB867" s="20">
        <f t="shared" si="56"/>
        <v>5</v>
      </c>
      <c r="AC867" s="21">
        <f t="shared" si="57"/>
        <v>5</v>
      </c>
      <c r="AD867" s="22" t="str">
        <f t="shared" si="58"/>
        <v>ÚTIL</v>
      </c>
      <c r="AE867" s="25"/>
      <c r="AF867" s="9"/>
      <c r="AG867" s="9"/>
      <c r="AH867" s="9"/>
    </row>
    <row r="868" spans="15:34" hidden="1" x14ac:dyDescent="0.25">
      <c r="O868" s="4" t="s">
        <v>1297</v>
      </c>
      <c r="P868"/>
      <c r="AA868" s="19">
        <f t="shared" si="59"/>
        <v>43966</v>
      </c>
      <c r="AB868" s="20">
        <f t="shared" si="56"/>
        <v>6</v>
      </c>
      <c r="AC868" s="21">
        <f t="shared" si="57"/>
        <v>6</v>
      </c>
      <c r="AD868" s="22" t="str">
        <f t="shared" si="58"/>
        <v>ÚTIL</v>
      </c>
      <c r="AE868" s="25"/>
      <c r="AF868" s="9"/>
      <c r="AG868" s="9"/>
      <c r="AH868" s="9"/>
    </row>
    <row r="869" spans="15:34" hidden="1" x14ac:dyDescent="0.25">
      <c r="O869" s="4" t="s">
        <v>1298</v>
      </c>
      <c r="P869"/>
      <c r="AA869" s="19">
        <f t="shared" si="59"/>
        <v>43967</v>
      </c>
      <c r="AB869" s="20">
        <f t="shared" si="56"/>
        <v>7</v>
      </c>
      <c r="AC869" s="21">
        <f t="shared" si="57"/>
        <v>7</v>
      </c>
      <c r="AD869" s="22" t="str">
        <f t="shared" si="58"/>
        <v>NÃO ÚTIL</v>
      </c>
      <c r="AE869" s="25"/>
      <c r="AF869" s="9"/>
      <c r="AG869" s="9"/>
      <c r="AH869" s="9"/>
    </row>
    <row r="870" spans="15:34" hidden="1" x14ac:dyDescent="0.25">
      <c r="O870" s="4" t="s">
        <v>1299</v>
      </c>
      <c r="P870"/>
      <c r="AA870" s="19">
        <f t="shared" si="59"/>
        <v>43968</v>
      </c>
      <c r="AB870" s="20">
        <f t="shared" si="56"/>
        <v>1</v>
      </c>
      <c r="AC870" s="21">
        <f t="shared" si="57"/>
        <v>1</v>
      </c>
      <c r="AD870" s="22" t="str">
        <f t="shared" si="58"/>
        <v>NÃO ÚTIL</v>
      </c>
      <c r="AE870" s="25"/>
      <c r="AF870" s="9"/>
      <c r="AG870" s="9"/>
      <c r="AH870" s="9"/>
    </row>
    <row r="871" spans="15:34" hidden="1" x14ac:dyDescent="0.25">
      <c r="O871" s="4" t="s">
        <v>1300</v>
      </c>
      <c r="P871"/>
      <c r="AA871" s="19">
        <f t="shared" si="59"/>
        <v>43969</v>
      </c>
      <c r="AB871" s="20">
        <f t="shared" si="56"/>
        <v>2</v>
      </c>
      <c r="AC871" s="21">
        <f t="shared" si="57"/>
        <v>2</v>
      </c>
      <c r="AD871" s="22" t="str">
        <f t="shared" si="58"/>
        <v>ÚTIL</v>
      </c>
      <c r="AE871" s="25"/>
      <c r="AF871" s="9"/>
      <c r="AG871" s="9"/>
      <c r="AH871" s="9"/>
    </row>
    <row r="872" spans="15:34" hidden="1" x14ac:dyDescent="0.25">
      <c r="O872" s="4" t="s">
        <v>1301</v>
      </c>
      <c r="P872"/>
      <c r="AA872" s="19">
        <f t="shared" si="59"/>
        <v>43970</v>
      </c>
      <c r="AB872" s="20">
        <f t="shared" si="56"/>
        <v>3</v>
      </c>
      <c r="AC872" s="21">
        <f t="shared" si="57"/>
        <v>3</v>
      </c>
      <c r="AD872" s="22" t="str">
        <f t="shared" si="58"/>
        <v>ÚTIL</v>
      </c>
      <c r="AE872" s="25"/>
      <c r="AF872" s="9"/>
      <c r="AG872" s="9"/>
      <c r="AH872" s="9"/>
    </row>
    <row r="873" spans="15:34" hidden="1" x14ac:dyDescent="0.25">
      <c r="O873" s="4" t="s">
        <v>1302</v>
      </c>
      <c r="P873"/>
      <c r="AA873" s="19">
        <f t="shared" si="59"/>
        <v>43971</v>
      </c>
      <c r="AB873" s="20">
        <f t="shared" si="56"/>
        <v>4</v>
      </c>
      <c r="AC873" s="21">
        <f t="shared" si="57"/>
        <v>4</v>
      </c>
      <c r="AD873" s="22" t="str">
        <f t="shared" si="58"/>
        <v>ÚTIL</v>
      </c>
      <c r="AE873" s="25"/>
      <c r="AF873" s="9"/>
      <c r="AG873" s="9"/>
      <c r="AH873" s="9"/>
    </row>
    <row r="874" spans="15:34" hidden="1" x14ac:dyDescent="0.25">
      <c r="O874" s="4" t="s">
        <v>1303</v>
      </c>
      <c r="P874"/>
      <c r="AA874" s="19">
        <f t="shared" si="59"/>
        <v>43972</v>
      </c>
      <c r="AB874" s="20">
        <f t="shared" si="56"/>
        <v>5</v>
      </c>
      <c r="AC874" s="21">
        <f t="shared" si="57"/>
        <v>5</v>
      </c>
      <c r="AD874" s="22" t="str">
        <f t="shared" si="58"/>
        <v>ÚTIL</v>
      </c>
      <c r="AE874" s="25"/>
      <c r="AF874" s="9"/>
      <c r="AG874" s="9"/>
      <c r="AH874" s="9"/>
    </row>
    <row r="875" spans="15:34" hidden="1" x14ac:dyDescent="0.25">
      <c r="O875" s="4" t="s">
        <v>1304</v>
      </c>
      <c r="P875"/>
      <c r="AA875" s="19">
        <f t="shared" si="59"/>
        <v>43973</v>
      </c>
      <c r="AB875" s="20">
        <f t="shared" si="56"/>
        <v>6</v>
      </c>
      <c r="AC875" s="21">
        <f t="shared" si="57"/>
        <v>6</v>
      </c>
      <c r="AD875" s="22" t="str">
        <f t="shared" si="58"/>
        <v>ÚTIL</v>
      </c>
      <c r="AE875" s="25"/>
      <c r="AF875" s="9"/>
      <c r="AG875" s="9"/>
      <c r="AH875" s="9"/>
    </row>
    <row r="876" spans="15:34" hidden="1" x14ac:dyDescent="0.25">
      <c r="O876" s="4" t="s">
        <v>1305</v>
      </c>
      <c r="P876"/>
      <c r="AA876" s="19">
        <f t="shared" si="59"/>
        <v>43974</v>
      </c>
      <c r="AB876" s="20">
        <f t="shared" si="56"/>
        <v>7</v>
      </c>
      <c r="AC876" s="21">
        <f t="shared" si="57"/>
        <v>7</v>
      </c>
      <c r="AD876" s="22" t="str">
        <f t="shared" si="58"/>
        <v>NÃO ÚTIL</v>
      </c>
      <c r="AE876" s="25"/>
      <c r="AF876" s="9"/>
      <c r="AG876" s="9"/>
      <c r="AH876" s="9"/>
    </row>
    <row r="877" spans="15:34" hidden="1" x14ac:dyDescent="0.25">
      <c r="O877" s="4" t="s">
        <v>1306</v>
      </c>
      <c r="P877"/>
      <c r="AA877" s="19">
        <f t="shared" si="59"/>
        <v>43975</v>
      </c>
      <c r="AB877" s="20">
        <f t="shared" si="56"/>
        <v>1</v>
      </c>
      <c r="AC877" s="21">
        <f t="shared" si="57"/>
        <v>1</v>
      </c>
      <c r="AD877" s="22" t="str">
        <f t="shared" si="58"/>
        <v>NÃO ÚTIL</v>
      </c>
      <c r="AE877" s="25"/>
      <c r="AF877" s="9"/>
      <c r="AG877" s="9"/>
      <c r="AH877" s="9"/>
    </row>
    <row r="878" spans="15:34" hidden="1" x14ac:dyDescent="0.25">
      <c r="O878" s="4" t="s">
        <v>1307</v>
      </c>
      <c r="P878"/>
      <c r="AA878" s="19">
        <f t="shared" si="59"/>
        <v>43976</v>
      </c>
      <c r="AB878" s="20">
        <f t="shared" si="56"/>
        <v>2</v>
      </c>
      <c r="AC878" s="21">
        <f t="shared" si="57"/>
        <v>2</v>
      </c>
      <c r="AD878" s="22" t="str">
        <f t="shared" si="58"/>
        <v>ÚTIL</v>
      </c>
      <c r="AE878" s="25"/>
      <c r="AF878" s="9"/>
      <c r="AG878" s="9"/>
      <c r="AH878" s="9"/>
    </row>
    <row r="879" spans="15:34" hidden="1" x14ac:dyDescent="0.25">
      <c r="O879" s="4" t="s">
        <v>1308</v>
      </c>
      <c r="P879"/>
      <c r="AA879" s="19">
        <f t="shared" si="59"/>
        <v>43977</v>
      </c>
      <c r="AB879" s="20">
        <f t="shared" si="56"/>
        <v>3</v>
      </c>
      <c r="AC879" s="21">
        <f t="shared" si="57"/>
        <v>3</v>
      </c>
      <c r="AD879" s="22" t="str">
        <f t="shared" si="58"/>
        <v>ÚTIL</v>
      </c>
      <c r="AE879" s="25"/>
      <c r="AF879" s="9"/>
      <c r="AG879" s="9"/>
      <c r="AH879" s="9"/>
    </row>
    <row r="880" spans="15:34" hidden="1" x14ac:dyDescent="0.25">
      <c r="O880" s="4" t="s">
        <v>1309</v>
      </c>
      <c r="P880"/>
      <c r="AA880" s="19">
        <f t="shared" si="59"/>
        <v>43978</v>
      </c>
      <c r="AB880" s="20">
        <f t="shared" si="56"/>
        <v>4</v>
      </c>
      <c r="AC880" s="21">
        <f t="shared" si="57"/>
        <v>4</v>
      </c>
      <c r="AD880" s="22" t="str">
        <f t="shared" si="58"/>
        <v>ÚTIL</v>
      </c>
      <c r="AE880" s="25"/>
      <c r="AF880" s="9"/>
      <c r="AG880" s="9"/>
      <c r="AH880" s="9"/>
    </row>
    <row r="881" spans="15:34" hidden="1" x14ac:dyDescent="0.25">
      <c r="O881" s="4" t="s">
        <v>1310</v>
      </c>
      <c r="P881"/>
      <c r="AA881" s="19">
        <f t="shared" si="59"/>
        <v>43979</v>
      </c>
      <c r="AB881" s="20">
        <f t="shared" si="56"/>
        <v>5</v>
      </c>
      <c r="AC881" s="21">
        <f t="shared" si="57"/>
        <v>5</v>
      </c>
      <c r="AD881" s="22" t="str">
        <f t="shared" si="58"/>
        <v>ÚTIL</v>
      </c>
      <c r="AE881" s="25"/>
      <c r="AF881" s="9"/>
      <c r="AG881" s="9"/>
      <c r="AH881" s="9"/>
    </row>
    <row r="882" spans="15:34" hidden="1" x14ac:dyDescent="0.25">
      <c r="O882" s="4" t="s">
        <v>1311</v>
      </c>
      <c r="P882"/>
      <c r="AA882" s="19">
        <f t="shared" si="59"/>
        <v>43980</v>
      </c>
      <c r="AB882" s="20">
        <f t="shared" si="56"/>
        <v>6</v>
      </c>
      <c r="AC882" s="21">
        <f t="shared" si="57"/>
        <v>6</v>
      </c>
      <c r="AD882" s="22" t="str">
        <f t="shared" si="58"/>
        <v>ÚTIL</v>
      </c>
      <c r="AE882" s="25"/>
      <c r="AF882" s="9"/>
      <c r="AG882" s="9"/>
      <c r="AH882" s="9"/>
    </row>
    <row r="883" spans="15:34" hidden="1" x14ac:dyDescent="0.25">
      <c r="O883" s="4" t="s">
        <v>1312</v>
      </c>
      <c r="P883"/>
      <c r="AA883" s="19">
        <f t="shared" si="59"/>
        <v>43981</v>
      </c>
      <c r="AB883" s="20">
        <f t="shared" si="56"/>
        <v>7</v>
      </c>
      <c r="AC883" s="21">
        <f t="shared" si="57"/>
        <v>7</v>
      </c>
      <c r="AD883" s="22" t="str">
        <f t="shared" si="58"/>
        <v>NÃO ÚTIL</v>
      </c>
      <c r="AE883" s="25"/>
      <c r="AF883" s="9"/>
      <c r="AG883" s="9"/>
      <c r="AH883" s="9"/>
    </row>
    <row r="884" spans="15:34" hidden="1" x14ac:dyDescent="0.25">
      <c r="O884" s="4" t="s">
        <v>1313</v>
      </c>
      <c r="P884"/>
      <c r="AA884" s="19">
        <f t="shared" si="59"/>
        <v>43982</v>
      </c>
      <c r="AB884" s="20">
        <f t="shared" si="56"/>
        <v>1</v>
      </c>
      <c r="AC884" s="21">
        <f t="shared" si="57"/>
        <v>1</v>
      </c>
      <c r="AD884" s="22" t="str">
        <f t="shared" si="58"/>
        <v>NÃO ÚTIL</v>
      </c>
      <c r="AE884" s="25"/>
      <c r="AF884" s="9"/>
      <c r="AG884" s="9"/>
      <c r="AH884" s="9"/>
    </row>
    <row r="885" spans="15:34" hidden="1" x14ac:dyDescent="0.25">
      <c r="O885" s="4" t="s">
        <v>1314</v>
      </c>
      <c r="P885"/>
      <c r="AA885" s="19">
        <f t="shared" si="59"/>
        <v>43983</v>
      </c>
      <c r="AB885" s="20">
        <f t="shared" si="56"/>
        <v>2</v>
      </c>
      <c r="AC885" s="21">
        <f t="shared" si="57"/>
        <v>2</v>
      </c>
      <c r="AD885" s="22" t="str">
        <f t="shared" si="58"/>
        <v>ÚTIL</v>
      </c>
      <c r="AE885" s="25"/>
      <c r="AF885" s="9"/>
      <c r="AG885" s="9"/>
      <c r="AH885" s="9"/>
    </row>
    <row r="886" spans="15:34" hidden="1" x14ac:dyDescent="0.25">
      <c r="O886" s="4" t="s">
        <v>1315</v>
      </c>
      <c r="P886"/>
      <c r="AA886" s="19">
        <f t="shared" si="59"/>
        <v>43984</v>
      </c>
      <c r="AB886" s="20">
        <f t="shared" si="56"/>
        <v>3</v>
      </c>
      <c r="AC886" s="21">
        <f t="shared" si="57"/>
        <v>3</v>
      </c>
      <c r="AD886" s="22" t="str">
        <f t="shared" si="58"/>
        <v>ÚTIL</v>
      </c>
      <c r="AE886" s="25"/>
      <c r="AF886" s="9"/>
      <c r="AG886" s="9"/>
      <c r="AH886" s="9"/>
    </row>
    <row r="887" spans="15:34" hidden="1" x14ac:dyDescent="0.25">
      <c r="O887" s="4" t="s">
        <v>1316</v>
      </c>
      <c r="P887"/>
      <c r="AA887" s="19">
        <f t="shared" si="59"/>
        <v>43985</v>
      </c>
      <c r="AB887" s="20">
        <f t="shared" si="56"/>
        <v>4</v>
      </c>
      <c r="AC887" s="21">
        <f t="shared" si="57"/>
        <v>4</v>
      </c>
      <c r="AD887" s="22" t="str">
        <f t="shared" si="58"/>
        <v>ÚTIL</v>
      </c>
      <c r="AE887" s="25"/>
      <c r="AF887" s="9"/>
      <c r="AG887" s="9"/>
      <c r="AH887" s="9"/>
    </row>
    <row r="888" spans="15:34" hidden="1" x14ac:dyDescent="0.25">
      <c r="O888" s="4" t="s">
        <v>1317</v>
      </c>
      <c r="P888"/>
      <c r="AA888" s="19">
        <f t="shared" si="59"/>
        <v>43986</v>
      </c>
      <c r="AB888" s="20">
        <f t="shared" si="56"/>
        <v>5</v>
      </c>
      <c r="AC888" s="21">
        <f t="shared" si="57"/>
        <v>5</v>
      </c>
      <c r="AD888" s="22" t="str">
        <f t="shared" si="58"/>
        <v>ÚTIL</v>
      </c>
      <c r="AE888" s="25"/>
      <c r="AF888" s="9"/>
      <c r="AG888" s="9"/>
      <c r="AH888" s="9"/>
    </row>
    <row r="889" spans="15:34" hidden="1" x14ac:dyDescent="0.25">
      <c r="O889" s="4" t="s">
        <v>1318</v>
      </c>
      <c r="P889"/>
      <c r="AA889" s="19">
        <f t="shared" si="59"/>
        <v>43987</v>
      </c>
      <c r="AB889" s="20">
        <f t="shared" si="56"/>
        <v>6</v>
      </c>
      <c r="AC889" s="21">
        <f t="shared" si="57"/>
        <v>6</v>
      </c>
      <c r="AD889" s="22" t="str">
        <f t="shared" si="58"/>
        <v>ÚTIL</v>
      </c>
      <c r="AE889" s="25"/>
      <c r="AF889" s="9"/>
      <c r="AG889" s="9"/>
      <c r="AH889" s="9"/>
    </row>
    <row r="890" spans="15:34" hidden="1" x14ac:dyDescent="0.25">
      <c r="O890" s="4" t="s">
        <v>1319</v>
      </c>
      <c r="P890"/>
      <c r="AA890" s="19">
        <f t="shared" si="59"/>
        <v>43988</v>
      </c>
      <c r="AB890" s="20">
        <f t="shared" si="56"/>
        <v>7</v>
      </c>
      <c r="AC890" s="21">
        <f t="shared" si="57"/>
        <v>7</v>
      </c>
      <c r="AD890" s="22" t="str">
        <f t="shared" si="58"/>
        <v>NÃO ÚTIL</v>
      </c>
      <c r="AE890" s="25"/>
      <c r="AF890" s="9"/>
      <c r="AG890" s="9"/>
      <c r="AH890" s="9"/>
    </row>
    <row r="891" spans="15:34" hidden="1" x14ac:dyDescent="0.25">
      <c r="O891" s="4" t="s">
        <v>1320</v>
      </c>
      <c r="P891"/>
      <c r="AA891" s="19">
        <f t="shared" si="59"/>
        <v>43989</v>
      </c>
      <c r="AB891" s="20">
        <f t="shared" si="56"/>
        <v>1</v>
      </c>
      <c r="AC891" s="21">
        <f t="shared" si="57"/>
        <v>1</v>
      </c>
      <c r="AD891" s="22" t="str">
        <f t="shared" si="58"/>
        <v>NÃO ÚTIL</v>
      </c>
      <c r="AE891" s="25"/>
      <c r="AF891" s="9"/>
      <c r="AG891" s="9"/>
      <c r="AH891" s="9"/>
    </row>
    <row r="892" spans="15:34" hidden="1" x14ac:dyDescent="0.25">
      <c r="O892" s="4" t="s">
        <v>1321</v>
      </c>
      <c r="P892"/>
      <c r="AA892" s="19">
        <f t="shared" si="59"/>
        <v>43990</v>
      </c>
      <c r="AB892" s="20">
        <f t="shared" si="56"/>
        <v>2</v>
      </c>
      <c r="AC892" s="21">
        <f t="shared" si="57"/>
        <v>2</v>
      </c>
      <c r="AD892" s="22" t="str">
        <f t="shared" si="58"/>
        <v>ÚTIL</v>
      </c>
      <c r="AE892" s="25"/>
      <c r="AF892" s="9"/>
      <c r="AG892" s="9"/>
      <c r="AH892" s="9"/>
    </row>
    <row r="893" spans="15:34" hidden="1" x14ac:dyDescent="0.25">
      <c r="O893" s="4" t="s">
        <v>1322</v>
      </c>
      <c r="P893"/>
      <c r="AA893" s="19">
        <f t="shared" si="59"/>
        <v>43991</v>
      </c>
      <c r="AB893" s="20">
        <f t="shared" si="56"/>
        <v>3</v>
      </c>
      <c r="AC893" s="21">
        <f t="shared" si="57"/>
        <v>3</v>
      </c>
      <c r="AD893" s="22" t="str">
        <f t="shared" si="58"/>
        <v>ÚTIL</v>
      </c>
      <c r="AE893" s="25"/>
      <c r="AF893" s="9"/>
      <c r="AG893" s="9"/>
      <c r="AH893" s="9"/>
    </row>
    <row r="894" spans="15:34" hidden="1" x14ac:dyDescent="0.25">
      <c r="O894" s="4" t="s">
        <v>1323</v>
      </c>
      <c r="P894"/>
      <c r="AA894" s="19">
        <f t="shared" si="59"/>
        <v>43992</v>
      </c>
      <c r="AB894" s="20">
        <f t="shared" si="56"/>
        <v>4</v>
      </c>
      <c r="AC894" s="21">
        <f t="shared" si="57"/>
        <v>4</v>
      </c>
      <c r="AD894" s="22" t="str">
        <f t="shared" si="58"/>
        <v>ÚTIL</v>
      </c>
      <c r="AE894" s="25"/>
      <c r="AF894" s="9"/>
      <c r="AG894" s="9"/>
      <c r="AH894" s="9"/>
    </row>
    <row r="895" spans="15:34" hidden="1" x14ac:dyDescent="0.25">
      <c r="O895" s="4" t="s">
        <v>1324</v>
      </c>
      <c r="P895"/>
      <c r="AA895" s="19">
        <f t="shared" si="59"/>
        <v>43993</v>
      </c>
      <c r="AB895" s="20">
        <f t="shared" si="56"/>
        <v>5</v>
      </c>
      <c r="AC895" s="21">
        <f t="shared" si="57"/>
        <v>5</v>
      </c>
      <c r="AD895" s="22" t="str">
        <f t="shared" si="58"/>
        <v>ÚTIL</v>
      </c>
      <c r="AE895" s="25"/>
      <c r="AF895" s="9"/>
      <c r="AG895" s="9"/>
      <c r="AH895" s="9"/>
    </row>
    <row r="896" spans="15:34" hidden="1" x14ac:dyDescent="0.25">
      <c r="O896" s="4" t="s">
        <v>1325</v>
      </c>
      <c r="P896"/>
      <c r="AA896" s="19">
        <f t="shared" si="59"/>
        <v>43994</v>
      </c>
      <c r="AB896" s="20">
        <f t="shared" si="56"/>
        <v>6</v>
      </c>
      <c r="AC896" s="21">
        <f t="shared" si="57"/>
        <v>6</v>
      </c>
      <c r="AD896" s="22" t="str">
        <f t="shared" si="58"/>
        <v>ÚTIL</v>
      </c>
      <c r="AE896" s="25"/>
      <c r="AF896" s="9"/>
      <c r="AG896" s="9"/>
      <c r="AH896" s="9"/>
    </row>
    <row r="897" spans="15:34" hidden="1" x14ac:dyDescent="0.25">
      <c r="O897" s="4" t="s">
        <v>1326</v>
      </c>
      <c r="P897"/>
      <c r="AA897" s="19">
        <f t="shared" si="59"/>
        <v>43995</v>
      </c>
      <c r="AB897" s="20">
        <f t="shared" si="56"/>
        <v>7</v>
      </c>
      <c r="AC897" s="21">
        <f t="shared" si="57"/>
        <v>7</v>
      </c>
      <c r="AD897" s="22" t="str">
        <f t="shared" si="58"/>
        <v>NÃO ÚTIL</v>
      </c>
      <c r="AE897" s="25"/>
      <c r="AF897" s="9"/>
      <c r="AG897" s="9"/>
      <c r="AH897" s="9"/>
    </row>
    <row r="898" spans="15:34" hidden="1" x14ac:dyDescent="0.25">
      <c r="O898" s="4" t="s">
        <v>1327</v>
      </c>
      <c r="P898"/>
      <c r="AA898" s="19">
        <f t="shared" si="59"/>
        <v>43996</v>
      </c>
      <c r="AB898" s="20">
        <f t="shared" si="56"/>
        <v>1</v>
      </c>
      <c r="AC898" s="21">
        <f t="shared" si="57"/>
        <v>1</v>
      </c>
      <c r="AD898" s="22" t="str">
        <f t="shared" si="58"/>
        <v>NÃO ÚTIL</v>
      </c>
      <c r="AE898" s="25"/>
      <c r="AF898" s="9"/>
      <c r="AG898" s="9"/>
      <c r="AH898" s="9"/>
    </row>
    <row r="899" spans="15:34" hidden="1" x14ac:dyDescent="0.25">
      <c r="O899" s="4" t="s">
        <v>1328</v>
      </c>
      <c r="P899"/>
      <c r="AA899" s="19">
        <f t="shared" si="59"/>
        <v>43997</v>
      </c>
      <c r="AB899" s="20">
        <f t="shared" ref="AB899:AB962" si="60">AC899</f>
        <v>2</v>
      </c>
      <c r="AC899" s="21">
        <f t="shared" ref="AC899:AC962" si="61">WEEKDAY(AA899)</f>
        <v>2</v>
      </c>
      <c r="AD899" s="22" t="str">
        <f t="shared" ref="AD899:AD962" si="62">IF(WORKDAY(AA899-1,1,$AE$3:$AE$14)=AA899,"ÚTIL","NÃO ÚTIL")</f>
        <v>ÚTIL</v>
      </c>
      <c r="AE899" s="25"/>
      <c r="AF899" s="9"/>
      <c r="AG899" s="9"/>
      <c r="AH899" s="9"/>
    </row>
    <row r="900" spans="15:34" hidden="1" x14ac:dyDescent="0.25">
      <c r="O900" s="4" t="s">
        <v>1329</v>
      </c>
      <c r="P900"/>
      <c r="AA900" s="19">
        <f t="shared" ref="AA900:AA963" si="63">AA899+1</f>
        <v>43998</v>
      </c>
      <c r="AB900" s="20">
        <f t="shared" si="60"/>
        <v>3</v>
      </c>
      <c r="AC900" s="21">
        <f t="shared" si="61"/>
        <v>3</v>
      </c>
      <c r="AD900" s="22" t="str">
        <f t="shared" si="62"/>
        <v>ÚTIL</v>
      </c>
      <c r="AE900" s="25"/>
      <c r="AF900" s="9"/>
      <c r="AG900" s="9"/>
      <c r="AH900" s="9"/>
    </row>
    <row r="901" spans="15:34" hidden="1" x14ac:dyDescent="0.25">
      <c r="O901" s="4" t="s">
        <v>1330</v>
      </c>
      <c r="P901"/>
      <c r="AA901" s="19">
        <f t="shared" si="63"/>
        <v>43999</v>
      </c>
      <c r="AB901" s="20">
        <f t="shared" si="60"/>
        <v>4</v>
      </c>
      <c r="AC901" s="21">
        <f t="shared" si="61"/>
        <v>4</v>
      </c>
      <c r="AD901" s="22" t="str">
        <f t="shared" si="62"/>
        <v>ÚTIL</v>
      </c>
      <c r="AE901" s="25"/>
      <c r="AF901" s="9"/>
      <c r="AG901" s="9"/>
      <c r="AH901" s="9"/>
    </row>
    <row r="902" spans="15:34" hidden="1" x14ac:dyDescent="0.25">
      <c r="O902" s="4" t="s">
        <v>1331</v>
      </c>
      <c r="P902"/>
      <c r="AA902" s="19">
        <f t="shared" si="63"/>
        <v>44000</v>
      </c>
      <c r="AB902" s="20">
        <f t="shared" si="60"/>
        <v>5</v>
      </c>
      <c r="AC902" s="21">
        <f t="shared" si="61"/>
        <v>5</v>
      </c>
      <c r="AD902" s="22" t="str">
        <f t="shared" si="62"/>
        <v>ÚTIL</v>
      </c>
      <c r="AE902" s="25"/>
      <c r="AF902" s="9"/>
      <c r="AG902" s="9"/>
      <c r="AH902" s="9"/>
    </row>
    <row r="903" spans="15:34" hidden="1" x14ac:dyDescent="0.25">
      <c r="O903" s="4" t="s">
        <v>1332</v>
      </c>
      <c r="P903"/>
      <c r="AA903" s="19">
        <f t="shared" si="63"/>
        <v>44001</v>
      </c>
      <c r="AB903" s="20">
        <f t="shared" si="60"/>
        <v>6</v>
      </c>
      <c r="AC903" s="21">
        <f t="shared" si="61"/>
        <v>6</v>
      </c>
      <c r="AD903" s="22" t="str">
        <f t="shared" si="62"/>
        <v>ÚTIL</v>
      </c>
      <c r="AE903" s="25"/>
      <c r="AF903" s="9"/>
      <c r="AG903" s="9"/>
      <c r="AH903" s="9"/>
    </row>
    <row r="904" spans="15:34" hidden="1" x14ac:dyDescent="0.25">
      <c r="O904" s="4" t="s">
        <v>1333</v>
      </c>
      <c r="P904"/>
      <c r="AA904" s="19">
        <f t="shared" si="63"/>
        <v>44002</v>
      </c>
      <c r="AB904" s="20">
        <f t="shared" si="60"/>
        <v>7</v>
      </c>
      <c r="AC904" s="21">
        <f t="shared" si="61"/>
        <v>7</v>
      </c>
      <c r="AD904" s="22" t="str">
        <f t="shared" si="62"/>
        <v>NÃO ÚTIL</v>
      </c>
      <c r="AE904" s="25"/>
      <c r="AF904" s="9"/>
      <c r="AG904" s="9"/>
      <c r="AH904" s="9"/>
    </row>
    <row r="905" spans="15:34" hidden="1" x14ac:dyDescent="0.25">
      <c r="O905" s="4" t="s">
        <v>1334</v>
      </c>
      <c r="P905"/>
      <c r="AA905" s="19">
        <f t="shared" si="63"/>
        <v>44003</v>
      </c>
      <c r="AB905" s="20">
        <f t="shared" si="60"/>
        <v>1</v>
      </c>
      <c r="AC905" s="21">
        <f t="shared" si="61"/>
        <v>1</v>
      </c>
      <c r="AD905" s="22" t="str">
        <f t="shared" si="62"/>
        <v>NÃO ÚTIL</v>
      </c>
      <c r="AE905" s="25"/>
      <c r="AF905" s="9"/>
      <c r="AG905" s="9"/>
      <c r="AH905" s="9"/>
    </row>
    <row r="906" spans="15:34" hidden="1" x14ac:dyDescent="0.25">
      <c r="O906" s="4" t="s">
        <v>1335</v>
      </c>
      <c r="P906"/>
      <c r="AA906" s="19">
        <f t="shared" si="63"/>
        <v>44004</v>
      </c>
      <c r="AB906" s="20">
        <f t="shared" si="60"/>
        <v>2</v>
      </c>
      <c r="AC906" s="21">
        <f t="shared" si="61"/>
        <v>2</v>
      </c>
      <c r="AD906" s="22" t="str">
        <f t="shared" si="62"/>
        <v>ÚTIL</v>
      </c>
      <c r="AE906" s="25"/>
      <c r="AF906" s="9"/>
      <c r="AG906" s="9"/>
      <c r="AH906" s="9"/>
    </row>
    <row r="907" spans="15:34" hidden="1" x14ac:dyDescent="0.25">
      <c r="O907" s="4" t="s">
        <v>1336</v>
      </c>
      <c r="P907"/>
      <c r="AA907" s="19">
        <f t="shared" si="63"/>
        <v>44005</v>
      </c>
      <c r="AB907" s="20">
        <f t="shared" si="60"/>
        <v>3</v>
      </c>
      <c r="AC907" s="21">
        <f t="shared" si="61"/>
        <v>3</v>
      </c>
      <c r="AD907" s="22" t="str">
        <f t="shared" si="62"/>
        <v>ÚTIL</v>
      </c>
      <c r="AE907" s="25"/>
      <c r="AF907" s="9"/>
      <c r="AG907" s="9"/>
      <c r="AH907" s="9"/>
    </row>
    <row r="908" spans="15:34" hidden="1" x14ac:dyDescent="0.25">
      <c r="O908" s="4" t="s">
        <v>1337</v>
      </c>
      <c r="P908"/>
      <c r="AA908" s="19">
        <f t="shared" si="63"/>
        <v>44006</v>
      </c>
      <c r="AB908" s="20">
        <f t="shared" si="60"/>
        <v>4</v>
      </c>
      <c r="AC908" s="21">
        <f t="shared" si="61"/>
        <v>4</v>
      </c>
      <c r="AD908" s="22" t="str">
        <f t="shared" si="62"/>
        <v>ÚTIL</v>
      </c>
      <c r="AE908" s="25"/>
      <c r="AF908" s="9"/>
      <c r="AG908" s="9"/>
      <c r="AH908" s="9"/>
    </row>
    <row r="909" spans="15:34" hidden="1" x14ac:dyDescent="0.25">
      <c r="O909" s="4" t="s">
        <v>1338</v>
      </c>
      <c r="P909"/>
      <c r="AA909" s="19">
        <f t="shared" si="63"/>
        <v>44007</v>
      </c>
      <c r="AB909" s="20">
        <f t="shared" si="60"/>
        <v>5</v>
      </c>
      <c r="AC909" s="21">
        <f t="shared" si="61"/>
        <v>5</v>
      </c>
      <c r="AD909" s="22" t="str">
        <f t="shared" si="62"/>
        <v>ÚTIL</v>
      </c>
      <c r="AE909" s="25"/>
      <c r="AF909" s="9"/>
      <c r="AG909" s="9"/>
      <c r="AH909" s="9"/>
    </row>
    <row r="910" spans="15:34" hidden="1" x14ac:dyDescent="0.25">
      <c r="O910" s="4" t="s">
        <v>1339</v>
      </c>
      <c r="P910"/>
      <c r="AA910" s="19">
        <f t="shared" si="63"/>
        <v>44008</v>
      </c>
      <c r="AB910" s="20">
        <f t="shared" si="60"/>
        <v>6</v>
      </c>
      <c r="AC910" s="21">
        <f t="shared" si="61"/>
        <v>6</v>
      </c>
      <c r="AD910" s="22" t="str">
        <f t="shared" si="62"/>
        <v>ÚTIL</v>
      </c>
      <c r="AE910" s="25"/>
      <c r="AF910" s="9"/>
      <c r="AG910" s="9"/>
      <c r="AH910" s="9"/>
    </row>
    <row r="911" spans="15:34" hidden="1" x14ac:dyDescent="0.25">
      <c r="O911" s="4" t="s">
        <v>1340</v>
      </c>
      <c r="P911"/>
      <c r="AA911" s="19">
        <f t="shared" si="63"/>
        <v>44009</v>
      </c>
      <c r="AB911" s="20">
        <f t="shared" si="60"/>
        <v>7</v>
      </c>
      <c r="AC911" s="21">
        <f t="shared" si="61"/>
        <v>7</v>
      </c>
      <c r="AD911" s="22" t="str">
        <f t="shared" si="62"/>
        <v>NÃO ÚTIL</v>
      </c>
      <c r="AE911" s="25"/>
      <c r="AF911" s="9"/>
      <c r="AG911" s="9"/>
      <c r="AH911" s="9"/>
    </row>
    <row r="912" spans="15:34" hidden="1" x14ac:dyDescent="0.25">
      <c r="O912" s="4" t="s">
        <v>1341</v>
      </c>
      <c r="P912"/>
      <c r="AA912" s="19">
        <f t="shared" si="63"/>
        <v>44010</v>
      </c>
      <c r="AB912" s="20">
        <f t="shared" si="60"/>
        <v>1</v>
      </c>
      <c r="AC912" s="21">
        <f t="shared" si="61"/>
        <v>1</v>
      </c>
      <c r="AD912" s="22" t="str">
        <f t="shared" si="62"/>
        <v>NÃO ÚTIL</v>
      </c>
      <c r="AE912" s="25"/>
      <c r="AF912" s="9"/>
      <c r="AG912" s="9"/>
      <c r="AH912" s="9"/>
    </row>
    <row r="913" spans="15:34" hidden="1" x14ac:dyDescent="0.25">
      <c r="O913" s="4" t="s">
        <v>1342</v>
      </c>
      <c r="P913"/>
      <c r="AA913" s="19">
        <f t="shared" si="63"/>
        <v>44011</v>
      </c>
      <c r="AB913" s="20">
        <f t="shared" si="60"/>
        <v>2</v>
      </c>
      <c r="AC913" s="21">
        <f t="shared" si="61"/>
        <v>2</v>
      </c>
      <c r="AD913" s="22" t="str">
        <f t="shared" si="62"/>
        <v>ÚTIL</v>
      </c>
      <c r="AE913" s="25"/>
      <c r="AF913" s="9"/>
      <c r="AG913" s="9"/>
      <c r="AH913" s="9"/>
    </row>
    <row r="914" spans="15:34" hidden="1" x14ac:dyDescent="0.25">
      <c r="O914" s="4" t="s">
        <v>1343</v>
      </c>
      <c r="P914"/>
      <c r="AA914" s="19">
        <f t="shared" si="63"/>
        <v>44012</v>
      </c>
      <c r="AB914" s="20">
        <f t="shared" si="60"/>
        <v>3</v>
      </c>
      <c r="AC914" s="21">
        <f t="shared" si="61"/>
        <v>3</v>
      </c>
      <c r="AD914" s="22" t="str">
        <f t="shared" si="62"/>
        <v>ÚTIL</v>
      </c>
      <c r="AE914" s="25"/>
      <c r="AF914" s="9"/>
      <c r="AG914" s="9"/>
      <c r="AH914" s="9"/>
    </row>
    <row r="915" spans="15:34" hidden="1" x14ac:dyDescent="0.25">
      <c r="O915" s="4" t="s">
        <v>1344</v>
      </c>
      <c r="P915"/>
      <c r="AA915" s="19">
        <f t="shared" si="63"/>
        <v>44013</v>
      </c>
      <c r="AB915" s="20">
        <f t="shared" si="60"/>
        <v>4</v>
      </c>
      <c r="AC915" s="21">
        <f t="shared" si="61"/>
        <v>4</v>
      </c>
      <c r="AD915" s="22" t="str">
        <f t="shared" si="62"/>
        <v>ÚTIL</v>
      </c>
      <c r="AE915" s="25"/>
      <c r="AF915" s="9"/>
      <c r="AG915" s="9"/>
      <c r="AH915" s="9"/>
    </row>
    <row r="916" spans="15:34" hidden="1" x14ac:dyDescent="0.25">
      <c r="O916" s="4" t="s">
        <v>1345</v>
      </c>
      <c r="P916"/>
      <c r="AA916" s="19">
        <f t="shared" si="63"/>
        <v>44014</v>
      </c>
      <c r="AB916" s="20">
        <f t="shared" si="60"/>
        <v>5</v>
      </c>
      <c r="AC916" s="21">
        <f t="shared" si="61"/>
        <v>5</v>
      </c>
      <c r="AD916" s="22" t="str">
        <f t="shared" si="62"/>
        <v>ÚTIL</v>
      </c>
      <c r="AE916" s="25"/>
      <c r="AF916" s="9"/>
      <c r="AG916" s="9"/>
      <c r="AH916" s="9"/>
    </row>
    <row r="917" spans="15:34" hidden="1" x14ac:dyDescent="0.25">
      <c r="O917" s="4" t="s">
        <v>1346</v>
      </c>
      <c r="P917"/>
      <c r="AA917" s="19">
        <f t="shared" si="63"/>
        <v>44015</v>
      </c>
      <c r="AB917" s="20">
        <f t="shared" si="60"/>
        <v>6</v>
      </c>
      <c r="AC917" s="21">
        <f t="shared" si="61"/>
        <v>6</v>
      </c>
      <c r="AD917" s="22" t="str">
        <f t="shared" si="62"/>
        <v>ÚTIL</v>
      </c>
      <c r="AE917" s="25"/>
      <c r="AF917" s="9"/>
      <c r="AG917" s="9"/>
      <c r="AH917" s="9"/>
    </row>
    <row r="918" spans="15:34" hidden="1" x14ac:dyDescent="0.25">
      <c r="O918" s="4" t="s">
        <v>1347</v>
      </c>
      <c r="P918"/>
      <c r="AA918" s="19">
        <f t="shared" si="63"/>
        <v>44016</v>
      </c>
      <c r="AB918" s="20">
        <f t="shared" si="60"/>
        <v>7</v>
      </c>
      <c r="AC918" s="21">
        <f t="shared" si="61"/>
        <v>7</v>
      </c>
      <c r="AD918" s="22" t="str">
        <f t="shared" si="62"/>
        <v>NÃO ÚTIL</v>
      </c>
      <c r="AE918" s="25"/>
      <c r="AF918" s="9"/>
      <c r="AG918" s="9"/>
      <c r="AH918" s="9"/>
    </row>
    <row r="919" spans="15:34" hidden="1" x14ac:dyDescent="0.25">
      <c r="O919" s="4" t="s">
        <v>1348</v>
      </c>
      <c r="P919"/>
      <c r="AA919" s="19">
        <f t="shared" si="63"/>
        <v>44017</v>
      </c>
      <c r="AB919" s="20">
        <f t="shared" si="60"/>
        <v>1</v>
      </c>
      <c r="AC919" s="21">
        <f t="shared" si="61"/>
        <v>1</v>
      </c>
      <c r="AD919" s="22" t="str">
        <f t="shared" si="62"/>
        <v>NÃO ÚTIL</v>
      </c>
      <c r="AE919" s="25"/>
      <c r="AF919" s="9"/>
      <c r="AG919" s="9"/>
      <c r="AH919" s="9"/>
    </row>
    <row r="920" spans="15:34" hidden="1" x14ac:dyDescent="0.25">
      <c r="O920" s="4" t="s">
        <v>1349</v>
      </c>
      <c r="P920"/>
      <c r="AA920" s="19">
        <f t="shared" si="63"/>
        <v>44018</v>
      </c>
      <c r="AB920" s="20">
        <f t="shared" si="60"/>
        <v>2</v>
      </c>
      <c r="AC920" s="21">
        <f t="shared" si="61"/>
        <v>2</v>
      </c>
      <c r="AD920" s="22" t="str">
        <f t="shared" si="62"/>
        <v>ÚTIL</v>
      </c>
      <c r="AE920" s="25"/>
      <c r="AF920" s="9"/>
      <c r="AG920" s="9"/>
      <c r="AH920" s="9"/>
    </row>
    <row r="921" spans="15:34" hidden="1" x14ac:dyDescent="0.25">
      <c r="O921" s="4" t="s">
        <v>1350</v>
      </c>
      <c r="P921"/>
      <c r="AA921" s="19">
        <f t="shared" si="63"/>
        <v>44019</v>
      </c>
      <c r="AB921" s="20">
        <f t="shared" si="60"/>
        <v>3</v>
      </c>
      <c r="AC921" s="21">
        <f t="shared" si="61"/>
        <v>3</v>
      </c>
      <c r="AD921" s="22" t="str">
        <f t="shared" si="62"/>
        <v>ÚTIL</v>
      </c>
      <c r="AE921" s="25"/>
      <c r="AF921" s="9"/>
      <c r="AG921" s="9"/>
      <c r="AH921" s="9"/>
    </row>
    <row r="922" spans="15:34" hidden="1" x14ac:dyDescent="0.25">
      <c r="O922" s="4" t="s">
        <v>1351</v>
      </c>
      <c r="P922"/>
      <c r="AA922" s="19">
        <f t="shared" si="63"/>
        <v>44020</v>
      </c>
      <c r="AB922" s="20">
        <f t="shared" si="60"/>
        <v>4</v>
      </c>
      <c r="AC922" s="21">
        <f t="shared" si="61"/>
        <v>4</v>
      </c>
      <c r="AD922" s="22" t="str">
        <f t="shared" si="62"/>
        <v>ÚTIL</v>
      </c>
      <c r="AE922" s="25"/>
      <c r="AF922" s="9"/>
      <c r="AG922" s="9"/>
      <c r="AH922" s="9"/>
    </row>
    <row r="923" spans="15:34" hidden="1" x14ac:dyDescent="0.25">
      <c r="O923" s="4" t="s">
        <v>1352</v>
      </c>
      <c r="P923"/>
      <c r="AA923" s="19">
        <f t="shared" si="63"/>
        <v>44021</v>
      </c>
      <c r="AB923" s="20">
        <f t="shared" si="60"/>
        <v>5</v>
      </c>
      <c r="AC923" s="21">
        <f t="shared" si="61"/>
        <v>5</v>
      </c>
      <c r="AD923" s="22" t="str">
        <f t="shared" si="62"/>
        <v>ÚTIL</v>
      </c>
      <c r="AE923" s="25"/>
      <c r="AF923" s="9"/>
      <c r="AG923" s="9"/>
      <c r="AH923" s="9"/>
    </row>
    <row r="924" spans="15:34" hidden="1" x14ac:dyDescent="0.25">
      <c r="O924" s="4" t="s">
        <v>1353</v>
      </c>
      <c r="P924"/>
      <c r="AA924" s="19">
        <f t="shared" si="63"/>
        <v>44022</v>
      </c>
      <c r="AB924" s="20">
        <f t="shared" si="60"/>
        <v>6</v>
      </c>
      <c r="AC924" s="21">
        <f t="shared" si="61"/>
        <v>6</v>
      </c>
      <c r="AD924" s="22" t="str">
        <f t="shared" si="62"/>
        <v>ÚTIL</v>
      </c>
      <c r="AE924" s="25"/>
      <c r="AF924" s="9"/>
      <c r="AG924" s="9"/>
      <c r="AH924" s="9"/>
    </row>
    <row r="925" spans="15:34" hidden="1" x14ac:dyDescent="0.25">
      <c r="O925" s="4" t="s">
        <v>1354</v>
      </c>
      <c r="P925"/>
      <c r="AA925" s="19">
        <f t="shared" si="63"/>
        <v>44023</v>
      </c>
      <c r="AB925" s="20">
        <f t="shared" si="60"/>
        <v>7</v>
      </c>
      <c r="AC925" s="21">
        <f t="shared" si="61"/>
        <v>7</v>
      </c>
      <c r="AD925" s="22" t="str">
        <f t="shared" si="62"/>
        <v>NÃO ÚTIL</v>
      </c>
      <c r="AE925" s="25"/>
      <c r="AF925" s="9"/>
      <c r="AG925" s="9"/>
      <c r="AH925" s="9"/>
    </row>
    <row r="926" spans="15:34" hidden="1" x14ac:dyDescent="0.25">
      <c r="O926" s="4" t="s">
        <v>1355</v>
      </c>
      <c r="P926"/>
      <c r="AA926" s="19">
        <f t="shared" si="63"/>
        <v>44024</v>
      </c>
      <c r="AB926" s="20">
        <f t="shared" si="60"/>
        <v>1</v>
      </c>
      <c r="AC926" s="21">
        <f t="shared" si="61"/>
        <v>1</v>
      </c>
      <c r="AD926" s="22" t="str">
        <f t="shared" si="62"/>
        <v>NÃO ÚTIL</v>
      </c>
      <c r="AE926" s="25"/>
      <c r="AF926" s="9"/>
      <c r="AG926" s="9"/>
      <c r="AH926" s="9"/>
    </row>
    <row r="927" spans="15:34" hidden="1" x14ac:dyDescent="0.25">
      <c r="O927" s="4" t="s">
        <v>1356</v>
      </c>
      <c r="P927"/>
      <c r="AA927" s="19">
        <f t="shared" si="63"/>
        <v>44025</v>
      </c>
      <c r="AB927" s="20">
        <f t="shared" si="60"/>
        <v>2</v>
      </c>
      <c r="AC927" s="21">
        <f t="shared" si="61"/>
        <v>2</v>
      </c>
      <c r="AD927" s="22" t="str">
        <f t="shared" si="62"/>
        <v>ÚTIL</v>
      </c>
      <c r="AE927" s="25"/>
      <c r="AF927" s="9"/>
      <c r="AG927" s="9"/>
      <c r="AH927" s="9"/>
    </row>
    <row r="928" spans="15:34" hidden="1" x14ac:dyDescent="0.25">
      <c r="O928" s="4" t="s">
        <v>1357</v>
      </c>
      <c r="P928"/>
      <c r="AA928" s="19">
        <f t="shared" si="63"/>
        <v>44026</v>
      </c>
      <c r="AB928" s="20">
        <f t="shared" si="60"/>
        <v>3</v>
      </c>
      <c r="AC928" s="21">
        <f t="shared" si="61"/>
        <v>3</v>
      </c>
      <c r="AD928" s="22" t="str">
        <f t="shared" si="62"/>
        <v>ÚTIL</v>
      </c>
      <c r="AE928" s="25"/>
      <c r="AF928" s="9"/>
      <c r="AG928" s="9"/>
      <c r="AH928" s="9"/>
    </row>
    <row r="929" spans="15:34" hidden="1" x14ac:dyDescent="0.25">
      <c r="O929" s="4" t="s">
        <v>1358</v>
      </c>
      <c r="P929"/>
      <c r="AA929" s="19">
        <f t="shared" si="63"/>
        <v>44027</v>
      </c>
      <c r="AB929" s="20">
        <f t="shared" si="60"/>
        <v>4</v>
      </c>
      <c r="AC929" s="21">
        <f t="shared" si="61"/>
        <v>4</v>
      </c>
      <c r="AD929" s="22" t="str">
        <f t="shared" si="62"/>
        <v>ÚTIL</v>
      </c>
      <c r="AE929" s="25"/>
      <c r="AF929" s="9"/>
      <c r="AG929" s="9"/>
      <c r="AH929" s="9"/>
    </row>
    <row r="930" spans="15:34" hidden="1" x14ac:dyDescent="0.25">
      <c r="O930" s="4" t="s">
        <v>1359</v>
      </c>
      <c r="P930"/>
      <c r="AA930" s="19">
        <f t="shared" si="63"/>
        <v>44028</v>
      </c>
      <c r="AB930" s="20">
        <f t="shared" si="60"/>
        <v>5</v>
      </c>
      <c r="AC930" s="21">
        <f t="shared" si="61"/>
        <v>5</v>
      </c>
      <c r="AD930" s="22" t="str">
        <f t="shared" si="62"/>
        <v>ÚTIL</v>
      </c>
      <c r="AE930" s="25"/>
      <c r="AF930" s="9"/>
      <c r="AG930" s="9"/>
      <c r="AH930" s="9"/>
    </row>
    <row r="931" spans="15:34" hidden="1" x14ac:dyDescent="0.25">
      <c r="O931" s="4" t="s">
        <v>1360</v>
      </c>
      <c r="P931"/>
      <c r="AA931" s="19">
        <f t="shared" si="63"/>
        <v>44029</v>
      </c>
      <c r="AB931" s="20">
        <f t="shared" si="60"/>
        <v>6</v>
      </c>
      <c r="AC931" s="21">
        <f t="shared" si="61"/>
        <v>6</v>
      </c>
      <c r="AD931" s="22" t="str">
        <f t="shared" si="62"/>
        <v>ÚTIL</v>
      </c>
      <c r="AE931" s="25"/>
      <c r="AF931" s="9"/>
      <c r="AG931" s="9"/>
      <c r="AH931" s="9"/>
    </row>
    <row r="932" spans="15:34" hidden="1" x14ac:dyDescent="0.25">
      <c r="O932" s="4" t="s">
        <v>1361</v>
      </c>
      <c r="P932"/>
      <c r="AA932" s="19">
        <f t="shared" si="63"/>
        <v>44030</v>
      </c>
      <c r="AB932" s="20">
        <f t="shared" si="60"/>
        <v>7</v>
      </c>
      <c r="AC932" s="21">
        <f t="shared" si="61"/>
        <v>7</v>
      </c>
      <c r="AD932" s="22" t="str">
        <f t="shared" si="62"/>
        <v>NÃO ÚTIL</v>
      </c>
      <c r="AE932" s="25"/>
      <c r="AF932" s="9"/>
      <c r="AG932" s="9"/>
      <c r="AH932" s="9"/>
    </row>
    <row r="933" spans="15:34" hidden="1" x14ac:dyDescent="0.25">
      <c r="O933" s="4" t="s">
        <v>1362</v>
      </c>
      <c r="P933"/>
      <c r="AA933" s="19">
        <f t="shared" si="63"/>
        <v>44031</v>
      </c>
      <c r="AB933" s="20">
        <f t="shared" si="60"/>
        <v>1</v>
      </c>
      <c r="AC933" s="21">
        <f t="shared" si="61"/>
        <v>1</v>
      </c>
      <c r="AD933" s="22" t="str">
        <f t="shared" si="62"/>
        <v>NÃO ÚTIL</v>
      </c>
      <c r="AE933" s="25"/>
      <c r="AF933" s="9"/>
      <c r="AG933" s="9"/>
      <c r="AH933" s="9"/>
    </row>
    <row r="934" spans="15:34" hidden="1" x14ac:dyDescent="0.25">
      <c r="O934" s="4" t="s">
        <v>1363</v>
      </c>
      <c r="P934"/>
      <c r="AA934" s="19">
        <f t="shared" si="63"/>
        <v>44032</v>
      </c>
      <c r="AB934" s="20">
        <f t="shared" si="60"/>
        <v>2</v>
      </c>
      <c r="AC934" s="21">
        <f t="shared" si="61"/>
        <v>2</v>
      </c>
      <c r="AD934" s="22" t="str">
        <f t="shared" si="62"/>
        <v>ÚTIL</v>
      </c>
      <c r="AE934" s="25"/>
      <c r="AF934" s="9"/>
      <c r="AG934" s="9"/>
      <c r="AH934" s="9"/>
    </row>
    <row r="935" spans="15:34" hidden="1" x14ac:dyDescent="0.25">
      <c r="O935" s="4" t="s">
        <v>1364</v>
      </c>
      <c r="P935"/>
      <c r="AA935" s="19">
        <f t="shared" si="63"/>
        <v>44033</v>
      </c>
      <c r="AB935" s="20">
        <f t="shared" si="60"/>
        <v>3</v>
      </c>
      <c r="AC935" s="21">
        <f t="shared" si="61"/>
        <v>3</v>
      </c>
      <c r="AD935" s="22" t="str">
        <f t="shared" si="62"/>
        <v>ÚTIL</v>
      </c>
      <c r="AE935" s="25"/>
      <c r="AF935" s="9"/>
      <c r="AG935" s="9"/>
      <c r="AH935" s="9"/>
    </row>
    <row r="936" spans="15:34" hidden="1" x14ac:dyDescent="0.25">
      <c r="O936" s="4" t="s">
        <v>1365</v>
      </c>
      <c r="P936"/>
      <c r="AA936" s="19">
        <f t="shared" si="63"/>
        <v>44034</v>
      </c>
      <c r="AB936" s="20">
        <f t="shared" si="60"/>
        <v>4</v>
      </c>
      <c r="AC936" s="21">
        <f t="shared" si="61"/>
        <v>4</v>
      </c>
      <c r="AD936" s="22" t="str">
        <f t="shared" si="62"/>
        <v>ÚTIL</v>
      </c>
      <c r="AE936" s="25"/>
      <c r="AF936" s="9"/>
      <c r="AG936" s="9"/>
      <c r="AH936" s="9"/>
    </row>
    <row r="937" spans="15:34" hidden="1" x14ac:dyDescent="0.25">
      <c r="O937" s="4" t="s">
        <v>1366</v>
      </c>
      <c r="P937"/>
      <c r="AA937" s="19">
        <f t="shared" si="63"/>
        <v>44035</v>
      </c>
      <c r="AB937" s="20">
        <f t="shared" si="60"/>
        <v>5</v>
      </c>
      <c r="AC937" s="21">
        <f t="shared" si="61"/>
        <v>5</v>
      </c>
      <c r="AD937" s="22" t="str">
        <f t="shared" si="62"/>
        <v>ÚTIL</v>
      </c>
      <c r="AE937" s="25"/>
      <c r="AF937" s="9"/>
      <c r="AG937" s="9"/>
      <c r="AH937" s="9"/>
    </row>
    <row r="938" spans="15:34" hidden="1" x14ac:dyDescent="0.25">
      <c r="O938" s="4" t="s">
        <v>1367</v>
      </c>
      <c r="P938"/>
      <c r="AA938" s="19">
        <f t="shared" si="63"/>
        <v>44036</v>
      </c>
      <c r="AB938" s="20">
        <f t="shared" si="60"/>
        <v>6</v>
      </c>
      <c r="AC938" s="21">
        <f t="shared" si="61"/>
        <v>6</v>
      </c>
      <c r="AD938" s="22" t="str">
        <f t="shared" si="62"/>
        <v>ÚTIL</v>
      </c>
      <c r="AE938" s="25"/>
      <c r="AF938" s="9"/>
      <c r="AG938" s="9"/>
      <c r="AH938" s="9"/>
    </row>
    <row r="939" spans="15:34" hidden="1" x14ac:dyDescent="0.25">
      <c r="O939" s="4" t="s">
        <v>1368</v>
      </c>
      <c r="P939"/>
      <c r="AA939" s="19">
        <f t="shared" si="63"/>
        <v>44037</v>
      </c>
      <c r="AB939" s="20">
        <f t="shared" si="60"/>
        <v>7</v>
      </c>
      <c r="AC939" s="21">
        <f t="shared" si="61"/>
        <v>7</v>
      </c>
      <c r="AD939" s="22" t="str">
        <f t="shared" si="62"/>
        <v>NÃO ÚTIL</v>
      </c>
      <c r="AE939" s="25"/>
      <c r="AF939" s="9"/>
      <c r="AG939" s="9"/>
      <c r="AH939" s="9"/>
    </row>
    <row r="940" spans="15:34" hidden="1" x14ac:dyDescent="0.25">
      <c r="O940" s="4" t="s">
        <v>1369</v>
      </c>
      <c r="P940"/>
      <c r="AA940" s="19">
        <f t="shared" si="63"/>
        <v>44038</v>
      </c>
      <c r="AB940" s="20">
        <f t="shared" si="60"/>
        <v>1</v>
      </c>
      <c r="AC940" s="21">
        <f t="shared" si="61"/>
        <v>1</v>
      </c>
      <c r="AD940" s="22" t="str">
        <f t="shared" si="62"/>
        <v>NÃO ÚTIL</v>
      </c>
      <c r="AE940" s="25"/>
      <c r="AF940" s="9"/>
      <c r="AG940" s="9"/>
      <c r="AH940" s="9"/>
    </row>
    <row r="941" spans="15:34" hidden="1" x14ac:dyDescent="0.25">
      <c r="O941" s="4" t="s">
        <v>1370</v>
      </c>
      <c r="P941"/>
      <c r="AA941" s="19">
        <f t="shared" si="63"/>
        <v>44039</v>
      </c>
      <c r="AB941" s="20">
        <f t="shared" si="60"/>
        <v>2</v>
      </c>
      <c r="AC941" s="21">
        <f t="shared" si="61"/>
        <v>2</v>
      </c>
      <c r="AD941" s="22" t="str">
        <f t="shared" si="62"/>
        <v>ÚTIL</v>
      </c>
      <c r="AE941" s="25"/>
      <c r="AF941" s="9"/>
      <c r="AG941" s="9"/>
      <c r="AH941" s="9"/>
    </row>
    <row r="942" spans="15:34" hidden="1" x14ac:dyDescent="0.25">
      <c r="O942" s="4" t="s">
        <v>1371</v>
      </c>
      <c r="P942"/>
      <c r="AA942" s="19">
        <f t="shared" si="63"/>
        <v>44040</v>
      </c>
      <c r="AB942" s="20">
        <f t="shared" si="60"/>
        <v>3</v>
      </c>
      <c r="AC942" s="21">
        <f t="shared" si="61"/>
        <v>3</v>
      </c>
      <c r="AD942" s="22" t="str">
        <f t="shared" si="62"/>
        <v>ÚTIL</v>
      </c>
      <c r="AE942" s="25"/>
      <c r="AF942" s="9"/>
      <c r="AG942" s="9"/>
      <c r="AH942" s="9"/>
    </row>
    <row r="943" spans="15:34" hidden="1" x14ac:dyDescent="0.25">
      <c r="O943" s="4" t="s">
        <v>1372</v>
      </c>
      <c r="P943"/>
      <c r="AA943" s="19">
        <f t="shared" si="63"/>
        <v>44041</v>
      </c>
      <c r="AB943" s="20">
        <f t="shared" si="60"/>
        <v>4</v>
      </c>
      <c r="AC943" s="21">
        <f t="shared" si="61"/>
        <v>4</v>
      </c>
      <c r="AD943" s="22" t="str">
        <f t="shared" si="62"/>
        <v>ÚTIL</v>
      </c>
      <c r="AE943" s="25"/>
      <c r="AF943" s="9"/>
      <c r="AG943" s="9"/>
      <c r="AH943" s="9"/>
    </row>
    <row r="944" spans="15:34" hidden="1" x14ac:dyDescent="0.25">
      <c r="O944" s="4" t="s">
        <v>1373</v>
      </c>
      <c r="P944"/>
      <c r="AA944" s="19">
        <f t="shared" si="63"/>
        <v>44042</v>
      </c>
      <c r="AB944" s="20">
        <f t="shared" si="60"/>
        <v>5</v>
      </c>
      <c r="AC944" s="21">
        <f t="shared" si="61"/>
        <v>5</v>
      </c>
      <c r="AD944" s="22" t="str">
        <f t="shared" si="62"/>
        <v>ÚTIL</v>
      </c>
      <c r="AE944" s="25"/>
      <c r="AF944" s="9"/>
      <c r="AG944" s="9"/>
      <c r="AH944" s="9"/>
    </row>
    <row r="945" spans="15:34" hidden="1" x14ac:dyDescent="0.25">
      <c r="O945" s="4" t="s">
        <v>1374</v>
      </c>
      <c r="P945"/>
      <c r="AA945" s="19">
        <f t="shared" si="63"/>
        <v>44043</v>
      </c>
      <c r="AB945" s="20">
        <f t="shared" si="60"/>
        <v>6</v>
      </c>
      <c r="AC945" s="21">
        <f t="shared" si="61"/>
        <v>6</v>
      </c>
      <c r="AD945" s="22" t="str">
        <f t="shared" si="62"/>
        <v>ÚTIL</v>
      </c>
      <c r="AE945" s="25"/>
      <c r="AF945" s="9"/>
      <c r="AG945" s="9"/>
      <c r="AH945" s="9"/>
    </row>
    <row r="946" spans="15:34" hidden="1" x14ac:dyDescent="0.25">
      <c r="O946" s="4" t="s">
        <v>1375</v>
      </c>
      <c r="P946"/>
      <c r="AA946" s="19">
        <f t="shared" si="63"/>
        <v>44044</v>
      </c>
      <c r="AB946" s="20">
        <f t="shared" si="60"/>
        <v>7</v>
      </c>
      <c r="AC946" s="21">
        <f t="shared" si="61"/>
        <v>7</v>
      </c>
      <c r="AD946" s="22" t="str">
        <f t="shared" si="62"/>
        <v>NÃO ÚTIL</v>
      </c>
      <c r="AE946" s="25"/>
      <c r="AF946" s="9"/>
      <c r="AG946" s="9"/>
      <c r="AH946" s="9"/>
    </row>
    <row r="947" spans="15:34" hidden="1" x14ac:dyDescent="0.25">
      <c r="O947" s="4" t="s">
        <v>1376</v>
      </c>
      <c r="P947"/>
      <c r="AA947" s="19">
        <f t="shared" si="63"/>
        <v>44045</v>
      </c>
      <c r="AB947" s="20">
        <f t="shared" si="60"/>
        <v>1</v>
      </c>
      <c r="AC947" s="21">
        <f t="shared" si="61"/>
        <v>1</v>
      </c>
      <c r="AD947" s="22" t="str">
        <f t="shared" si="62"/>
        <v>NÃO ÚTIL</v>
      </c>
      <c r="AE947" s="25"/>
      <c r="AF947" s="9"/>
      <c r="AG947" s="9"/>
      <c r="AH947" s="9"/>
    </row>
    <row r="948" spans="15:34" hidden="1" x14ac:dyDescent="0.25">
      <c r="O948" s="4" t="s">
        <v>1377</v>
      </c>
      <c r="P948"/>
      <c r="AA948" s="19">
        <f t="shared" si="63"/>
        <v>44046</v>
      </c>
      <c r="AB948" s="20">
        <f t="shared" si="60"/>
        <v>2</v>
      </c>
      <c r="AC948" s="21">
        <f t="shared" si="61"/>
        <v>2</v>
      </c>
      <c r="AD948" s="22" t="str">
        <f t="shared" si="62"/>
        <v>ÚTIL</v>
      </c>
      <c r="AE948" s="25"/>
      <c r="AF948" s="9"/>
      <c r="AG948" s="9"/>
      <c r="AH948" s="9"/>
    </row>
    <row r="949" spans="15:34" hidden="1" x14ac:dyDescent="0.25">
      <c r="O949" s="4" t="s">
        <v>1378</v>
      </c>
      <c r="P949"/>
      <c r="AA949" s="19">
        <f t="shared" si="63"/>
        <v>44047</v>
      </c>
      <c r="AB949" s="20">
        <f t="shared" si="60"/>
        <v>3</v>
      </c>
      <c r="AC949" s="21">
        <f t="shared" si="61"/>
        <v>3</v>
      </c>
      <c r="AD949" s="22" t="str">
        <f t="shared" si="62"/>
        <v>ÚTIL</v>
      </c>
      <c r="AE949" s="25"/>
      <c r="AF949" s="9"/>
      <c r="AG949" s="9"/>
      <c r="AH949" s="9"/>
    </row>
    <row r="950" spans="15:34" hidden="1" x14ac:dyDescent="0.25">
      <c r="O950" s="4" t="s">
        <v>1379</v>
      </c>
      <c r="P950"/>
      <c r="AA950" s="19">
        <f t="shared" si="63"/>
        <v>44048</v>
      </c>
      <c r="AB950" s="20">
        <f t="shared" si="60"/>
        <v>4</v>
      </c>
      <c r="AC950" s="21">
        <f t="shared" si="61"/>
        <v>4</v>
      </c>
      <c r="AD950" s="22" t="str">
        <f t="shared" si="62"/>
        <v>ÚTIL</v>
      </c>
      <c r="AE950" s="25"/>
      <c r="AF950" s="9"/>
      <c r="AG950" s="9"/>
      <c r="AH950" s="9"/>
    </row>
    <row r="951" spans="15:34" hidden="1" x14ac:dyDescent="0.25">
      <c r="O951" s="4" t="s">
        <v>1380</v>
      </c>
      <c r="P951"/>
      <c r="AA951" s="19">
        <f t="shared" si="63"/>
        <v>44049</v>
      </c>
      <c r="AB951" s="20">
        <f t="shared" si="60"/>
        <v>5</v>
      </c>
      <c r="AC951" s="21">
        <f t="shared" si="61"/>
        <v>5</v>
      </c>
      <c r="AD951" s="22" t="str">
        <f t="shared" si="62"/>
        <v>ÚTIL</v>
      </c>
      <c r="AE951" s="25"/>
      <c r="AF951" s="9"/>
      <c r="AG951" s="9"/>
      <c r="AH951" s="9"/>
    </row>
    <row r="952" spans="15:34" hidden="1" x14ac:dyDescent="0.25">
      <c r="O952" s="4" t="s">
        <v>1381</v>
      </c>
      <c r="P952"/>
      <c r="AA952" s="19">
        <f t="shared" si="63"/>
        <v>44050</v>
      </c>
      <c r="AB952" s="20">
        <f t="shared" si="60"/>
        <v>6</v>
      </c>
      <c r="AC952" s="21">
        <f t="shared" si="61"/>
        <v>6</v>
      </c>
      <c r="AD952" s="22" t="str">
        <f t="shared" si="62"/>
        <v>ÚTIL</v>
      </c>
      <c r="AE952" s="25"/>
      <c r="AF952" s="9"/>
      <c r="AG952" s="9"/>
      <c r="AH952" s="9"/>
    </row>
    <row r="953" spans="15:34" hidden="1" x14ac:dyDescent="0.25">
      <c r="O953" s="4" t="s">
        <v>1382</v>
      </c>
      <c r="P953"/>
      <c r="AA953" s="19">
        <f t="shared" si="63"/>
        <v>44051</v>
      </c>
      <c r="AB953" s="20">
        <f t="shared" si="60"/>
        <v>7</v>
      </c>
      <c r="AC953" s="21">
        <f t="shared" si="61"/>
        <v>7</v>
      </c>
      <c r="AD953" s="22" t="str">
        <f t="shared" si="62"/>
        <v>NÃO ÚTIL</v>
      </c>
      <c r="AE953" s="25"/>
      <c r="AF953" s="9"/>
      <c r="AG953" s="9"/>
      <c r="AH953" s="9"/>
    </row>
    <row r="954" spans="15:34" hidden="1" x14ac:dyDescent="0.25">
      <c r="O954" s="4" t="s">
        <v>1383</v>
      </c>
      <c r="P954"/>
      <c r="AA954" s="19">
        <f t="shared" si="63"/>
        <v>44052</v>
      </c>
      <c r="AB954" s="20">
        <f t="shared" si="60"/>
        <v>1</v>
      </c>
      <c r="AC954" s="21">
        <f t="shared" si="61"/>
        <v>1</v>
      </c>
      <c r="AD954" s="22" t="str">
        <f t="shared" si="62"/>
        <v>NÃO ÚTIL</v>
      </c>
      <c r="AE954" s="25"/>
      <c r="AF954" s="9"/>
      <c r="AG954" s="9"/>
      <c r="AH954" s="9"/>
    </row>
    <row r="955" spans="15:34" hidden="1" x14ac:dyDescent="0.25">
      <c r="O955" s="4" t="s">
        <v>1384</v>
      </c>
      <c r="P955"/>
      <c r="AA955" s="19">
        <f t="shared" si="63"/>
        <v>44053</v>
      </c>
      <c r="AB955" s="20">
        <f t="shared" si="60"/>
        <v>2</v>
      </c>
      <c r="AC955" s="21">
        <f t="shared" si="61"/>
        <v>2</v>
      </c>
      <c r="AD955" s="22" t="str">
        <f t="shared" si="62"/>
        <v>ÚTIL</v>
      </c>
      <c r="AE955" s="25"/>
      <c r="AF955" s="9"/>
      <c r="AG955" s="9"/>
      <c r="AH955" s="9"/>
    </row>
    <row r="956" spans="15:34" hidden="1" x14ac:dyDescent="0.25">
      <c r="O956" s="4" t="s">
        <v>1385</v>
      </c>
      <c r="P956"/>
      <c r="AA956" s="19">
        <f t="shared" si="63"/>
        <v>44054</v>
      </c>
      <c r="AB956" s="20">
        <f t="shared" si="60"/>
        <v>3</v>
      </c>
      <c r="AC956" s="21">
        <f t="shared" si="61"/>
        <v>3</v>
      </c>
      <c r="AD956" s="22" t="str">
        <f t="shared" si="62"/>
        <v>ÚTIL</v>
      </c>
      <c r="AE956" s="25"/>
      <c r="AF956" s="9"/>
      <c r="AG956" s="9"/>
      <c r="AH956" s="9"/>
    </row>
    <row r="957" spans="15:34" hidden="1" x14ac:dyDescent="0.25">
      <c r="O957" s="4" t="s">
        <v>1386</v>
      </c>
      <c r="P957"/>
      <c r="AA957" s="19">
        <f t="shared" si="63"/>
        <v>44055</v>
      </c>
      <c r="AB957" s="20">
        <f t="shared" si="60"/>
        <v>4</v>
      </c>
      <c r="AC957" s="21">
        <f t="shared" si="61"/>
        <v>4</v>
      </c>
      <c r="AD957" s="22" t="str">
        <f t="shared" si="62"/>
        <v>ÚTIL</v>
      </c>
      <c r="AE957" s="25"/>
      <c r="AF957" s="9"/>
      <c r="AG957" s="9"/>
      <c r="AH957" s="9"/>
    </row>
    <row r="958" spans="15:34" hidden="1" x14ac:dyDescent="0.25">
      <c r="O958" s="4" t="s">
        <v>1387</v>
      </c>
      <c r="P958"/>
      <c r="AA958" s="19">
        <f t="shared" si="63"/>
        <v>44056</v>
      </c>
      <c r="AB958" s="20">
        <f t="shared" si="60"/>
        <v>5</v>
      </c>
      <c r="AC958" s="21">
        <f t="shared" si="61"/>
        <v>5</v>
      </c>
      <c r="AD958" s="22" t="str">
        <f t="shared" si="62"/>
        <v>ÚTIL</v>
      </c>
      <c r="AE958" s="25"/>
      <c r="AF958" s="9"/>
      <c r="AG958" s="9"/>
      <c r="AH958" s="9"/>
    </row>
    <row r="959" spans="15:34" hidden="1" x14ac:dyDescent="0.25">
      <c r="O959" s="4" t="s">
        <v>1388</v>
      </c>
      <c r="P959"/>
      <c r="AA959" s="19">
        <f t="shared" si="63"/>
        <v>44057</v>
      </c>
      <c r="AB959" s="20">
        <f t="shared" si="60"/>
        <v>6</v>
      </c>
      <c r="AC959" s="21">
        <f t="shared" si="61"/>
        <v>6</v>
      </c>
      <c r="AD959" s="22" t="str">
        <f t="shared" si="62"/>
        <v>ÚTIL</v>
      </c>
      <c r="AE959" s="25"/>
      <c r="AF959" s="9"/>
      <c r="AG959" s="9"/>
      <c r="AH959" s="9"/>
    </row>
    <row r="960" spans="15:34" hidden="1" x14ac:dyDescent="0.25">
      <c r="O960" s="4" t="s">
        <v>1389</v>
      </c>
      <c r="P960"/>
      <c r="AA960" s="19">
        <f t="shared" si="63"/>
        <v>44058</v>
      </c>
      <c r="AB960" s="20">
        <f t="shared" si="60"/>
        <v>7</v>
      </c>
      <c r="AC960" s="21">
        <f t="shared" si="61"/>
        <v>7</v>
      </c>
      <c r="AD960" s="22" t="str">
        <f t="shared" si="62"/>
        <v>NÃO ÚTIL</v>
      </c>
      <c r="AE960" s="25"/>
      <c r="AF960" s="9"/>
      <c r="AG960" s="9"/>
      <c r="AH960" s="9"/>
    </row>
    <row r="961" spans="15:34" hidden="1" x14ac:dyDescent="0.25">
      <c r="O961" s="4" t="s">
        <v>1390</v>
      </c>
      <c r="P961"/>
      <c r="AA961" s="19">
        <f t="shared" si="63"/>
        <v>44059</v>
      </c>
      <c r="AB961" s="20">
        <f t="shared" si="60"/>
        <v>1</v>
      </c>
      <c r="AC961" s="21">
        <f t="shared" si="61"/>
        <v>1</v>
      </c>
      <c r="AD961" s="22" t="str">
        <f t="shared" si="62"/>
        <v>NÃO ÚTIL</v>
      </c>
      <c r="AE961" s="25"/>
      <c r="AF961" s="9"/>
      <c r="AG961" s="9"/>
      <c r="AH961" s="9"/>
    </row>
    <row r="962" spans="15:34" hidden="1" x14ac:dyDescent="0.25">
      <c r="O962" s="4" t="s">
        <v>1391</v>
      </c>
      <c r="P962"/>
      <c r="AA962" s="19">
        <f t="shared" si="63"/>
        <v>44060</v>
      </c>
      <c r="AB962" s="20">
        <f t="shared" si="60"/>
        <v>2</v>
      </c>
      <c r="AC962" s="21">
        <f t="shared" si="61"/>
        <v>2</v>
      </c>
      <c r="AD962" s="22" t="str">
        <f t="shared" si="62"/>
        <v>ÚTIL</v>
      </c>
      <c r="AE962" s="25"/>
      <c r="AF962" s="9"/>
      <c r="AG962" s="9"/>
      <c r="AH962" s="9"/>
    </row>
    <row r="963" spans="15:34" hidden="1" x14ac:dyDescent="0.25">
      <c r="O963" s="4" t="s">
        <v>1392</v>
      </c>
      <c r="P963"/>
      <c r="AA963" s="19">
        <f t="shared" si="63"/>
        <v>44061</v>
      </c>
      <c r="AB963" s="20">
        <f t="shared" ref="AB963:AB1026" si="64">AC963</f>
        <v>3</v>
      </c>
      <c r="AC963" s="21">
        <f t="shared" ref="AC963:AC1026" si="65">WEEKDAY(AA963)</f>
        <v>3</v>
      </c>
      <c r="AD963" s="22" t="str">
        <f t="shared" ref="AD963:AD1026" si="66">IF(WORKDAY(AA963-1,1,$AE$3:$AE$14)=AA963,"ÚTIL","NÃO ÚTIL")</f>
        <v>ÚTIL</v>
      </c>
      <c r="AE963" s="25"/>
      <c r="AF963" s="9"/>
      <c r="AG963" s="9"/>
      <c r="AH963" s="9"/>
    </row>
    <row r="964" spans="15:34" hidden="1" x14ac:dyDescent="0.25">
      <c r="O964" s="4" t="s">
        <v>1393</v>
      </c>
      <c r="P964"/>
      <c r="AA964" s="19">
        <f t="shared" ref="AA964:AA1027" si="67">AA963+1</f>
        <v>44062</v>
      </c>
      <c r="AB964" s="20">
        <f t="shared" si="64"/>
        <v>4</v>
      </c>
      <c r="AC964" s="21">
        <f t="shared" si="65"/>
        <v>4</v>
      </c>
      <c r="AD964" s="22" t="str">
        <f t="shared" si="66"/>
        <v>ÚTIL</v>
      </c>
      <c r="AE964" s="25"/>
      <c r="AF964" s="9"/>
      <c r="AG964" s="9"/>
      <c r="AH964" s="9"/>
    </row>
    <row r="965" spans="15:34" hidden="1" x14ac:dyDescent="0.25">
      <c r="O965" s="4" t="s">
        <v>1394</v>
      </c>
      <c r="P965"/>
      <c r="AA965" s="19">
        <f t="shared" si="67"/>
        <v>44063</v>
      </c>
      <c r="AB965" s="20">
        <f t="shared" si="64"/>
        <v>5</v>
      </c>
      <c r="AC965" s="21">
        <f t="shared" si="65"/>
        <v>5</v>
      </c>
      <c r="AD965" s="22" t="str">
        <f t="shared" si="66"/>
        <v>ÚTIL</v>
      </c>
      <c r="AE965" s="25"/>
      <c r="AF965" s="9"/>
      <c r="AG965" s="9"/>
      <c r="AH965" s="9"/>
    </row>
    <row r="966" spans="15:34" hidden="1" x14ac:dyDescent="0.25">
      <c r="O966" s="4" t="s">
        <v>1395</v>
      </c>
      <c r="P966"/>
      <c r="AA966" s="19">
        <f t="shared" si="67"/>
        <v>44064</v>
      </c>
      <c r="AB966" s="20">
        <f t="shared" si="64"/>
        <v>6</v>
      </c>
      <c r="AC966" s="21">
        <f t="shared" si="65"/>
        <v>6</v>
      </c>
      <c r="AD966" s="22" t="str">
        <f t="shared" si="66"/>
        <v>ÚTIL</v>
      </c>
      <c r="AE966" s="25"/>
      <c r="AF966" s="9"/>
      <c r="AG966" s="9"/>
      <c r="AH966" s="9"/>
    </row>
    <row r="967" spans="15:34" hidden="1" x14ac:dyDescent="0.25">
      <c r="O967" s="4" t="s">
        <v>1396</v>
      </c>
      <c r="P967"/>
      <c r="AA967" s="19">
        <f t="shared" si="67"/>
        <v>44065</v>
      </c>
      <c r="AB967" s="20">
        <f t="shared" si="64"/>
        <v>7</v>
      </c>
      <c r="AC967" s="21">
        <f t="shared" si="65"/>
        <v>7</v>
      </c>
      <c r="AD967" s="22" t="str">
        <f t="shared" si="66"/>
        <v>NÃO ÚTIL</v>
      </c>
      <c r="AE967" s="25"/>
      <c r="AF967" s="9"/>
      <c r="AG967" s="9"/>
      <c r="AH967" s="9"/>
    </row>
    <row r="968" spans="15:34" hidden="1" x14ac:dyDescent="0.25">
      <c r="O968" s="4" t="s">
        <v>1397</v>
      </c>
      <c r="P968"/>
      <c r="AA968" s="19">
        <f t="shared" si="67"/>
        <v>44066</v>
      </c>
      <c r="AB968" s="20">
        <f t="shared" si="64"/>
        <v>1</v>
      </c>
      <c r="AC968" s="21">
        <f t="shared" si="65"/>
        <v>1</v>
      </c>
      <c r="AD968" s="22" t="str">
        <f t="shared" si="66"/>
        <v>NÃO ÚTIL</v>
      </c>
      <c r="AE968" s="25"/>
      <c r="AF968" s="9"/>
      <c r="AG968" s="9"/>
      <c r="AH968" s="9"/>
    </row>
    <row r="969" spans="15:34" hidden="1" x14ac:dyDescent="0.25">
      <c r="O969" s="4" t="s">
        <v>1398</v>
      </c>
      <c r="P969"/>
      <c r="AA969" s="19">
        <f t="shared" si="67"/>
        <v>44067</v>
      </c>
      <c r="AB969" s="20">
        <f t="shared" si="64"/>
        <v>2</v>
      </c>
      <c r="AC969" s="21">
        <f t="shared" si="65"/>
        <v>2</v>
      </c>
      <c r="AD969" s="22" t="str">
        <f t="shared" si="66"/>
        <v>ÚTIL</v>
      </c>
      <c r="AE969" s="25"/>
      <c r="AF969" s="9"/>
      <c r="AG969" s="9"/>
      <c r="AH969" s="9"/>
    </row>
    <row r="970" spans="15:34" hidden="1" x14ac:dyDescent="0.25">
      <c r="O970" s="4" t="s">
        <v>1399</v>
      </c>
      <c r="P970"/>
      <c r="AA970" s="19">
        <f t="shared" si="67"/>
        <v>44068</v>
      </c>
      <c r="AB970" s="20">
        <f t="shared" si="64"/>
        <v>3</v>
      </c>
      <c r="AC970" s="21">
        <f t="shared" si="65"/>
        <v>3</v>
      </c>
      <c r="AD970" s="22" t="str">
        <f t="shared" si="66"/>
        <v>ÚTIL</v>
      </c>
      <c r="AE970" s="25"/>
      <c r="AF970" s="9"/>
      <c r="AG970" s="9"/>
      <c r="AH970" s="9"/>
    </row>
    <row r="971" spans="15:34" hidden="1" x14ac:dyDescent="0.25">
      <c r="O971" s="4" t="s">
        <v>1400</v>
      </c>
      <c r="P971"/>
      <c r="AA971" s="19">
        <f t="shared" si="67"/>
        <v>44069</v>
      </c>
      <c r="AB971" s="20">
        <f t="shared" si="64"/>
        <v>4</v>
      </c>
      <c r="AC971" s="21">
        <f t="shared" si="65"/>
        <v>4</v>
      </c>
      <c r="AD971" s="22" t="str">
        <f t="shared" si="66"/>
        <v>ÚTIL</v>
      </c>
      <c r="AE971" s="25"/>
      <c r="AF971" s="9"/>
      <c r="AG971" s="9"/>
      <c r="AH971" s="9"/>
    </row>
    <row r="972" spans="15:34" hidden="1" x14ac:dyDescent="0.25">
      <c r="O972" s="4" t="s">
        <v>1401</v>
      </c>
      <c r="P972"/>
      <c r="AA972" s="19">
        <f t="shared" si="67"/>
        <v>44070</v>
      </c>
      <c r="AB972" s="20">
        <f t="shared" si="64"/>
        <v>5</v>
      </c>
      <c r="AC972" s="21">
        <f t="shared" si="65"/>
        <v>5</v>
      </c>
      <c r="AD972" s="22" t="str">
        <f t="shared" si="66"/>
        <v>ÚTIL</v>
      </c>
      <c r="AE972" s="25"/>
      <c r="AF972" s="9"/>
      <c r="AG972" s="9"/>
      <c r="AH972" s="9"/>
    </row>
    <row r="973" spans="15:34" hidden="1" x14ac:dyDescent="0.25">
      <c r="O973" s="4" t="s">
        <v>1402</v>
      </c>
      <c r="P973"/>
      <c r="AA973" s="19">
        <f t="shared" si="67"/>
        <v>44071</v>
      </c>
      <c r="AB973" s="20">
        <f t="shared" si="64"/>
        <v>6</v>
      </c>
      <c r="AC973" s="21">
        <f t="shared" si="65"/>
        <v>6</v>
      </c>
      <c r="AD973" s="22" t="str">
        <f t="shared" si="66"/>
        <v>ÚTIL</v>
      </c>
      <c r="AE973" s="25"/>
      <c r="AF973" s="9"/>
      <c r="AG973" s="9"/>
      <c r="AH973" s="9"/>
    </row>
    <row r="974" spans="15:34" hidden="1" x14ac:dyDescent="0.25">
      <c r="O974" s="4" t="s">
        <v>1403</v>
      </c>
      <c r="P974"/>
      <c r="AA974" s="19">
        <f t="shared" si="67"/>
        <v>44072</v>
      </c>
      <c r="AB974" s="20">
        <f t="shared" si="64"/>
        <v>7</v>
      </c>
      <c r="AC974" s="21">
        <f t="shared" si="65"/>
        <v>7</v>
      </c>
      <c r="AD974" s="22" t="str">
        <f t="shared" si="66"/>
        <v>NÃO ÚTIL</v>
      </c>
      <c r="AE974" s="25"/>
      <c r="AF974" s="9"/>
      <c r="AG974" s="9"/>
      <c r="AH974" s="9"/>
    </row>
    <row r="975" spans="15:34" hidden="1" x14ac:dyDescent="0.25">
      <c r="O975" s="4" t="s">
        <v>1404</v>
      </c>
      <c r="P975"/>
      <c r="AA975" s="19">
        <f t="shared" si="67"/>
        <v>44073</v>
      </c>
      <c r="AB975" s="20">
        <f t="shared" si="64"/>
        <v>1</v>
      </c>
      <c r="AC975" s="21">
        <f t="shared" si="65"/>
        <v>1</v>
      </c>
      <c r="AD975" s="22" t="str">
        <f t="shared" si="66"/>
        <v>NÃO ÚTIL</v>
      </c>
      <c r="AE975" s="25"/>
      <c r="AF975" s="9"/>
      <c r="AG975" s="9"/>
      <c r="AH975" s="9"/>
    </row>
    <row r="976" spans="15:34" hidden="1" x14ac:dyDescent="0.25">
      <c r="O976" s="4" t="s">
        <v>1405</v>
      </c>
      <c r="P976"/>
      <c r="AA976" s="19">
        <f t="shared" si="67"/>
        <v>44074</v>
      </c>
      <c r="AB976" s="20">
        <f t="shared" si="64"/>
        <v>2</v>
      </c>
      <c r="AC976" s="21">
        <f t="shared" si="65"/>
        <v>2</v>
      </c>
      <c r="AD976" s="22" t="str">
        <f t="shared" si="66"/>
        <v>ÚTIL</v>
      </c>
      <c r="AE976" s="25"/>
      <c r="AF976" s="9"/>
      <c r="AG976" s="9"/>
      <c r="AH976" s="9"/>
    </row>
    <row r="977" spans="15:34" hidden="1" x14ac:dyDescent="0.25">
      <c r="O977" s="4" t="s">
        <v>1406</v>
      </c>
      <c r="P977"/>
      <c r="AA977" s="19">
        <f t="shared" si="67"/>
        <v>44075</v>
      </c>
      <c r="AB977" s="20">
        <f t="shared" si="64"/>
        <v>3</v>
      </c>
      <c r="AC977" s="21">
        <f t="shared" si="65"/>
        <v>3</v>
      </c>
      <c r="AD977" s="22" t="str">
        <f t="shared" si="66"/>
        <v>ÚTIL</v>
      </c>
      <c r="AE977" s="25"/>
      <c r="AF977" s="9"/>
      <c r="AG977" s="9"/>
      <c r="AH977" s="9"/>
    </row>
    <row r="978" spans="15:34" hidden="1" x14ac:dyDescent="0.25">
      <c r="O978" s="4" t="s">
        <v>1407</v>
      </c>
      <c r="P978"/>
      <c r="AA978" s="19">
        <f t="shared" si="67"/>
        <v>44076</v>
      </c>
      <c r="AB978" s="20">
        <f t="shared" si="64"/>
        <v>4</v>
      </c>
      <c r="AC978" s="21">
        <f t="shared" si="65"/>
        <v>4</v>
      </c>
      <c r="AD978" s="22" t="str">
        <f t="shared" si="66"/>
        <v>ÚTIL</v>
      </c>
      <c r="AE978" s="25"/>
      <c r="AF978" s="9"/>
      <c r="AG978" s="9"/>
      <c r="AH978" s="9"/>
    </row>
    <row r="979" spans="15:34" hidden="1" x14ac:dyDescent="0.25">
      <c r="O979" s="4" t="s">
        <v>1408</v>
      </c>
      <c r="P979"/>
      <c r="AA979" s="19">
        <f t="shared" si="67"/>
        <v>44077</v>
      </c>
      <c r="AB979" s="20">
        <f t="shared" si="64"/>
        <v>5</v>
      </c>
      <c r="AC979" s="21">
        <f t="shared" si="65"/>
        <v>5</v>
      </c>
      <c r="AD979" s="22" t="str">
        <f t="shared" si="66"/>
        <v>ÚTIL</v>
      </c>
      <c r="AE979" s="25"/>
      <c r="AF979" s="9"/>
      <c r="AG979" s="9"/>
      <c r="AH979" s="9"/>
    </row>
    <row r="980" spans="15:34" hidden="1" x14ac:dyDescent="0.25">
      <c r="O980" s="4" t="s">
        <v>1409</v>
      </c>
      <c r="P980"/>
      <c r="AA980" s="19">
        <f t="shared" si="67"/>
        <v>44078</v>
      </c>
      <c r="AB980" s="20">
        <f t="shared" si="64"/>
        <v>6</v>
      </c>
      <c r="AC980" s="21">
        <f t="shared" si="65"/>
        <v>6</v>
      </c>
      <c r="AD980" s="22" t="str">
        <f t="shared" si="66"/>
        <v>ÚTIL</v>
      </c>
      <c r="AE980" s="25"/>
      <c r="AF980" s="9"/>
      <c r="AG980" s="9"/>
      <c r="AH980" s="9"/>
    </row>
    <row r="981" spans="15:34" hidden="1" x14ac:dyDescent="0.25">
      <c r="O981" s="4" t="s">
        <v>1410</v>
      </c>
      <c r="P981"/>
      <c r="AA981" s="19">
        <f t="shared" si="67"/>
        <v>44079</v>
      </c>
      <c r="AB981" s="20">
        <f t="shared" si="64"/>
        <v>7</v>
      </c>
      <c r="AC981" s="21">
        <f t="shared" si="65"/>
        <v>7</v>
      </c>
      <c r="AD981" s="22" t="str">
        <f t="shared" si="66"/>
        <v>NÃO ÚTIL</v>
      </c>
      <c r="AE981" s="25"/>
      <c r="AF981" s="9"/>
      <c r="AG981" s="9"/>
      <c r="AH981" s="9"/>
    </row>
    <row r="982" spans="15:34" hidden="1" x14ac:dyDescent="0.25">
      <c r="O982" s="4" t="s">
        <v>1411</v>
      </c>
      <c r="P982"/>
      <c r="AA982" s="19">
        <f t="shared" si="67"/>
        <v>44080</v>
      </c>
      <c r="AB982" s="20">
        <f t="shared" si="64"/>
        <v>1</v>
      </c>
      <c r="AC982" s="21">
        <f t="shared" si="65"/>
        <v>1</v>
      </c>
      <c r="AD982" s="22" t="str">
        <f t="shared" si="66"/>
        <v>NÃO ÚTIL</v>
      </c>
      <c r="AE982" s="25"/>
      <c r="AF982" s="9"/>
      <c r="AG982" s="9"/>
      <c r="AH982" s="9"/>
    </row>
    <row r="983" spans="15:34" hidden="1" x14ac:dyDescent="0.25">
      <c r="O983" s="4" t="s">
        <v>1412</v>
      </c>
      <c r="P983"/>
      <c r="AA983" s="19">
        <f t="shared" si="67"/>
        <v>44081</v>
      </c>
      <c r="AB983" s="20">
        <f t="shared" si="64"/>
        <v>2</v>
      </c>
      <c r="AC983" s="21">
        <f t="shared" si="65"/>
        <v>2</v>
      </c>
      <c r="AD983" s="22" t="str">
        <f t="shared" si="66"/>
        <v>ÚTIL</v>
      </c>
      <c r="AE983" s="25"/>
      <c r="AF983" s="9"/>
      <c r="AG983" s="9"/>
      <c r="AH983" s="9"/>
    </row>
    <row r="984" spans="15:34" hidden="1" x14ac:dyDescent="0.25">
      <c r="O984" s="4" t="s">
        <v>1413</v>
      </c>
      <c r="P984"/>
      <c r="AA984" s="19">
        <f t="shared" si="67"/>
        <v>44082</v>
      </c>
      <c r="AB984" s="20">
        <f t="shared" si="64"/>
        <v>3</v>
      </c>
      <c r="AC984" s="21">
        <f t="shared" si="65"/>
        <v>3</v>
      </c>
      <c r="AD984" s="22" t="str">
        <f t="shared" si="66"/>
        <v>ÚTIL</v>
      </c>
      <c r="AE984" s="25"/>
      <c r="AF984" s="9"/>
      <c r="AG984" s="9"/>
      <c r="AH984" s="9"/>
    </row>
    <row r="985" spans="15:34" hidden="1" x14ac:dyDescent="0.25">
      <c r="O985" s="4" t="s">
        <v>1414</v>
      </c>
      <c r="P985"/>
      <c r="AA985" s="19">
        <f t="shared" si="67"/>
        <v>44083</v>
      </c>
      <c r="AB985" s="20">
        <f t="shared" si="64"/>
        <v>4</v>
      </c>
      <c r="AC985" s="21">
        <f t="shared" si="65"/>
        <v>4</v>
      </c>
      <c r="AD985" s="22" t="str">
        <f t="shared" si="66"/>
        <v>ÚTIL</v>
      </c>
      <c r="AE985" s="25"/>
      <c r="AF985" s="9"/>
      <c r="AG985" s="9"/>
      <c r="AH985" s="9"/>
    </row>
    <row r="986" spans="15:34" hidden="1" x14ac:dyDescent="0.25">
      <c r="O986" s="4" t="s">
        <v>1415</v>
      </c>
      <c r="P986"/>
      <c r="AA986" s="19">
        <f t="shared" si="67"/>
        <v>44084</v>
      </c>
      <c r="AB986" s="20">
        <f t="shared" si="64"/>
        <v>5</v>
      </c>
      <c r="AC986" s="21">
        <f t="shared" si="65"/>
        <v>5</v>
      </c>
      <c r="AD986" s="22" t="str">
        <f t="shared" si="66"/>
        <v>ÚTIL</v>
      </c>
      <c r="AE986" s="25"/>
      <c r="AF986" s="9"/>
      <c r="AG986" s="9"/>
      <c r="AH986" s="9"/>
    </row>
    <row r="987" spans="15:34" hidden="1" x14ac:dyDescent="0.25">
      <c r="O987" s="4" t="s">
        <v>1416</v>
      </c>
      <c r="P987"/>
      <c r="AA987" s="19">
        <f t="shared" si="67"/>
        <v>44085</v>
      </c>
      <c r="AB987" s="20">
        <f t="shared" si="64"/>
        <v>6</v>
      </c>
      <c r="AC987" s="21">
        <f t="shared" si="65"/>
        <v>6</v>
      </c>
      <c r="AD987" s="22" t="str">
        <f t="shared" si="66"/>
        <v>ÚTIL</v>
      </c>
      <c r="AE987" s="25"/>
      <c r="AF987" s="9"/>
      <c r="AG987" s="9"/>
      <c r="AH987" s="9"/>
    </row>
    <row r="988" spans="15:34" hidden="1" x14ac:dyDescent="0.25">
      <c r="O988" s="4" t="s">
        <v>1417</v>
      </c>
      <c r="P988"/>
      <c r="AA988" s="19">
        <f t="shared" si="67"/>
        <v>44086</v>
      </c>
      <c r="AB988" s="20">
        <f t="shared" si="64"/>
        <v>7</v>
      </c>
      <c r="AC988" s="21">
        <f t="shared" si="65"/>
        <v>7</v>
      </c>
      <c r="AD988" s="22" t="str">
        <f t="shared" si="66"/>
        <v>NÃO ÚTIL</v>
      </c>
      <c r="AE988" s="25"/>
      <c r="AF988" s="9"/>
      <c r="AG988" s="9"/>
      <c r="AH988" s="9"/>
    </row>
    <row r="989" spans="15:34" hidden="1" x14ac:dyDescent="0.25">
      <c r="O989" s="4" t="s">
        <v>1418</v>
      </c>
      <c r="P989"/>
      <c r="AA989" s="19">
        <f t="shared" si="67"/>
        <v>44087</v>
      </c>
      <c r="AB989" s="20">
        <f t="shared" si="64"/>
        <v>1</v>
      </c>
      <c r="AC989" s="21">
        <f t="shared" si="65"/>
        <v>1</v>
      </c>
      <c r="AD989" s="22" t="str">
        <f t="shared" si="66"/>
        <v>NÃO ÚTIL</v>
      </c>
      <c r="AE989" s="25"/>
      <c r="AF989" s="9"/>
      <c r="AG989" s="9"/>
      <c r="AH989" s="9"/>
    </row>
    <row r="990" spans="15:34" hidden="1" x14ac:dyDescent="0.25">
      <c r="O990" s="4" t="s">
        <v>1419</v>
      </c>
      <c r="P990"/>
      <c r="AA990" s="19">
        <f t="shared" si="67"/>
        <v>44088</v>
      </c>
      <c r="AB990" s="20">
        <f t="shared" si="64"/>
        <v>2</v>
      </c>
      <c r="AC990" s="21">
        <f t="shared" si="65"/>
        <v>2</v>
      </c>
      <c r="AD990" s="22" t="str">
        <f t="shared" si="66"/>
        <v>ÚTIL</v>
      </c>
      <c r="AE990" s="25"/>
      <c r="AF990" s="9"/>
      <c r="AG990" s="9"/>
      <c r="AH990" s="9"/>
    </row>
    <row r="991" spans="15:34" hidden="1" x14ac:dyDescent="0.25">
      <c r="O991" s="4" t="s">
        <v>1420</v>
      </c>
      <c r="P991"/>
      <c r="AA991" s="19">
        <f t="shared" si="67"/>
        <v>44089</v>
      </c>
      <c r="AB991" s="20">
        <f t="shared" si="64"/>
        <v>3</v>
      </c>
      <c r="AC991" s="21">
        <f t="shared" si="65"/>
        <v>3</v>
      </c>
      <c r="AD991" s="22" t="str">
        <f t="shared" si="66"/>
        <v>ÚTIL</v>
      </c>
      <c r="AE991" s="25"/>
      <c r="AF991" s="9"/>
      <c r="AG991" s="9"/>
      <c r="AH991" s="9"/>
    </row>
    <row r="992" spans="15:34" hidden="1" x14ac:dyDescent="0.25">
      <c r="O992" s="4" t="s">
        <v>1421</v>
      </c>
      <c r="P992"/>
      <c r="AA992" s="19">
        <f t="shared" si="67"/>
        <v>44090</v>
      </c>
      <c r="AB992" s="20">
        <f t="shared" si="64"/>
        <v>4</v>
      </c>
      <c r="AC992" s="21">
        <f t="shared" si="65"/>
        <v>4</v>
      </c>
      <c r="AD992" s="22" t="str">
        <f t="shared" si="66"/>
        <v>ÚTIL</v>
      </c>
      <c r="AE992" s="25"/>
      <c r="AF992" s="9"/>
      <c r="AG992" s="9"/>
      <c r="AH992" s="9"/>
    </row>
    <row r="993" spans="15:34" hidden="1" x14ac:dyDescent="0.25">
      <c r="O993" s="4" t="s">
        <v>1422</v>
      </c>
      <c r="P993"/>
      <c r="AA993" s="19">
        <f t="shared" si="67"/>
        <v>44091</v>
      </c>
      <c r="AB993" s="20">
        <f t="shared" si="64"/>
        <v>5</v>
      </c>
      <c r="AC993" s="21">
        <f t="shared" si="65"/>
        <v>5</v>
      </c>
      <c r="AD993" s="22" t="str">
        <f t="shared" si="66"/>
        <v>ÚTIL</v>
      </c>
      <c r="AE993" s="25"/>
      <c r="AF993" s="9"/>
      <c r="AG993" s="9"/>
      <c r="AH993" s="9"/>
    </row>
    <row r="994" spans="15:34" hidden="1" x14ac:dyDescent="0.25">
      <c r="O994" s="4" t="s">
        <v>1423</v>
      </c>
      <c r="P994"/>
      <c r="AA994" s="19">
        <f t="shared" si="67"/>
        <v>44092</v>
      </c>
      <c r="AB994" s="20">
        <f t="shared" si="64"/>
        <v>6</v>
      </c>
      <c r="AC994" s="21">
        <f t="shared" si="65"/>
        <v>6</v>
      </c>
      <c r="AD994" s="22" t="str">
        <f t="shared" si="66"/>
        <v>ÚTIL</v>
      </c>
      <c r="AE994" s="25"/>
      <c r="AF994" s="9"/>
      <c r="AG994" s="9"/>
      <c r="AH994" s="9"/>
    </row>
    <row r="995" spans="15:34" hidden="1" x14ac:dyDescent="0.25">
      <c r="O995" s="4" t="s">
        <v>1424</v>
      </c>
      <c r="P995"/>
      <c r="AA995" s="19">
        <f t="shared" si="67"/>
        <v>44093</v>
      </c>
      <c r="AB995" s="20">
        <f t="shared" si="64"/>
        <v>7</v>
      </c>
      <c r="AC995" s="21">
        <f t="shared" si="65"/>
        <v>7</v>
      </c>
      <c r="AD995" s="22" t="str">
        <f t="shared" si="66"/>
        <v>NÃO ÚTIL</v>
      </c>
      <c r="AE995" s="25"/>
      <c r="AF995" s="9"/>
      <c r="AG995" s="9"/>
      <c r="AH995" s="9"/>
    </row>
    <row r="996" spans="15:34" hidden="1" x14ac:dyDescent="0.25">
      <c r="O996" s="4" t="s">
        <v>1425</v>
      </c>
      <c r="P996"/>
      <c r="AA996" s="19">
        <f t="shared" si="67"/>
        <v>44094</v>
      </c>
      <c r="AB996" s="20">
        <f t="shared" si="64"/>
        <v>1</v>
      </c>
      <c r="AC996" s="21">
        <f t="shared" si="65"/>
        <v>1</v>
      </c>
      <c r="AD996" s="22" t="str">
        <f t="shared" si="66"/>
        <v>NÃO ÚTIL</v>
      </c>
      <c r="AE996" s="25"/>
      <c r="AF996" s="9"/>
      <c r="AG996" s="9"/>
      <c r="AH996" s="9"/>
    </row>
    <row r="997" spans="15:34" hidden="1" x14ac:dyDescent="0.25">
      <c r="O997" s="4" t="s">
        <v>1426</v>
      </c>
      <c r="P997"/>
      <c r="AA997" s="19">
        <f t="shared" si="67"/>
        <v>44095</v>
      </c>
      <c r="AB997" s="20">
        <f t="shared" si="64"/>
        <v>2</v>
      </c>
      <c r="AC997" s="21">
        <f t="shared" si="65"/>
        <v>2</v>
      </c>
      <c r="AD997" s="22" t="str">
        <f t="shared" si="66"/>
        <v>ÚTIL</v>
      </c>
      <c r="AE997" s="25"/>
      <c r="AF997" s="9"/>
      <c r="AG997" s="9"/>
      <c r="AH997" s="9"/>
    </row>
    <row r="998" spans="15:34" hidden="1" x14ac:dyDescent="0.25">
      <c r="O998" s="4" t="s">
        <v>1427</v>
      </c>
      <c r="P998"/>
      <c r="AA998" s="19">
        <f t="shared" si="67"/>
        <v>44096</v>
      </c>
      <c r="AB998" s="20">
        <f t="shared" si="64"/>
        <v>3</v>
      </c>
      <c r="AC998" s="21">
        <f t="shared" si="65"/>
        <v>3</v>
      </c>
      <c r="AD998" s="22" t="str">
        <f t="shared" si="66"/>
        <v>ÚTIL</v>
      </c>
      <c r="AE998" s="25"/>
      <c r="AF998" s="9"/>
      <c r="AG998" s="9"/>
      <c r="AH998" s="9"/>
    </row>
    <row r="999" spans="15:34" hidden="1" x14ac:dyDescent="0.25">
      <c r="O999" s="4" t="s">
        <v>1428</v>
      </c>
      <c r="P999"/>
      <c r="AA999" s="19">
        <f t="shared" si="67"/>
        <v>44097</v>
      </c>
      <c r="AB999" s="20">
        <f t="shared" si="64"/>
        <v>4</v>
      </c>
      <c r="AC999" s="21">
        <f t="shared" si="65"/>
        <v>4</v>
      </c>
      <c r="AD999" s="22" t="str">
        <f t="shared" si="66"/>
        <v>ÚTIL</v>
      </c>
      <c r="AE999" s="25"/>
      <c r="AF999" s="9"/>
      <c r="AG999" s="9"/>
      <c r="AH999" s="9"/>
    </row>
    <row r="1000" spans="15:34" hidden="1" x14ac:dyDescent="0.25">
      <c r="O1000" s="4" t="s">
        <v>1429</v>
      </c>
      <c r="P1000"/>
      <c r="AA1000" s="19">
        <f t="shared" si="67"/>
        <v>44098</v>
      </c>
      <c r="AB1000" s="20">
        <f t="shared" si="64"/>
        <v>5</v>
      </c>
      <c r="AC1000" s="21">
        <f t="shared" si="65"/>
        <v>5</v>
      </c>
      <c r="AD1000" s="22" t="str">
        <f t="shared" si="66"/>
        <v>ÚTIL</v>
      </c>
      <c r="AE1000" s="25"/>
      <c r="AF1000" s="9"/>
      <c r="AG1000" s="9"/>
      <c r="AH1000" s="9"/>
    </row>
    <row r="1001" spans="15:34" hidden="1" x14ac:dyDescent="0.25">
      <c r="O1001" s="4" t="s">
        <v>1430</v>
      </c>
      <c r="P1001"/>
      <c r="AA1001" s="19">
        <f t="shared" si="67"/>
        <v>44099</v>
      </c>
      <c r="AB1001" s="20">
        <f t="shared" si="64"/>
        <v>6</v>
      </c>
      <c r="AC1001" s="21">
        <f t="shared" si="65"/>
        <v>6</v>
      </c>
      <c r="AD1001" s="22" t="str">
        <f t="shared" si="66"/>
        <v>ÚTIL</v>
      </c>
      <c r="AE1001" s="25"/>
      <c r="AF1001" s="9"/>
      <c r="AG1001" s="9"/>
      <c r="AH1001" s="9"/>
    </row>
    <row r="1002" spans="15:34" hidden="1" x14ac:dyDescent="0.25">
      <c r="O1002" s="4" t="s">
        <v>1431</v>
      </c>
      <c r="P1002"/>
      <c r="AA1002" s="19">
        <f t="shared" si="67"/>
        <v>44100</v>
      </c>
      <c r="AB1002" s="20">
        <f t="shared" si="64"/>
        <v>7</v>
      </c>
      <c r="AC1002" s="21">
        <f t="shared" si="65"/>
        <v>7</v>
      </c>
      <c r="AD1002" s="22" t="str">
        <f t="shared" si="66"/>
        <v>NÃO ÚTIL</v>
      </c>
      <c r="AE1002" s="25"/>
      <c r="AF1002" s="9"/>
      <c r="AG1002" s="9"/>
      <c r="AH1002" s="9"/>
    </row>
    <row r="1003" spans="15:34" hidden="1" x14ac:dyDescent="0.25">
      <c r="O1003" s="4" t="s">
        <v>1432</v>
      </c>
      <c r="P1003"/>
      <c r="AA1003" s="19">
        <f t="shared" si="67"/>
        <v>44101</v>
      </c>
      <c r="AB1003" s="20">
        <f t="shared" si="64"/>
        <v>1</v>
      </c>
      <c r="AC1003" s="21">
        <f t="shared" si="65"/>
        <v>1</v>
      </c>
      <c r="AD1003" s="22" t="str">
        <f t="shared" si="66"/>
        <v>NÃO ÚTIL</v>
      </c>
      <c r="AE1003" s="25"/>
      <c r="AF1003" s="9"/>
      <c r="AG1003" s="9"/>
      <c r="AH1003" s="9"/>
    </row>
    <row r="1004" spans="15:34" hidden="1" x14ac:dyDescent="0.25">
      <c r="O1004" s="4" t="s">
        <v>1433</v>
      </c>
      <c r="P1004"/>
      <c r="AA1004" s="19">
        <f t="shared" si="67"/>
        <v>44102</v>
      </c>
      <c r="AB1004" s="20">
        <f t="shared" si="64"/>
        <v>2</v>
      </c>
      <c r="AC1004" s="21">
        <f t="shared" si="65"/>
        <v>2</v>
      </c>
      <c r="AD1004" s="22" t="str">
        <f t="shared" si="66"/>
        <v>ÚTIL</v>
      </c>
      <c r="AE1004" s="25"/>
      <c r="AF1004" s="9"/>
      <c r="AG1004" s="9"/>
      <c r="AH1004" s="9"/>
    </row>
    <row r="1005" spans="15:34" hidden="1" x14ac:dyDescent="0.25">
      <c r="O1005" s="4" t="s">
        <v>1434</v>
      </c>
      <c r="P1005"/>
      <c r="AA1005" s="19">
        <f t="shared" si="67"/>
        <v>44103</v>
      </c>
      <c r="AB1005" s="20">
        <f t="shared" si="64"/>
        <v>3</v>
      </c>
      <c r="AC1005" s="21">
        <f t="shared" si="65"/>
        <v>3</v>
      </c>
      <c r="AD1005" s="22" t="str">
        <f t="shared" si="66"/>
        <v>ÚTIL</v>
      </c>
      <c r="AE1005" s="25"/>
      <c r="AF1005" s="9"/>
      <c r="AG1005" s="9"/>
      <c r="AH1005" s="9"/>
    </row>
    <row r="1006" spans="15:34" hidden="1" x14ac:dyDescent="0.25">
      <c r="O1006" s="4" t="s">
        <v>1435</v>
      </c>
      <c r="P1006"/>
      <c r="AA1006" s="19">
        <f t="shared" si="67"/>
        <v>44104</v>
      </c>
      <c r="AB1006" s="20">
        <f t="shared" si="64"/>
        <v>4</v>
      </c>
      <c r="AC1006" s="21">
        <f t="shared" si="65"/>
        <v>4</v>
      </c>
      <c r="AD1006" s="22" t="str">
        <f t="shared" si="66"/>
        <v>ÚTIL</v>
      </c>
      <c r="AE1006" s="25"/>
      <c r="AF1006" s="9"/>
      <c r="AG1006" s="9"/>
      <c r="AH1006" s="9"/>
    </row>
    <row r="1007" spans="15:34" hidden="1" x14ac:dyDescent="0.25">
      <c r="O1007" s="4" t="s">
        <v>1436</v>
      </c>
      <c r="P1007"/>
      <c r="AA1007" s="19">
        <f t="shared" si="67"/>
        <v>44105</v>
      </c>
      <c r="AB1007" s="20">
        <f t="shared" si="64"/>
        <v>5</v>
      </c>
      <c r="AC1007" s="21">
        <f t="shared" si="65"/>
        <v>5</v>
      </c>
      <c r="AD1007" s="22" t="str">
        <f t="shared" si="66"/>
        <v>ÚTIL</v>
      </c>
      <c r="AE1007" s="25"/>
      <c r="AF1007" s="9"/>
      <c r="AG1007" s="9"/>
      <c r="AH1007" s="9"/>
    </row>
    <row r="1008" spans="15:34" hidden="1" x14ac:dyDescent="0.25">
      <c r="O1008" s="4" t="s">
        <v>1437</v>
      </c>
      <c r="P1008"/>
      <c r="AA1008" s="19">
        <f t="shared" si="67"/>
        <v>44106</v>
      </c>
      <c r="AB1008" s="20">
        <f t="shared" si="64"/>
        <v>6</v>
      </c>
      <c r="AC1008" s="21">
        <f t="shared" si="65"/>
        <v>6</v>
      </c>
      <c r="AD1008" s="22" t="str">
        <f t="shared" si="66"/>
        <v>ÚTIL</v>
      </c>
      <c r="AE1008" s="25"/>
      <c r="AF1008" s="9"/>
      <c r="AG1008" s="9"/>
      <c r="AH1008" s="9"/>
    </row>
    <row r="1009" spans="15:34" hidden="1" x14ac:dyDescent="0.25">
      <c r="O1009" s="4" t="s">
        <v>1438</v>
      </c>
      <c r="P1009"/>
      <c r="AA1009" s="19">
        <f t="shared" si="67"/>
        <v>44107</v>
      </c>
      <c r="AB1009" s="20">
        <f t="shared" si="64"/>
        <v>7</v>
      </c>
      <c r="AC1009" s="21">
        <f t="shared" si="65"/>
        <v>7</v>
      </c>
      <c r="AD1009" s="22" t="str">
        <f t="shared" si="66"/>
        <v>NÃO ÚTIL</v>
      </c>
      <c r="AE1009" s="25"/>
      <c r="AF1009" s="9"/>
      <c r="AG1009" s="9"/>
      <c r="AH1009" s="9"/>
    </row>
    <row r="1010" spans="15:34" hidden="1" x14ac:dyDescent="0.25">
      <c r="O1010" s="4" t="s">
        <v>1439</v>
      </c>
      <c r="P1010"/>
      <c r="AA1010" s="19">
        <f t="shared" si="67"/>
        <v>44108</v>
      </c>
      <c r="AB1010" s="20">
        <f t="shared" si="64"/>
        <v>1</v>
      </c>
      <c r="AC1010" s="21">
        <f t="shared" si="65"/>
        <v>1</v>
      </c>
      <c r="AD1010" s="22" t="str">
        <f t="shared" si="66"/>
        <v>NÃO ÚTIL</v>
      </c>
      <c r="AE1010" s="25"/>
      <c r="AF1010" s="9"/>
      <c r="AG1010" s="9"/>
      <c r="AH1010" s="9"/>
    </row>
    <row r="1011" spans="15:34" hidden="1" x14ac:dyDescent="0.25">
      <c r="O1011" s="4" t="s">
        <v>1440</v>
      </c>
      <c r="P1011"/>
      <c r="AA1011" s="19">
        <f t="shared" si="67"/>
        <v>44109</v>
      </c>
      <c r="AB1011" s="20">
        <f t="shared" si="64"/>
        <v>2</v>
      </c>
      <c r="AC1011" s="21">
        <f t="shared" si="65"/>
        <v>2</v>
      </c>
      <c r="AD1011" s="22" t="str">
        <f t="shared" si="66"/>
        <v>ÚTIL</v>
      </c>
      <c r="AE1011" s="25"/>
      <c r="AF1011" s="9"/>
      <c r="AG1011" s="9"/>
      <c r="AH1011" s="9"/>
    </row>
    <row r="1012" spans="15:34" hidden="1" x14ac:dyDescent="0.25">
      <c r="O1012" s="4" t="s">
        <v>1441</v>
      </c>
      <c r="P1012"/>
      <c r="AA1012" s="19">
        <f t="shared" si="67"/>
        <v>44110</v>
      </c>
      <c r="AB1012" s="20">
        <f t="shared" si="64"/>
        <v>3</v>
      </c>
      <c r="AC1012" s="21">
        <f t="shared" si="65"/>
        <v>3</v>
      </c>
      <c r="AD1012" s="22" t="str">
        <f t="shared" si="66"/>
        <v>ÚTIL</v>
      </c>
      <c r="AE1012" s="25"/>
      <c r="AF1012" s="9"/>
      <c r="AG1012" s="9"/>
      <c r="AH1012" s="9"/>
    </row>
    <row r="1013" spans="15:34" hidden="1" x14ac:dyDescent="0.25">
      <c r="O1013" s="4" t="s">
        <v>1442</v>
      </c>
      <c r="P1013"/>
      <c r="AA1013" s="19">
        <f t="shared" si="67"/>
        <v>44111</v>
      </c>
      <c r="AB1013" s="20">
        <f t="shared" si="64"/>
        <v>4</v>
      </c>
      <c r="AC1013" s="21">
        <f t="shared" si="65"/>
        <v>4</v>
      </c>
      <c r="AD1013" s="22" t="str">
        <f t="shared" si="66"/>
        <v>ÚTIL</v>
      </c>
      <c r="AE1013" s="25"/>
      <c r="AF1013" s="9"/>
      <c r="AG1013" s="9"/>
      <c r="AH1013" s="9"/>
    </row>
    <row r="1014" spans="15:34" hidden="1" x14ac:dyDescent="0.25">
      <c r="O1014" s="4" t="s">
        <v>1443</v>
      </c>
      <c r="P1014"/>
      <c r="AA1014" s="19">
        <f t="shared" si="67"/>
        <v>44112</v>
      </c>
      <c r="AB1014" s="20">
        <f t="shared" si="64"/>
        <v>5</v>
      </c>
      <c r="AC1014" s="21">
        <f t="shared" si="65"/>
        <v>5</v>
      </c>
      <c r="AD1014" s="22" t="str">
        <f t="shared" si="66"/>
        <v>ÚTIL</v>
      </c>
      <c r="AE1014" s="25"/>
      <c r="AF1014" s="9"/>
      <c r="AG1014" s="9"/>
      <c r="AH1014" s="9"/>
    </row>
    <row r="1015" spans="15:34" hidden="1" x14ac:dyDescent="0.25">
      <c r="O1015" s="4" t="s">
        <v>1444</v>
      </c>
      <c r="P1015"/>
      <c r="AA1015" s="19">
        <f t="shared" si="67"/>
        <v>44113</v>
      </c>
      <c r="AB1015" s="20">
        <f t="shared" si="64"/>
        <v>6</v>
      </c>
      <c r="AC1015" s="21">
        <f t="shared" si="65"/>
        <v>6</v>
      </c>
      <c r="AD1015" s="22" t="str">
        <f t="shared" si="66"/>
        <v>ÚTIL</v>
      </c>
      <c r="AE1015" s="25"/>
      <c r="AF1015" s="9"/>
      <c r="AG1015" s="9"/>
      <c r="AH1015" s="9"/>
    </row>
    <row r="1016" spans="15:34" hidden="1" x14ac:dyDescent="0.25">
      <c r="O1016" s="4" t="s">
        <v>1445</v>
      </c>
      <c r="P1016"/>
      <c r="AA1016" s="19">
        <f t="shared" si="67"/>
        <v>44114</v>
      </c>
      <c r="AB1016" s="20">
        <f t="shared" si="64"/>
        <v>7</v>
      </c>
      <c r="AC1016" s="21">
        <f t="shared" si="65"/>
        <v>7</v>
      </c>
      <c r="AD1016" s="22" t="str">
        <f t="shared" si="66"/>
        <v>NÃO ÚTIL</v>
      </c>
      <c r="AE1016" s="25"/>
      <c r="AF1016" s="9"/>
      <c r="AG1016" s="9"/>
      <c r="AH1016" s="9"/>
    </row>
    <row r="1017" spans="15:34" hidden="1" x14ac:dyDescent="0.25">
      <c r="O1017" s="4" t="s">
        <v>1446</v>
      </c>
      <c r="P1017"/>
      <c r="AA1017" s="19">
        <f t="shared" si="67"/>
        <v>44115</v>
      </c>
      <c r="AB1017" s="20">
        <f t="shared" si="64"/>
        <v>1</v>
      </c>
      <c r="AC1017" s="21">
        <f t="shared" si="65"/>
        <v>1</v>
      </c>
      <c r="AD1017" s="22" t="str">
        <f t="shared" si="66"/>
        <v>NÃO ÚTIL</v>
      </c>
      <c r="AE1017" s="25"/>
      <c r="AF1017" s="9"/>
      <c r="AG1017" s="9"/>
      <c r="AH1017" s="9"/>
    </row>
    <row r="1018" spans="15:34" hidden="1" x14ac:dyDescent="0.25">
      <c r="O1018" s="4" t="s">
        <v>1447</v>
      </c>
      <c r="P1018"/>
      <c r="AA1018" s="19">
        <f t="shared" si="67"/>
        <v>44116</v>
      </c>
      <c r="AB1018" s="20">
        <f t="shared" si="64"/>
        <v>2</v>
      </c>
      <c r="AC1018" s="21">
        <f t="shared" si="65"/>
        <v>2</v>
      </c>
      <c r="AD1018" s="22" t="str">
        <f t="shared" si="66"/>
        <v>ÚTIL</v>
      </c>
      <c r="AE1018" s="25"/>
      <c r="AF1018" s="9"/>
      <c r="AG1018" s="9"/>
      <c r="AH1018" s="9"/>
    </row>
    <row r="1019" spans="15:34" hidden="1" x14ac:dyDescent="0.25">
      <c r="O1019" s="4" t="s">
        <v>1448</v>
      </c>
      <c r="P1019"/>
      <c r="AA1019" s="19">
        <f t="shared" si="67"/>
        <v>44117</v>
      </c>
      <c r="AB1019" s="20">
        <f t="shared" si="64"/>
        <v>3</v>
      </c>
      <c r="AC1019" s="21">
        <f t="shared" si="65"/>
        <v>3</v>
      </c>
      <c r="AD1019" s="22" t="str">
        <f t="shared" si="66"/>
        <v>ÚTIL</v>
      </c>
      <c r="AE1019" s="25"/>
      <c r="AF1019" s="9"/>
      <c r="AG1019" s="9"/>
      <c r="AH1019" s="9"/>
    </row>
    <row r="1020" spans="15:34" hidden="1" x14ac:dyDescent="0.25">
      <c r="O1020" s="4" t="s">
        <v>1449</v>
      </c>
      <c r="P1020"/>
      <c r="AA1020" s="19">
        <f t="shared" si="67"/>
        <v>44118</v>
      </c>
      <c r="AB1020" s="20">
        <f t="shared" si="64"/>
        <v>4</v>
      </c>
      <c r="AC1020" s="21">
        <f t="shared" si="65"/>
        <v>4</v>
      </c>
      <c r="AD1020" s="22" t="str">
        <f t="shared" si="66"/>
        <v>ÚTIL</v>
      </c>
      <c r="AE1020" s="25"/>
      <c r="AF1020" s="9"/>
      <c r="AG1020" s="9"/>
      <c r="AH1020" s="9"/>
    </row>
    <row r="1021" spans="15:34" hidden="1" x14ac:dyDescent="0.25">
      <c r="O1021" s="4" t="s">
        <v>1450</v>
      </c>
      <c r="P1021"/>
      <c r="AA1021" s="19">
        <f t="shared" si="67"/>
        <v>44119</v>
      </c>
      <c r="AB1021" s="20">
        <f t="shared" si="64"/>
        <v>5</v>
      </c>
      <c r="AC1021" s="21">
        <f t="shared" si="65"/>
        <v>5</v>
      </c>
      <c r="AD1021" s="22" t="str">
        <f t="shared" si="66"/>
        <v>ÚTIL</v>
      </c>
      <c r="AE1021" s="25"/>
      <c r="AF1021" s="9"/>
      <c r="AG1021" s="9"/>
      <c r="AH1021" s="9"/>
    </row>
    <row r="1022" spans="15:34" hidden="1" x14ac:dyDescent="0.25">
      <c r="O1022" s="4" t="s">
        <v>1451</v>
      </c>
      <c r="P1022"/>
      <c r="AA1022" s="19">
        <f t="shared" si="67"/>
        <v>44120</v>
      </c>
      <c r="AB1022" s="20">
        <f t="shared" si="64"/>
        <v>6</v>
      </c>
      <c r="AC1022" s="21">
        <f t="shared" si="65"/>
        <v>6</v>
      </c>
      <c r="AD1022" s="22" t="str">
        <f t="shared" si="66"/>
        <v>ÚTIL</v>
      </c>
      <c r="AE1022" s="25"/>
      <c r="AF1022" s="9"/>
      <c r="AG1022" s="9"/>
      <c r="AH1022" s="9"/>
    </row>
    <row r="1023" spans="15:34" hidden="1" x14ac:dyDescent="0.25">
      <c r="O1023" s="4" t="s">
        <v>1452</v>
      </c>
      <c r="P1023"/>
      <c r="AA1023" s="19">
        <f t="shared" si="67"/>
        <v>44121</v>
      </c>
      <c r="AB1023" s="20">
        <f t="shared" si="64"/>
        <v>7</v>
      </c>
      <c r="AC1023" s="21">
        <f t="shared" si="65"/>
        <v>7</v>
      </c>
      <c r="AD1023" s="22" t="str">
        <f t="shared" si="66"/>
        <v>NÃO ÚTIL</v>
      </c>
      <c r="AE1023" s="25"/>
      <c r="AF1023" s="9"/>
      <c r="AG1023" s="9"/>
      <c r="AH1023" s="9"/>
    </row>
    <row r="1024" spans="15:34" hidden="1" x14ac:dyDescent="0.25">
      <c r="O1024" s="4" t="s">
        <v>1453</v>
      </c>
      <c r="P1024"/>
      <c r="AA1024" s="19">
        <f t="shared" si="67"/>
        <v>44122</v>
      </c>
      <c r="AB1024" s="20">
        <f t="shared" si="64"/>
        <v>1</v>
      </c>
      <c r="AC1024" s="21">
        <f t="shared" si="65"/>
        <v>1</v>
      </c>
      <c r="AD1024" s="22" t="str">
        <f t="shared" si="66"/>
        <v>NÃO ÚTIL</v>
      </c>
      <c r="AE1024" s="25"/>
      <c r="AF1024" s="9"/>
      <c r="AG1024" s="9"/>
      <c r="AH1024" s="9"/>
    </row>
    <row r="1025" spans="15:34" hidden="1" x14ac:dyDescent="0.25">
      <c r="O1025" s="4" t="s">
        <v>1454</v>
      </c>
      <c r="P1025"/>
      <c r="AA1025" s="19">
        <f t="shared" si="67"/>
        <v>44123</v>
      </c>
      <c r="AB1025" s="20">
        <f t="shared" si="64"/>
        <v>2</v>
      </c>
      <c r="AC1025" s="21">
        <f t="shared" si="65"/>
        <v>2</v>
      </c>
      <c r="AD1025" s="22" t="str">
        <f t="shared" si="66"/>
        <v>ÚTIL</v>
      </c>
      <c r="AE1025" s="25"/>
      <c r="AF1025" s="9"/>
      <c r="AG1025" s="9"/>
      <c r="AH1025" s="9"/>
    </row>
    <row r="1026" spans="15:34" hidden="1" x14ac:dyDescent="0.25">
      <c r="O1026" s="4" t="s">
        <v>1455</v>
      </c>
      <c r="P1026"/>
      <c r="AA1026" s="19">
        <f t="shared" si="67"/>
        <v>44124</v>
      </c>
      <c r="AB1026" s="20">
        <f t="shared" si="64"/>
        <v>3</v>
      </c>
      <c r="AC1026" s="21">
        <f t="shared" si="65"/>
        <v>3</v>
      </c>
      <c r="AD1026" s="22" t="str">
        <f t="shared" si="66"/>
        <v>ÚTIL</v>
      </c>
      <c r="AE1026" s="25"/>
      <c r="AF1026" s="9"/>
      <c r="AG1026" s="9"/>
      <c r="AH1026" s="9"/>
    </row>
    <row r="1027" spans="15:34" hidden="1" x14ac:dyDescent="0.25">
      <c r="O1027" s="4" t="s">
        <v>1456</v>
      </c>
      <c r="P1027"/>
      <c r="AA1027" s="19">
        <f t="shared" si="67"/>
        <v>44125</v>
      </c>
      <c r="AB1027" s="20">
        <f t="shared" ref="AB1027:AB1090" si="68">AC1027</f>
        <v>4</v>
      </c>
      <c r="AC1027" s="21">
        <f t="shared" ref="AC1027:AC1090" si="69">WEEKDAY(AA1027)</f>
        <v>4</v>
      </c>
      <c r="AD1027" s="22" t="str">
        <f t="shared" ref="AD1027:AD1090" si="70">IF(WORKDAY(AA1027-1,1,$AE$3:$AE$14)=AA1027,"ÚTIL","NÃO ÚTIL")</f>
        <v>ÚTIL</v>
      </c>
      <c r="AE1027" s="25"/>
      <c r="AF1027" s="9"/>
      <c r="AG1027" s="9"/>
      <c r="AH1027" s="9"/>
    </row>
    <row r="1028" spans="15:34" hidden="1" x14ac:dyDescent="0.25">
      <c r="O1028" s="4" t="s">
        <v>1457</v>
      </c>
      <c r="P1028"/>
      <c r="AA1028" s="19">
        <f t="shared" ref="AA1028:AA1091" si="71">AA1027+1</f>
        <v>44126</v>
      </c>
      <c r="AB1028" s="20">
        <f t="shared" si="68"/>
        <v>5</v>
      </c>
      <c r="AC1028" s="21">
        <f t="shared" si="69"/>
        <v>5</v>
      </c>
      <c r="AD1028" s="22" t="str">
        <f t="shared" si="70"/>
        <v>ÚTIL</v>
      </c>
      <c r="AE1028" s="25"/>
      <c r="AF1028" s="9"/>
      <c r="AG1028" s="9"/>
      <c r="AH1028" s="9"/>
    </row>
    <row r="1029" spans="15:34" hidden="1" x14ac:dyDescent="0.25">
      <c r="O1029" s="4" t="s">
        <v>1458</v>
      </c>
      <c r="P1029"/>
      <c r="AA1029" s="19">
        <f t="shared" si="71"/>
        <v>44127</v>
      </c>
      <c r="AB1029" s="20">
        <f t="shared" si="68"/>
        <v>6</v>
      </c>
      <c r="AC1029" s="21">
        <f t="shared" si="69"/>
        <v>6</v>
      </c>
      <c r="AD1029" s="22" t="str">
        <f t="shared" si="70"/>
        <v>ÚTIL</v>
      </c>
      <c r="AE1029" s="25"/>
      <c r="AF1029" s="9"/>
      <c r="AG1029" s="9"/>
      <c r="AH1029" s="9"/>
    </row>
    <row r="1030" spans="15:34" hidden="1" x14ac:dyDescent="0.25">
      <c r="O1030" s="4" t="s">
        <v>1459</v>
      </c>
      <c r="P1030"/>
      <c r="AA1030" s="19">
        <f t="shared" si="71"/>
        <v>44128</v>
      </c>
      <c r="AB1030" s="20">
        <f t="shared" si="68"/>
        <v>7</v>
      </c>
      <c r="AC1030" s="21">
        <f t="shared" si="69"/>
        <v>7</v>
      </c>
      <c r="AD1030" s="22" t="str">
        <f t="shared" si="70"/>
        <v>NÃO ÚTIL</v>
      </c>
      <c r="AE1030" s="25"/>
      <c r="AF1030" s="9"/>
      <c r="AG1030" s="9"/>
      <c r="AH1030" s="9"/>
    </row>
    <row r="1031" spans="15:34" hidden="1" x14ac:dyDescent="0.25">
      <c r="O1031" s="4" t="s">
        <v>1460</v>
      </c>
      <c r="P1031"/>
      <c r="AA1031" s="19">
        <f t="shared" si="71"/>
        <v>44129</v>
      </c>
      <c r="AB1031" s="20">
        <f t="shared" si="68"/>
        <v>1</v>
      </c>
      <c r="AC1031" s="21">
        <f t="shared" si="69"/>
        <v>1</v>
      </c>
      <c r="AD1031" s="22" t="str">
        <f t="shared" si="70"/>
        <v>NÃO ÚTIL</v>
      </c>
      <c r="AE1031" s="25"/>
      <c r="AF1031" s="9"/>
      <c r="AG1031" s="9"/>
      <c r="AH1031" s="9"/>
    </row>
    <row r="1032" spans="15:34" hidden="1" x14ac:dyDescent="0.25">
      <c r="O1032" s="4" t="s">
        <v>1461</v>
      </c>
      <c r="P1032"/>
      <c r="AA1032" s="19">
        <f t="shared" si="71"/>
        <v>44130</v>
      </c>
      <c r="AB1032" s="20">
        <f t="shared" si="68"/>
        <v>2</v>
      </c>
      <c r="AC1032" s="21">
        <f t="shared" si="69"/>
        <v>2</v>
      </c>
      <c r="AD1032" s="22" t="str">
        <f t="shared" si="70"/>
        <v>ÚTIL</v>
      </c>
      <c r="AE1032" s="25"/>
      <c r="AF1032" s="9"/>
      <c r="AG1032" s="9"/>
      <c r="AH1032" s="9"/>
    </row>
    <row r="1033" spans="15:34" hidden="1" x14ac:dyDescent="0.25">
      <c r="O1033" s="4" t="s">
        <v>1462</v>
      </c>
      <c r="P1033"/>
      <c r="AA1033" s="19">
        <f t="shared" si="71"/>
        <v>44131</v>
      </c>
      <c r="AB1033" s="20">
        <f t="shared" si="68"/>
        <v>3</v>
      </c>
      <c r="AC1033" s="21">
        <f t="shared" si="69"/>
        <v>3</v>
      </c>
      <c r="AD1033" s="22" t="str">
        <f t="shared" si="70"/>
        <v>ÚTIL</v>
      </c>
      <c r="AE1033" s="25"/>
      <c r="AF1033" s="9"/>
      <c r="AG1033" s="9"/>
      <c r="AH1033" s="9"/>
    </row>
    <row r="1034" spans="15:34" hidden="1" x14ac:dyDescent="0.25">
      <c r="O1034" s="4" t="s">
        <v>1463</v>
      </c>
      <c r="P1034"/>
      <c r="AA1034" s="19">
        <f t="shared" si="71"/>
        <v>44132</v>
      </c>
      <c r="AB1034" s="20">
        <f t="shared" si="68"/>
        <v>4</v>
      </c>
      <c r="AC1034" s="21">
        <f t="shared" si="69"/>
        <v>4</v>
      </c>
      <c r="AD1034" s="22" t="str">
        <f t="shared" si="70"/>
        <v>ÚTIL</v>
      </c>
      <c r="AE1034" s="25"/>
      <c r="AF1034" s="9"/>
      <c r="AG1034" s="9"/>
      <c r="AH1034" s="9"/>
    </row>
    <row r="1035" spans="15:34" hidden="1" x14ac:dyDescent="0.25">
      <c r="O1035" s="4" t="s">
        <v>1464</v>
      </c>
      <c r="P1035"/>
      <c r="AA1035" s="19">
        <f t="shared" si="71"/>
        <v>44133</v>
      </c>
      <c r="AB1035" s="20">
        <f t="shared" si="68"/>
        <v>5</v>
      </c>
      <c r="AC1035" s="21">
        <f t="shared" si="69"/>
        <v>5</v>
      </c>
      <c r="AD1035" s="22" t="str">
        <f t="shared" si="70"/>
        <v>ÚTIL</v>
      </c>
      <c r="AE1035" s="25"/>
      <c r="AF1035" s="9"/>
      <c r="AG1035" s="9"/>
      <c r="AH1035" s="9"/>
    </row>
    <row r="1036" spans="15:34" hidden="1" x14ac:dyDescent="0.25">
      <c r="O1036" s="4" t="s">
        <v>1465</v>
      </c>
      <c r="P1036"/>
      <c r="AA1036" s="19">
        <f t="shared" si="71"/>
        <v>44134</v>
      </c>
      <c r="AB1036" s="20">
        <f t="shared" si="68"/>
        <v>6</v>
      </c>
      <c r="AC1036" s="21">
        <f t="shared" si="69"/>
        <v>6</v>
      </c>
      <c r="AD1036" s="22" t="str">
        <f t="shared" si="70"/>
        <v>ÚTIL</v>
      </c>
      <c r="AE1036" s="25"/>
      <c r="AF1036" s="9"/>
      <c r="AG1036" s="9"/>
      <c r="AH1036" s="9"/>
    </row>
    <row r="1037" spans="15:34" hidden="1" x14ac:dyDescent="0.25">
      <c r="O1037" s="4" t="s">
        <v>1466</v>
      </c>
      <c r="P1037"/>
      <c r="AA1037" s="19">
        <f t="shared" si="71"/>
        <v>44135</v>
      </c>
      <c r="AB1037" s="20">
        <f t="shared" si="68"/>
        <v>7</v>
      </c>
      <c r="AC1037" s="21">
        <f t="shared" si="69"/>
        <v>7</v>
      </c>
      <c r="AD1037" s="22" t="str">
        <f t="shared" si="70"/>
        <v>NÃO ÚTIL</v>
      </c>
      <c r="AE1037" s="25"/>
      <c r="AF1037" s="9"/>
      <c r="AG1037" s="9"/>
      <c r="AH1037" s="9"/>
    </row>
    <row r="1038" spans="15:34" hidden="1" x14ac:dyDescent="0.25">
      <c r="O1038" s="4" t="s">
        <v>1467</v>
      </c>
      <c r="P1038"/>
      <c r="AA1038" s="19">
        <f t="shared" si="71"/>
        <v>44136</v>
      </c>
      <c r="AB1038" s="20">
        <f t="shared" si="68"/>
        <v>1</v>
      </c>
      <c r="AC1038" s="21">
        <f t="shared" si="69"/>
        <v>1</v>
      </c>
      <c r="AD1038" s="22" t="str">
        <f t="shared" si="70"/>
        <v>NÃO ÚTIL</v>
      </c>
      <c r="AE1038" s="25"/>
      <c r="AF1038" s="9"/>
      <c r="AG1038" s="9"/>
      <c r="AH1038" s="9"/>
    </row>
    <row r="1039" spans="15:34" hidden="1" x14ac:dyDescent="0.25">
      <c r="O1039" s="4" t="s">
        <v>1468</v>
      </c>
      <c r="P1039"/>
      <c r="AA1039" s="19">
        <f t="shared" si="71"/>
        <v>44137</v>
      </c>
      <c r="AB1039" s="20">
        <f t="shared" si="68"/>
        <v>2</v>
      </c>
      <c r="AC1039" s="21">
        <f t="shared" si="69"/>
        <v>2</v>
      </c>
      <c r="AD1039" s="22" t="str">
        <f t="shared" si="70"/>
        <v>ÚTIL</v>
      </c>
      <c r="AE1039" s="25"/>
      <c r="AF1039" s="9"/>
      <c r="AG1039" s="9"/>
      <c r="AH1039" s="9"/>
    </row>
    <row r="1040" spans="15:34" hidden="1" x14ac:dyDescent="0.25">
      <c r="O1040" s="4" t="s">
        <v>1469</v>
      </c>
      <c r="P1040"/>
      <c r="AA1040" s="19">
        <f t="shared" si="71"/>
        <v>44138</v>
      </c>
      <c r="AB1040" s="20">
        <f t="shared" si="68"/>
        <v>3</v>
      </c>
      <c r="AC1040" s="21">
        <f t="shared" si="69"/>
        <v>3</v>
      </c>
      <c r="AD1040" s="22" t="str">
        <f t="shared" si="70"/>
        <v>ÚTIL</v>
      </c>
      <c r="AE1040" s="25"/>
      <c r="AF1040" s="9"/>
      <c r="AG1040" s="9"/>
      <c r="AH1040" s="9"/>
    </row>
    <row r="1041" spans="15:34" hidden="1" x14ac:dyDescent="0.25">
      <c r="O1041" s="4" t="s">
        <v>1470</v>
      </c>
      <c r="P1041"/>
      <c r="AA1041" s="19">
        <f t="shared" si="71"/>
        <v>44139</v>
      </c>
      <c r="AB1041" s="20">
        <f t="shared" si="68"/>
        <v>4</v>
      </c>
      <c r="AC1041" s="21">
        <f t="shared" si="69"/>
        <v>4</v>
      </c>
      <c r="AD1041" s="22" t="str">
        <f t="shared" si="70"/>
        <v>ÚTIL</v>
      </c>
      <c r="AE1041" s="25"/>
      <c r="AF1041" s="9"/>
      <c r="AG1041" s="9"/>
      <c r="AH1041" s="9"/>
    </row>
    <row r="1042" spans="15:34" hidden="1" x14ac:dyDescent="0.25">
      <c r="O1042" s="4" t="s">
        <v>1471</v>
      </c>
      <c r="P1042"/>
      <c r="AA1042" s="19">
        <f t="shared" si="71"/>
        <v>44140</v>
      </c>
      <c r="AB1042" s="20">
        <f t="shared" si="68"/>
        <v>5</v>
      </c>
      <c r="AC1042" s="21">
        <f t="shared" si="69"/>
        <v>5</v>
      </c>
      <c r="AD1042" s="22" t="str">
        <f t="shared" si="70"/>
        <v>ÚTIL</v>
      </c>
      <c r="AE1042" s="25"/>
      <c r="AF1042" s="9"/>
      <c r="AG1042" s="9"/>
      <c r="AH1042" s="9"/>
    </row>
    <row r="1043" spans="15:34" hidden="1" x14ac:dyDescent="0.25">
      <c r="O1043" s="4" t="s">
        <v>1472</v>
      </c>
      <c r="P1043"/>
      <c r="AA1043" s="19">
        <f t="shared" si="71"/>
        <v>44141</v>
      </c>
      <c r="AB1043" s="20">
        <f t="shared" si="68"/>
        <v>6</v>
      </c>
      <c r="AC1043" s="21">
        <f t="shared" si="69"/>
        <v>6</v>
      </c>
      <c r="AD1043" s="22" t="str">
        <f t="shared" si="70"/>
        <v>ÚTIL</v>
      </c>
      <c r="AE1043" s="25"/>
      <c r="AF1043" s="9"/>
      <c r="AG1043" s="9"/>
      <c r="AH1043" s="9"/>
    </row>
    <row r="1044" spans="15:34" hidden="1" x14ac:dyDescent="0.25">
      <c r="O1044" s="4" t="s">
        <v>1473</v>
      </c>
      <c r="P1044"/>
      <c r="AA1044" s="19">
        <f t="shared" si="71"/>
        <v>44142</v>
      </c>
      <c r="AB1044" s="20">
        <f t="shared" si="68"/>
        <v>7</v>
      </c>
      <c r="AC1044" s="21">
        <f t="shared" si="69"/>
        <v>7</v>
      </c>
      <c r="AD1044" s="22" t="str">
        <f t="shared" si="70"/>
        <v>NÃO ÚTIL</v>
      </c>
      <c r="AE1044" s="25"/>
      <c r="AF1044" s="9"/>
      <c r="AG1044" s="9"/>
      <c r="AH1044" s="9"/>
    </row>
    <row r="1045" spans="15:34" hidden="1" x14ac:dyDescent="0.25">
      <c r="O1045" s="4" t="s">
        <v>1474</v>
      </c>
      <c r="P1045"/>
      <c r="AA1045" s="19">
        <f t="shared" si="71"/>
        <v>44143</v>
      </c>
      <c r="AB1045" s="20">
        <f t="shared" si="68"/>
        <v>1</v>
      </c>
      <c r="AC1045" s="21">
        <f t="shared" si="69"/>
        <v>1</v>
      </c>
      <c r="AD1045" s="22" t="str">
        <f t="shared" si="70"/>
        <v>NÃO ÚTIL</v>
      </c>
      <c r="AE1045" s="25"/>
      <c r="AF1045" s="9"/>
      <c r="AG1045" s="9"/>
      <c r="AH1045" s="9"/>
    </row>
    <row r="1046" spans="15:34" hidden="1" x14ac:dyDescent="0.25">
      <c r="O1046" s="4" t="s">
        <v>1475</v>
      </c>
      <c r="P1046"/>
      <c r="AA1046" s="19">
        <f t="shared" si="71"/>
        <v>44144</v>
      </c>
      <c r="AB1046" s="20">
        <f t="shared" si="68"/>
        <v>2</v>
      </c>
      <c r="AC1046" s="21">
        <f t="shared" si="69"/>
        <v>2</v>
      </c>
      <c r="AD1046" s="22" t="str">
        <f t="shared" si="70"/>
        <v>ÚTIL</v>
      </c>
      <c r="AE1046" s="25"/>
      <c r="AF1046" s="9"/>
      <c r="AG1046" s="9"/>
      <c r="AH1046" s="9"/>
    </row>
    <row r="1047" spans="15:34" hidden="1" x14ac:dyDescent="0.25">
      <c r="O1047" s="4" t="s">
        <v>1476</v>
      </c>
      <c r="P1047"/>
      <c r="AA1047" s="19">
        <f t="shared" si="71"/>
        <v>44145</v>
      </c>
      <c r="AB1047" s="20">
        <f t="shared" si="68"/>
        <v>3</v>
      </c>
      <c r="AC1047" s="21">
        <f t="shared" si="69"/>
        <v>3</v>
      </c>
      <c r="AD1047" s="22" t="str">
        <f t="shared" si="70"/>
        <v>ÚTIL</v>
      </c>
      <c r="AE1047" s="25"/>
      <c r="AF1047" s="9"/>
      <c r="AG1047" s="9"/>
      <c r="AH1047" s="9"/>
    </row>
    <row r="1048" spans="15:34" hidden="1" x14ac:dyDescent="0.25">
      <c r="O1048" s="4" t="s">
        <v>1477</v>
      </c>
      <c r="P1048"/>
      <c r="AA1048" s="19">
        <f t="shared" si="71"/>
        <v>44146</v>
      </c>
      <c r="AB1048" s="20">
        <f t="shared" si="68"/>
        <v>4</v>
      </c>
      <c r="AC1048" s="21">
        <f t="shared" si="69"/>
        <v>4</v>
      </c>
      <c r="AD1048" s="22" t="str">
        <f t="shared" si="70"/>
        <v>ÚTIL</v>
      </c>
      <c r="AE1048" s="25"/>
      <c r="AF1048" s="9"/>
      <c r="AG1048" s="9"/>
      <c r="AH1048" s="9"/>
    </row>
    <row r="1049" spans="15:34" hidden="1" x14ac:dyDescent="0.25">
      <c r="O1049" s="4" t="s">
        <v>1478</v>
      </c>
      <c r="P1049"/>
      <c r="AA1049" s="19">
        <f t="shared" si="71"/>
        <v>44147</v>
      </c>
      <c r="AB1049" s="20">
        <f t="shared" si="68"/>
        <v>5</v>
      </c>
      <c r="AC1049" s="21">
        <f t="shared" si="69"/>
        <v>5</v>
      </c>
      <c r="AD1049" s="22" t="str">
        <f t="shared" si="70"/>
        <v>ÚTIL</v>
      </c>
      <c r="AE1049" s="25"/>
      <c r="AF1049" s="9"/>
      <c r="AG1049" s="9"/>
      <c r="AH1049" s="9"/>
    </row>
    <row r="1050" spans="15:34" hidden="1" x14ac:dyDescent="0.25">
      <c r="O1050" s="4" t="s">
        <v>1479</v>
      </c>
      <c r="P1050"/>
      <c r="AA1050" s="19">
        <f t="shared" si="71"/>
        <v>44148</v>
      </c>
      <c r="AB1050" s="20">
        <f t="shared" si="68"/>
        <v>6</v>
      </c>
      <c r="AC1050" s="21">
        <f t="shared" si="69"/>
        <v>6</v>
      </c>
      <c r="AD1050" s="22" t="str">
        <f t="shared" si="70"/>
        <v>ÚTIL</v>
      </c>
      <c r="AE1050" s="25"/>
      <c r="AF1050" s="9"/>
      <c r="AG1050" s="9"/>
      <c r="AH1050" s="9"/>
    </row>
    <row r="1051" spans="15:34" hidden="1" x14ac:dyDescent="0.25">
      <c r="O1051" s="4" t="s">
        <v>1480</v>
      </c>
      <c r="P1051"/>
      <c r="AA1051" s="19">
        <f t="shared" si="71"/>
        <v>44149</v>
      </c>
      <c r="AB1051" s="20">
        <f t="shared" si="68"/>
        <v>7</v>
      </c>
      <c r="AC1051" s="21">
        <f t="shared" si="69"/>
        <v>7</v>
      </c>
      <c r="AD1051" s="22" t="str">
        <f t="shared" si="70"/>
        <v>NÃO ÚTIL</v>
      </c>
      <c r="AE1051" s="25"/>
      <c r="AF1051" s="9"/>
      <c r="AG1051" s="9"/>
      <c r="AH1051" s="9"/>
    </row>
    <row r="1052" spans="15:34" hidden="1" x14ac:dyDescent="0.25">
      <c r="O1052" s="4" t="s">
        <v>1481</v>
      </c>
      <c r="P1052"/>
      <c r="AA1052" s="19">
        <f t="shared" si="71"/>
        <v>44150</v>
      </c>
      <c r="AB1052" s="20">
        <f t="shared" si="68"/>
        <v>1</v>
      </c>
      <c r="AC1052" s="21">
        <f t="shared" si="69"/>
        <v>1</v>
      </c>
      <c r="AD1052" s="22" t="str">
        <f t="shared" si="70"/>
        <v>NÃO ÚTIL</v>
      </c>
      <c r="AE1052" s="25"/>
      <c r="AF1052" s="9"/>
      <c r="AG1052" s="9"/>
      <c r="AH1052" s="9"/>
    </row>
    <row r="1053" spans="15:34" hidden="1" x14ac:dyDescent="0.25">
      <c r="O1053" s="4" t="s">
        <v>1482</v>
      </c>
      <c r="P1053"/>
      <c r="AA1053" s="19">
        <f t="shared" si="71"/>
        <v>44151</v>
      </c>
      <c r="AB1053" s="20">
        <f t="shared" si="68"/>
        <v>2</v>
      </c>
      <c r="AC1053" s="21">
        <f t="shared" si="69"/>
        <v>2</v>
      </c>
      <c r="AD1053" s="22" t="str">
        <f t="shared" si="70"/>
        <v>ÚTIL</v>
      </c>
      <c r="AE1053" s="25"/>
      <c r="AF1053" s="9"/>
      <c r="AG1053" s="9"/>
      <c r="AH1053" s="9"/>
    </row>
    <row r="1054" spans="15:34" hidden="1" x14ac:dyDescent="0.25">
      <c r="O1054" s="4" t="s">
        <v>1483</v>
      </c>
      <c r="P1054"/>
      <c r="AA1054" s="19">
        <f t="shared" si="71"/>
        <v>44152</v>
      </c>
      <c r="AB1054" s="20">
        <f t="shared" si="68"/>
        <v>3</v>
      </c>
      <c r="AC1054" s="21">
        <f t="shared" si="69"/>
        <v>3</v>
      </c>
      <c r="AD1054" s="22" t="str">
        <f t="shared" si="70"/>
        <v>ÚTIL</v>
      </c>
      <c r="AE1054" s="25"/>
      <c r="AF1054" s="9"/>
      <c r="AG1054" s="9"/>
      <c r="AH1054" s="9"/>
    </row>
    <row r="1055" spans="15:34" hidden="1" x14ac:dyDescent="0.25">
      <c r="O1055" s="4" t="s">
        <v>1484</v>
      </c>
      <c r="P1055"/>
      <c r="AA1055" s="19">
        <f t="shared" si="71"/>
        <v>44153</v>
      </c>
      <c r="AB1055" s="20">
        <f t="shared" si="68"/>
        <v>4</v>
      </c>
      <c r="AC1055" s="21">
        <f t="shared" si="69"/>
        <v>4</v>
      </c>
      <c r="AD1055" s="22" t="str">
        <f t="shared" si="70"/>
        <v>ÚTIL</v>
      </c>
      <c r="AE1055" s="25"/>
      <c r="AF1055" s="9"/>
      <c r="AG1055" s="9"/>
      <c r="AH1055" s="9"/>
    </row>
    <row r="1056" spans="15:34" hidden="1" x14ac:dyDescent="0.25">
      <c r="O1056" s="4" t="s">
        <v>1485</v>
      </c>
      <c r="P1056"/>
      <c r="AA1056" s="19">
        <f t="shared" si="71"/>
        <v>44154</v>
      </c>
      <c r="AB1056" s="20">
        <f t="shared" si="68"/>
        <v>5</v>
      </c>
      <c r="AC1056" s="21">
        <f t="shared" si="69"/>
        <v>5</v>
      </c>
      <c r="AD1056" s="22" t="str">
        <f t="shared" si="70"/>
        <v>ÚTIL</v>
      </c>
      <c r="AE1056" s="25"/>
      <c r="AF1056" s="9"/>
      <c r="AG1056" s="9"/>
      <c r="AH1056" s="9"/>
    </row>
    <row r="1057" spans="15:34" hidden="1" x14ac:dyDescent="0.25">
      <c r="O1057" s="4" t="s">
        <v>1486</v>
      </c>
      <c r="P1057"/>
      <c r="AA1057" s="19">
        <f t="shared" si="71"/>
        <v>44155</v>
      </c>
      <c r="AB1057" s="20">
        <f t="shared" si="68"/>
        <v>6</v>
      </c>
      <c r="AC1057" s="21">
        <f t="shared" si="69"/>
        <v>6</v>
      </c>
      <c r="AD1057" s="22" t="str">
        <f t="shared" si="70"/>
        <v>ÚTIL</v>
      </c>
      <c r="AE1057" s="25"/>
      <c r="AF1057" s="9"/>
      <c r="AG1057" s="9"/>
      <c r="AH1057" s="9"/>
    </row>
    <row r="1058" spans="15:34" hidden="1" x14ac:dyDescent="0.25">
      <c r="O1058" s="4" t="s">
        <v>1487</v>
      </c>
      <c r="P1058"/>
      <c r="AA1058" s="19">
        <f t="shared" si="71"/>
        <v>44156</v>
      </c>
      <c r="AB1058" s="20">
        <f t="shared" si="68"/>
        <v>7</v>
      </c>
      <c r="AC1058" s="21">
        <f t="shared" si="69"/>
        <v>7</v>
      </c>
      <c r="AD1058" s="22" t="str">
        <f t="shared" si="70"/>
        <v>NÃO ÚTIL</v>
      </c>
      <c r="AE1058" s="25"/>
      <c r="AF1058" s="9"/>
      <c r="AG1058" s="9"/>
      <c r="AH1058" s="9"/>
    </row>
    <row r="1059" spans="15:34" hidden="1" x14ac:dyDescent="0.25">
      <c r="O1059" s="4" t="s">
        <v>1488</v>
      </c>
      <c r="P1059"/>
      <c r="AA1059" s="19">
        <f t="shared" si="71"/>
        <v>44157</v>
      </c>
      <c r="AB1059" s="20">
        <f t="shared" si="68"/>
        <v>1</v>
      </c>
      <c r="AC1059" s="21">
        <f t="shared" si="69"/>
        <v>1</v>
      </c>
      <c r="AD1059" s="22" t="str">
        <f t="shared" si="70"/>
        <v>NÃO ÚTIL</v>
      </c>
      <c r="AE1059" s="25"/>
      <c r="AF1059" s="9"/>
      <c r="AG1059" s="9"/>
      <c r="AH1059" s="9"/>
    </row>
    <row r="1060" spans="15:34" hidden="1" x14ac:dyDescent="0.25">
      <c r="O1060" s="4" t="s">
        <v>1489</v>
      </c>
      <c r="P1060"/>
      <c r="AA1060" s="19">
        <f t="shared" si="71"/>
        <v>44158</v>
      </c>
      <c r="AB1060" s="20">
        <f t="shared" si="68"/>
        <v>2</v>
      </c>
      <c r="AC1060" s="21">
        <f t="shared" si="69"/>
        <v>2</v>
      </c>
      <c r="AD1060" s="22" t="str">
        <f t="shared" si="70"/>
        <v>ÚTIL</v>
      </c>
      <c r="AE1060" s="25"/>
      <c r="AF1060" s="9"/>
      <c r="AG1060" s="9"/>
      <c r="AH1060" s="9"/>
    </row>
    <row r="1061" spans="15:34" hidden="1" x14ac:dyDescent="0.25">
      <c r="O1061" s="4" t="s">
        <v>1490</v>
      </c>
      <c r="P1061"/>
      <c r="AA1061" s="19">
        <f t="shared" si="71"/>
        <v>44159</v>
      </c>
      <c r="AB1061" s="20">
        <f t="shared" si="68"/>
        <v>3</v>
      </c>
      <c r="AC1061" s="21">
        <f t="shared" si="69"/>
        <v>3</v>
      </c>
      <c r="AD1061" s="22" t="str">
        <f t="shared" si="70"/>
        <v>ÚTIL</v>
      </c>
      <c r="AE1061" s="25"/>
      <c r="AF1061" s="9"/>
      <c r="AG1061" s="9"/>
      <c r="AH1061" s="9"/>
    </row>
    <row r="1062" spans="15:34" hidden="1" x14ac:dyDescent="0.25">
      <c r="O1062" s="4" t="s">
        <v>1491</v>
      </c>
      <c r="P1062"/>
      <c r="AA1062" s="19">
        <f t="shared" si="71"/>
        <v>44160</v>
      </c>
      <c r="AB1062" s="20">
        <f t="shared" si="68"/>
        <v>4</v>
      </c>
      <c r="AC1062" s="21">
        <f t="shared" si="69"/>
        <v>4</v>
      </c>
      <c r="AD1062" s="22" t="str">
        <f t="shared" si="70"/>
        <v>ÚTIL</v>
      </c>
      <c r="AE1062" s="25"/>
      <c r="AF1062" s="9"/>
      <c r="AG1062" s="9"/>
      <c r="AH1062" s="9"/>
    </row>
    <row r="1063" spans="15:34" hidden="1" x14ac:dyDescent="0.25">
      <c r="O1063" s="4" t="s">
        <v>1492</v>
      </c>
      <c r="P1063"/>
      <c r="AA1063" s="19">
        <f t="shared" si="71"/>
        <v>44161</v>
      </c>
      <c r="AB1063" s="20">
        <f t="shared" si="68"/>
        <v>5</v>
      </c>
      <c r="AC1063" s="21">
        <f t="shared" si="69"/>
        <v>5</v>
      </c>
      <c r="AD1063" s="22" t="str">
        <f t="shared" si="70"/>
        <v>ÚTIL</v>
      </c>
      <c r="AE1063" s="25"/>
      <c r="AF1063" s="9"/>
      <c r="AG1063" s="9"/>
      <c r="AH1063" s="9"/>
    </row>
    <row r="1064" spans="15:34" hidden="1" x14ac:dyDescent="0.25">
      <c r="O1064" s="4" t="s">
        <v>1493</v>
      </c>
      <c r="P1064"/>
      <c r="AA1064" s="19">
        <f t="shared" si="71"/>
        <v>44162</v>
      </c>
      <c r="AB1064" s="20">
        <f t="shared" si="68"/>
        <v>6</v>
      </c>
      <c r="AC1064" s="21">
        <f t="shared" si="69"/>
        <v>6</v>
      </c>
      <c r="AD1064" s="22" t="str">
        <f t="shared" si="70"/>
        <v>ÚTIL</v>
      </c>
      <c r="AE1064" s="25"/>
      <c r="AF1064" s="9"/>
      <c r="AG1064" s="9"/>
      <c r="AH1064" s="9"/>
    </row>
    <row r="1065" spans="15:34" hidden="1" x14ac:dyDescent="0.25">
      <c r="O1065" s="4" t="s">
        <v>1494</v>
      </c>
      <c r="P1065"/>
      <c r="AA1065" s="19">
        <f t="shared" si="71"/>
        <v>44163</v>
      </c>
      <c r="AB1065" s="20">
        <f t="shared" si="68"/>
        <v>7</v>
      </c>
      <c r="AC1065" s="21">
        <f t="shared" si="69"/>
        <v>7</v>
      </c>
      <c r="AD1065" s="22" t="str">
        <f t="shared" si="70"/>
        <v>NÃO ÚTIL</v>
      </c>
      <c r="AE1065" s="25"/>
      <c r="AF1065" s="9"/>
      <c r="AG1065" s="9"/>
      <c r="AH1065" s="9"/>
    </row>
    <row r="1066" spans="15:34" hidden="1" x14ac:dyDescent="0.25">
      <c r="O1066" s="4" t="s">
        <v>1495</v>
      </c>
      <c r="P1066"/>
      <c r="AA1066" s="19">
        <f t="shared" si="71"/>
        <v>44164</v>
      </c>
      <c r="AB1066" s="20">
        <f t="shared" si="68"/>
        <v>1</v>
      </c>
      <c r="AC1066" s="21">
        <f t="shared" si="69"/>
        <v>1</v>
      </c>
      <c r="AD1066" s="22" t="str">
        <f t="shared" si="70"/>
        <v>NÃO ÚTIL</v>
      </c>
      <c r="AE1066" s="25"/>
      <c r="AF1066" s="9"/>
      <c r="AG1066" s="9"/>
      <c r="AH1066" s="9"/>
    </row>
    <row r="1067" spans="15:34" hidden="1" x14ac:dyDescent="0.25">
      <c r="O1067" s="4" t="s">
        <v>1496</v>
      </c>
      <c r="P1067"/>
      <c r="AA1067" s="19">
        <f t="shared" si="71"/>
        <v>44165</v>
      </c>
      <c r="AB1067" s="20">
        <f t="shared" si="68"/>
        <v>2</v>
      </c>
      <c r="AC1067" s="21">
        <f t="shared" si="69"/>
        <v>2</v>
      </c>
      <c r="AD1067" s="22" t="str">
        <f t="shared" si="70"/>
        <v>ÚTIL</v>
      </c>
      <c r="AE1067" s="25"/>
      <c r="AF1067" s="9"/>
      <c r="AG1067" s="9"/>
      <c r="AH1067" s="9"/>
    </row>
    <row r="1068" spans="15:34" hidden="1" x14ac:dyDescent="0.25">
      <c r="O1068" s="4" t="s">
        <v>1497</v>
      </c>
      <c r="P1068"/>
      <c r="AA1068" s="19">
        <f t="shared" si="71"/>
        <v>44166</v>
      </c>
      <c r="AB1068" s="20">
        <f t="shared" si="68"/>
        <v>3</v>
      </c>
      <c r="AC1068" s="21">
        <f t="shared" si="69"/>
        <v>3</v>
      </c>
      <c r="AD1068" s="22" t="str">
        <f t="shared" si="70"/>
        <v>ÚTIL</v>
      </c>
      <c r="AE1068" s="25"/>
      <c r="AF1068" s="9"/>
      <c r="AG1068" s="9"/>
      <c r="AH1068" s="9"/>
    </row>
    <row r="1069" spans="15:34" hidden="1" x14ac:dyDescent="0.25">
      <c r="O1069" s="4" t="s">
        <v>1498</v>
      </c>
      <c r="P1069"/>
      <c r="AA1069" s="19">
        <f t="shared" si="71"/>
        <v>44167</v>
      </c>
      <c r="AB1069" s="20">
        <f t="shared" si="68"/>
        <v>4</v>
      </c>
      <c r="AC1069" s="21">
        <f t="shared" si="69"/>
        <v>4</v>
      </c>
      <c r="AD1069" s="22" t="str">
        <f t="shared" si="70"/>
        <v>ÚTIL</v>
      </c>
      <c r="AE1069" s="25"/>
      <c r="AF1069" s="9"/>
      <c r="AG1069" s="9"/>
      <c r="AH1069" s="9"/>
    </row>
    <row r="1070" spans="15:34" hidden="1" x14ac:dyDescent="0.25">
      <c r="O1070" s="4" t="s">
        <v>1499</v>
      </c>
      <c r="P1070"/>
      <c r="AA1070" s="19">
        <f t="shared" si="71"/>
        <v>44168</v>
      </c>
      <c r="AB1070" s="20">
        <f t="shared" si="68"/>
        <v>5</v>
      </c>
      <c r="AC1070" s="21">
        <f t="shared" si="69"/>
        <v>5</v>
      </c>
      <c r="AD1070" s="22" t="str">
        <f t="shared" si="70"/>
        <v>ÚTIL</v>
      </c>
      <c r="AE1070" s="25"/>
      <c r="AF1070" s="9"/>
      <c r="AG1070" s="9"/>
      <c r="AH1070" s="9"/>
    </row>
    <row r="1071" spans="15:34" hidden="1" x14ac:dyDescent="0.25">
      <c r="O1071" s="4" t="s">
        <v>1500</v>
      </c>
      <c r="P1071"/>
      <c r="AA1071" s="19">
        <f t="shared" si="71"/>
        <v>44169</v>
      </c>
      <c r="AB1071" s="20">
        <f t="shared" si="68"/>
        <v>6</v>
      </c>
      <c r="AC1071" s="21">
        <f t="shared" si="69"/>
        <v>6</v>
      </c>
      <c r="AD1071" s="22" t="str">
        <f t="shared" si="70"/>
        <v>ÚTIL</v>
      </c>
      <c r="AE1071" s="25"/>
      <c r="AF1071" s="9"/>
      <c r="AG1071" s="9"/>
      <c r="AH1071" s="9"/>
    </row>
    <row r="1072" spans="15:34" hidden="1" x14ac:dyDescent="0.25">
      <c r="O1072" s="4" t="s">
        <v>1501</v>
      </c>
      <c r="P1072"/>
      <c r="AA1072" s="19">
        <f t="shared" si="71"/>
        <v>44170</v>
      </c>
      <c r="AB1072" s="20">
        <f t="shared" si="68"/>
        <v>7</v>
      </c>
      <c r="AC1072" s="21">
        <f t="shared" si="69"/>
        <v>7</v>
      </c>
      <c r="AD1072" s="22" t="str">
        <f t="shared" si="70"/>
        <v>NÃO ÚTIL</v>
      </c>
      <c r="AE1072" s="25"/>
      <c r="AF1072" s="9"/>
      <c r="AG1072" s="9"/>
      <c r="AH1072" s="9"/>
    </row>
    <row r="1073" spans="15:34" hidden="1" x14ac:dyDescent="0.25">
      <c r="O1073" s="4" t="s">
        <v>1502</v>
      </c>
      <c r="P1073"/>
      <c r="AA1073" s="19">
        <f t="shared" si="71"/>
        <v>44171</v>
      </c>
      <c r="AB1073" s="20">
        <f t="shared" si="68"/>
        <v>1</v>
      </c>
      <c r="AC1073" s="21">
        <f t="shared" si="69"/>
        <v>1</v>
      </c>
      <c r="AD1073" s="22" t="str">
        <f t="shared" si="70"/>
        <v>NÃO ÚTIL</v>
      </c>
      <c r="AE1073" s="25"/>
      <c r="AF1073" s="9"/>
      <c r="AG1073" s="9"/>
      <c r="AH1073" s="9"/>
    </row>
    <row r="1074" spans="15:34" hidden="1" x14ac:dyDescent="0.25">
      <c r="O1074" s="4" t="s">
        <v>1503</v>
      </c>
      <c r="P1074"/>
      <c r="AA1074" s="19">
        <f t="shared" si="71"/>
        <v>44172</v>
      </c>
      <c r="AB1074" s="20">
        <f t="shared" si="68"/>
        <v>2</v>
      </c>
      <c r="AC1074" s="21">
        <f t="shared" si="69"/>
        <v>2</v>
      </c>
      <c r="AD1074" s="22" t="str">
        <f t="shared" si="70"/>
        <v>ÚTIL</v>
      </c>
      <c r="AE1074" s="25"/>
      <c r="AF1074" s="9"/>
      <c r="AG1074" s="9"/>
      <c r="AH1074" s="9"/>
    </row>
    <row r="1075" spans="15:34" hidden="1" x14ac:dyDescent="0.25">
      <c r="O1075" s="4" t="s">
        <v>1504</v>
      </c>
      <c r="P1075"/>
      <c r="AA1075" s="19">
        <f t="shared" si="71"/>
        <v>44173</v>
      </c>
      <c r="AB1075" s="20">
        <f t="shared" si="68"/>
        <v>3</v>
      </c>
      <c r="AC1075" s="21">
        <f t="shared" si="69"/>
        <v>3</v>
      </c>
      <c r="AD1075" s="22" t="str">
        <f t="shared" si="70"/>
        <v>ÚTIL</v>
      </c>
      <c r="AE1075" s="25"/>
      <c r="AF1075" s="9"/>
      <c r="AG1075" s="9"/>
      <c r="AH1075" s="9"/>
    </row>
    <row r="1076" spans="15:34" hidden="1" x14ac:dyDescent="0.25">
      <c r="O1076" s="4" t="s">
        <v>1505</v>
      </c>
      <c r="P1076"/>
      <c r="AA1076" s="19">
        <f t="shared" si="71"/>
        <v>44174</v>
      </c>
      <c r="AB1076" s="20">
        <f t="shared" si="68"/>
        <v>4</v>
      </c>
      <c r="AC1076" s="21">
        <f t="shared" si="69"/>
        <v>4</v>
      </c>
      <c r="AD1076" s="22" t="str">
        <f t="shared" si="70"/>
        <v>ÚTIL</v>
      </c>
      <c r="AE1076" s="25"/>
      <c r="AF1076" s="9"/>
      <c r="AG1076" s="9"/>
      <c r="AH1076" s="9"/>
    </row>
    <row r="1077" spans="15:34" hidden="1" x14ac:dyDescent="0.25">
      <c r="O1077" s="4" t="s">
        <v>1506</v>
      </c>
      <c r="P1077"/>
      <c r="AA1077" s="19">
        <f t="shared" si="71"/>
        <v>44175</v>
      </c>
      <c r="AB1077" s="20">
        <f t="shared" si="68"/>
        <v>5</v>
      </c>
      <c r="AC1077" s="21">
        <f t="shared" si="69"/>
        <v>5</v>
      </c>
      <c r="AD1077" s="22" t="str">
        <f t="shared" si="70"/>
        <v>ÚTIL</v>
      </c>
      <c r="AE1077" s="25"/>
      <c r="AF1077" s="9"/>
      <c r="AG1077" s="9"/>
      <c r="AH1077" s="9"/>
    </row>
    <row r="1078" spans="15:34" hidden="1" x14ac:dyDescent="0.25">
      <c r="O1078" s="4" t="s">
        <v>1507</v>
      </c>
      <c r="P1078"/>
      <c r="AA1078" s="19">
        <f t="shared" si="71"/>
        <v>44176</v>
      </c>
      <c r="AB1078" s="20">
        <f t="shared" si="68"/>
        <v>6</v>
      </c>
      <c r="AC1078" s="21">
        <f t="shared" si="69"/>
        <v>6</v>
      </c>
      <c r="AD1078" s="22" t="str">
        <f t="shared" si="70"/>
        <v>ÚTIL</v>
      </c>
      <c r="AE1078" s="25"/>
      <c r="AF1078" s="9"/>
      <c r="AG1078" s="9"/>
      <c r="AH1078" s="9"/>
    </row>
    <row r="1079" spans="15:34" hidden="1" x14ac:dyDescent="0.25">
      <c r="O1079" s="4" t="s">
        <v>1508</v>
      </c>
      <c r="P1079"/>
      <c r="AA1079" s="19">
        <f t="shared" si="71"/>
        <v>44177</v>
      </c>
      <c r="AB1079" s="20">
        <f t="shared" si="68"/>
        <v>7</v>
      </c>
      <c r="AC1079" s="21">
        <f t="shared" si="69"/>
        <v>7</v>
      </c>
      <c r="AD1079" s="22" t="str">
        <f t="shared" si="70"/>
        <v>NÃO ÚTIL</v>
      </c>
      <c r="AE1079" s="25"/>
      <c r="AF1079" s="9"/>
      <c r="AG1079" s="9"/>
      <c r="AH1079" s="9"/>
    </row>
    <row r="1080" spans="15:34" hidden="1" x14ac:dyDescent="0.25">
      <c r="O1080" s="4" t="s">
        <v>1509</v>
      </c>
      <c r="P1080"/>
      <c r="AA1080" s="19">
        <f t="shared" si="71"/>
        <v>44178</v>
      </c>
      <c r="AB1080" s="20">
        <f t="shared" si="68"/>
        <v>1</v>
      </c>
      <c r="AC1080" s="21">
        <f t="shared" si="69"/>
        <v>1</v>
      </c>
      <c r="AD1080" s="22" t="str">
        <f t="shared" si="70"/>
        <v>NÃO ÚTIL</v>
      </c>
      <c r="AE1080" s="25"/>
      <c r="AF1080" s="9"/>
      <c r="AG1080" s="9"/>
      <c r="AH1080" s="9"/>
    </row>
    <row r="1081" spans="15:34" hidden="1" x14ac:dyDescent="0.25">
      <c r="O1081" s="4" t="s">
        <v>1510</v>
      </c>
      <c r="P1081"/>
      <c r="AA1081" s="19">
        <f t="shared" si="71"/>
        <v>44179</v>
      </c>
      <c r="AB1081" s="20">
        <f t="shared" si="68"/>
        <v>2</v>
      </c>
      <c r="AC1081" s="21">
        <f t="shared" si="69"/>
        <v>2</v>
      </c>
      <c r="AD1081" s="22" t="str">
        <f t="shared" si="70"/>
        <v>ÚTIL</v>
      </c>
      <c r="AE1081" s="25"/>
      <c r="AF1081" s="9"/>
      <c r="AG1081" s="9"/>
      <c r="AH1081" s="9"/>
    </row>
    <row r="1082" spans="15:34" hidden="1" x14ac:dyDescent="0.25">
      <c r="O1082" s="4" t="s">
        <v>1511</v>
      </c>
      <c r="P1082"/>
      <c r="AA1082" s="19">
        <f t="shared" si="71"/>
        <v>44180</v>
      </c>
      <c r="AB1082" s="20">
        <f t="shared" si="68"/>
        <v>3</v>
      </c>
      <c r="AC1082" s="21">
        <f t="shared" si="69"/>
        <v>3</v>
      </c>
      <c r="AD1082" s="22" t="str">
        <f t="shared" si="70"/>
        <v>ÚTIL</v>
      </c>
      <c r="AE1082" s="25"/>
      <c r="AF1082" s="9"/>
      <c r="AG1082" s="9"/>
      <c r="AH1082" s="9"/>
    </row>
    <row r="1083" spans="15:34" hidden="1" x14ac:dyDescent="0.25">
      <c r="O1083" s="4" t="s">
        <v>1512</v>
      </c>
      <c r="P1083"/>
      <c r="AA1083" s="19">
        <f t="shared" si="71"/>
        <v>44181</v>
      </c>
      <c r="AB1083" s="20">
        <f t="shared" si="68"/>
        <v>4</v>
      </c>
      <c r="AC1083" s="21">
        <f t="shared" si="69"/>
        <v>4</v>
      </c>
      <c r="AD1083" s="22" t="str">
        <f t="shared" si="70"/>
        <v>ÚTIL</v>
      </c>
      <c r="AE1083" s="25"/>
      <c r="AF1083" s="9"/>
      <c r="AG1083" s="9"/>
      <c r="AH1083" s="9"/>
    </row>
    <row r="1084" spans="15:34" hidden="1" x14ac:dyDescent="0.25">
      <c r="O1084" s="4" t="s">
        <v>1513</v>
      </c>
      <c r="P1084"/>
      <c r="AA1084" s="19">
        <f t="shared" si="71"/>
        <v>44182</v>
      </c>
      <c r="AB1084" s="20">
        <f t="shared" si="68"/>
        <v>5</v>
      </c>
      <c r="AC1084" s="21">
        <f t="shared" si="69"/>
        <v>5</v>
      </c>
      <c r="AD1084" s="22" t="str">
        <f t="shared" si="70"/>
        <v>ÚTIL</v>
      </c>
      <c r="AE1084" s="25"/>
      <c r="AF1084" s="9"/>
      <c r="AG1084" s="9"/>
      <c r="AH1084" s="9"/>
    </row>
    <row r="1085" spans="15:34" hidden="1" x14ac:dyDescent="0.25">
      <c r="O1085" s="4" t="s">
        <v>1514</v>
      </c>
      <c r="P1085"/>
      <c r="AA1085" s="19">
        <f t="shared" si="71"/>
        <v>44183</v>
      </c>
      <c r="AB1085" s="20">
        <f t="shared" si="68"/>
        <v>6</v>
      </c>
      <c r="AC1085" s="21">
        <f t="shared" si="69"/>
        <v>6</v>
      </c>
      <c r="AD1085" s="22" t="str">
        <f t="shared" si="70"/>
        <v>ÚTIL</v>
      </c>
      <c r="AE1085" s="25"/>
      <c r="AF1085" s="9"/>
      <c r="AG1085" s="9"/>
      <c r="AH1085" s="9"/>
    </row>
    <row r="1086" spans="15:34" hidden="1" x14ac:dyDescent="0.25">
      <c r="O1086" s="4" t="s">
        <v>1515</v>
      </c>
      <c r="P1086"/>
      <c r="AA1086" s="19">
        <f t="shared" si="71"/>
        <v>44184</v>
      </c>
      <c r="AB1086" s="20">
        <f t="shared" si="68"/>
        <v>7</v>
      </c>
      <c r="AC1086" s="21">
        <f t="shared" si="69"/>
        <v>7</v>
      </c>
      <c r="AD1086" s="22" t="str">
        <f t="shared" si="70"/>
        <v>NÃO ÚTIL</v>
      </c>
      <c r="AE1086" s="25"/>
      <c r="AF1086" s="9"/>
      <c r="AG1086" s="9"/>
      <c r="AH1086" s="9"/>
    </row>
    <row r="1087" spans="15:34" hidden="1" x14ac:dyDescent="0.25">
      <c r="O1087" s="4" t="s">
        <v>1516</v>
      </c>
      <c r="P1087"/>
      <c r="AA1087" s="19">
        <f t="shared" si="71"/>
        <v>44185</v>
      </c>
      <c r="AB1087" s="20">
        <f t="shared" si="68"/>
        <v>1</v>
      </c>
      <c r="AC1087" s="21">
        <f t="shared" si="69"/>
        <v>1</v>
      </c>
      <c r="AD1087" s="22" t="str">
        <f t="shared" si="70"/>
        <v>NÃO ÚTIL</v>
      </c>
      <c r="AE1087" s="25"/>
      <c r="AF1087" s="9"/>
      <c r="AG1087" s="9"/>
      <c r="AH1087" s="9"/>
    </row>
    <row r="1088" spans="15:34" hidden="1" x14ac:dyDescent="0.25">
      <c r="O1088" s="4" t="s">
        <v>1517</v>
      </c>
      <c r="P1088"/>
      <c r="AA1088" s="19">
        <f t="shared" si="71"/>
        <v>44186</v>
      </c>
      <c r="AB1088" s="20">
        <f t="shared" si="68"/>
        <v>2</v>
      </c>
      <c r="AC1088" s="21">
        <f t="shared" si="69"/>
        <v>2</v>
      </c>
      <c r="AD1088" s="22" t="str">
        <f t="shared" si="70"/>
        <v>ÚTIL</v>
      </c>
      <c r="AE1088" s="25"/>
      <c r="AF1088" s="9"/>
      <c r="AG1088" s="9"/>
      <c r="AH1088" s="9"/>
    </row>
    <row r="1089" spans="15:34" hidden="1" x14ac:dyDescent="0.25">
      <c r="O1089" s="4" t="s">
        <v>1518</v>
      </c>
      <c r="P1089"/>
      <c r="AA1089" s="19">
        <f t="shared" si="71"/>
        <v>44187</v>
      </c>
      <c r="AB1089" s="20">
        <f t="shared" si="68"/>
        <v>3</v>
      </c>
      <c r="AC1089" s="21">
        <f t="shared" si="69"/>
        <v>3</v>
      </c>
      <c r="AD1089" s="22" t="str">
        <f t="shared" si="70"/>
        <v>ÚTIL</v>
      </c>
      <c r="AE1089" s="25"/>
      <c r="AF1089" s="9"/>
      <c r="AG1089" s="9"/>
      <c r="AH1089" s="9"/>
    </row>
    <row r="1090" spans="15:34" hidden="1" x14ac:dyDescent="0.25">
      <c r="O1090" s="4" t="s">
        <v>1519</v>
      </c>
      <c r="P1090"/>
      <c r="AA1090" s="19">
        <f t="shared" si="71"/>
        <v>44188</v>
      </c>
      <c r="AB1090" s="20">
        <f t="shared" si="68"/>
        <v>4</v>
      </c>
      <c r="AC1090" s="21">
        <f t="shared" si="69"/>
        <v>4</v>
      </c>
      <c r="AD1090" s="22" t="str">
        <f t="shared" si="70"/>
        <v>ÚTIL</v>
      </c>
      <c r="AE1090" s="25"/>
      <c r="AF1090" s="9"/>
      <c r="AG1090" s="9"/>
      <c r="AH1090" s="9"/>
    </row>
    <row r="1091" spans="15:34" hidden="1" x14ac:dyDescent="0.25">
      <c r="O1091" s="4" t="s">
        <v>1520</v>
      </c>
      <c r="P1091"/>
      <c r="AA1091" s="19">
        <f t="shared" si="71"/>
        <v>44189</v>
      </c>
      <c r="AB1091" s="20">
        <f t="shared" ref="AB1091:AB1098" si="72">AC1091</f>
        <v>5</v>
      </c>
      <c r="AC1091" s="21">
        <f t="shared" ref="AC1091:AC1098" si="73">WEEKDAY(AA1091)</f>
        <v>5</v>
      </c>
      <c r="AD1091" s="22" t="str">
        <f t="shared" ref="AD1091:AD1098" si="74">IF(WORKDAY(AA1091-1,1,$AE$3:$AE$14)=AA1091,"ÚTIL","NÃO ÚTIL")</f>
        <v>ÚTIL</v>
      </c>
      <c r="AE1091" s="25"/>
      <c r="AF1091" s="9"/>
      <c r="AG1091" s="9"/>
      <c r="AH1091" s="9"/>
    </row>
    <row r="1092" spans="15:34" hidden="1" x14ac:dyDescent="0.25">
      <c r="O1092" s="4" t="s">
        <v>1521</v>
      </c>
      <c r="P1092"/>
      <c r="AA1092" s="19">
        <f t="shared" ref="AA1092:AA1098" si="75">AA1091+1</f>
        <v>44190</v>
      </c>
      <c r="AB1092" s="20">
        <f t="shared" si="72"/>
        <v>6</v>
      </c>
      <c r="AC1092" s="21">
        <f t="shared" si="73"/>
        <v>6</v>
      </c>
      <c r="AD1092" s="22" t="str">
        <f t="shared" si="74"/>
        <v>ÚTIL</v>
      </c>
      <c r="AE1092" s="25"/>
      <c r="AF1092" s="9"/>
      <c r="AG1092" s="9"/>
      <c r="AH1092" s="9"/>
    </row>
    <row r="1093" spans="15:34" hidden="1" x14ac:dyDescent="0.25">
      <c r="O1093" s="4" t="s">
        <v>1522</v>
      </c>
      <c r="P1093"/>
      <c r="AA1093" s="19">
        <f t="shared" si="75"/>
        <v>44191</v>
      </c>
      <c r="AB1093" s="20">
        <f t="shared" si="72"/>
        <v>7</v>
      </c>
      <c r="AC1093" s="21">
        <f t="shared" si="73"/>
        <v>7</v>
      </c>
      <c r="AD1093" s="22" t="str">
        <f t="shared" si="74"/>
        <v>NÃO ÚTIL</v>
      </c>
      <c r="AE1093" s="25"/>
      <c r="AF1093" s="9"/>
      <c r="AG1093" s="9"/>
      <c r="AH1093" s="9"/>
    </row>
    <row r="1094" spans="15:34" hidden="1" x14ac:dyDescent="0.25">
      <c r="O1094" s="4" t="s">
        <v>1523</v>
      </c>
      <c r="P1094"/>
      <c r="AA1094" s="19">
        <f t="shared" si="75"/>
        <v>44192</v>
      </c>
      <c r="AB1094" s="20">
        <f t="shared" si="72"/>
        <v>1</v>
      </c>
      <c r="AC1094" s="21">
        <f t="shared" si="73"/>
        <v>1</v>
      </c>
      <c r="AD1094" s="22" t="str">
        <f t="shared" si="74"/>
        <v>NÃO ÚTIL</v>
      </c>
      <c r="AE1094" s="25"/>
      <c r="AF1094" s="9"/>
      <c r="AG1094" s="9"/>
      <c r="AH1094" s="9"/>
    </row>
    <row r="1095" spans="15:34" hidden="1" x14ac:dyDescent="0.25">
      <c r="O1095" s="4" t="s">
        <v>1524</v>
      </c>
      <c r="P1095"/>
      <c r="AA1095" s="19">
        <f t="shared" si="75"/>
        <v>44193</v>
      </c>
      <c r="AB1095" s="20">
        <f t="shared" si="72"/>
        <v>2</v>
      </c>
      <c r="AC1095" s="21">
        <f t="shared" si="73"/>
        <v>2</v>
      </c>
      <c r="AD1095" s="22" t="str">
        <f t="shared" si="74"/>
        <v>ÚTIL</v>
      </c>
      <c r="AE1095" s="25"/>
      <c r="AF1095" s="9"/>
      <c r="AG1095" s="9"/>
      <c r="AH1095" s="9"/>
    </row>
    <row r="1096" spans="15:34" hidden="1" x14ac:dyDescent="0.25">
      <c r="O1096" s="4" t="s">
        <v>1525</v>
      </c>
      <c r="P1096"/>
      <c r="AA1096" s="19">
        <f t="shared" si="75"/>
        <v>44194</v>
      </c>
      <c r="AB1096" s="20">
        <f t="shared" si="72"/>
        <v>3</v>
      </c>
      <c r="AC1096" s="21">
        <f t="shared" si="73"/>
        <v>3</v>
      </c>
      <c r="AD1096" s="22" t="str">
        <f t="shared" si="74"/>
        <v>ÚTIL</v>
      </c>
      <c r="AE1096" s="25"/>
      <c r="AF1096" s="9"/>
      <c r="AG1096" s="9"/>
      <c r="AH1096" s="9"/>
    </row>
    <row r="1097" spans="15:34" hidden="1" x14ac:dyDescent="0.25">
      <c r="O1097" s="4" t="s">
        <v>1526</v>
      </c>
      <c r="P1097"/>
      <c r="AA1097" s="19">
        <f t="shared" si="75"/>
        <v>44195</v>
      </c>
      <c r="AB1097" s="20">
        <f t="shared" si="72"/>
        <v>4</v>
      </c>
      <c r="AC1097" s="21">
        <f t="shared" si="73"/>
        <v>4</v>
      </c>
      <c r="AD1097" s="22" t="str">
        <f t="shared" si="74"/>
        <v>ÚTIL</v>
      </c>
      <c r="AE1097" s="25"/>
      <c r="AF1097" s="9"/>
      <c r="AG1097" s="9"/>
      <c r="AH1097" s="9"/>
    </row>
    <row r="1098" spans="15:34" hidden="1" x14ac:dyDescent="0.25">
      <c r="O1098" s="4" t="s">
        <v>1527</v>
      </c>
      <c r="P1098"/>
      <c r="AA1098" s="19">
        <f t="shared" si="75"/>
        <v>44196</v>
      </c>
      <c r="AB1098" s="20">
        <f t="shared" si="72"/>
        <v>5</v>
      </c>
      <c r="AC1098" s="21">
        <f t="shared" si="73"/>
        <v>5</v>
      </c>
      <c r="AD1098" s="22" t="str">
        <f t="shared" si="74"/>
        <v>ÚTIL</v>
      </c>
      <c r="AE1098" s="25"/>
      <c r="AF1098" s="9"/>
      <c r="AG1098" s="9"/>
      <c r="AH1098" s="9"/>
    </row>
    <row r="1099" spans="15:34" hidden="1" x14ac:dyDescent="0.25">
      <c r="O1099" s="4" t="s">
        <v>1528</v>
      </c>
      <c r="P1099"/>
    </row>
    <row r="1100" spans="15:34" hidden="1" x14ac:dyDescent="0.25">
      <c r="O1100" s="4" t="s">
        <v>1529</v>
      </c>
      <c r="P1100"/>
    </row>
    <row r="1101" spans="15:34" hidden="1" x14ac:dyDescent="0.25">
      <c r="O1101" s="4" t="s">
        <v>1530</v>
      </c>
      <c r="P1101"/>
    </row>
    <row r="1102" spans="15:34" hidden="1" x14ac:dyDescent="0.25">
      <c r="O1102" s="4" t="s">
        <v>1531</v>
      </c>
      <c r="P1102"/>
    </row>
    <row r="1103" spans="15:34" hidden="1" x14ac:dyDescent="0.25">
      <c r="O1103" s="4" t="s">
        <v>1532</v>
      </c>
      <c r="P1103"/>
    </row>
    <row r="1104" spans="15:34" hidden="1" x14ac:dyDescent="0.25">
      <c r="O1104" s="4" t="s">
        <v>1533</v>
      </c>
      <c r="P1104"/>
    </row>
    <row r="1105" spans="15:16" hidden="1" x14ac:dyDescent="0.25">
      <c r="O1105" s="4" t="s">
        <v>1534</v>
      </c>
      <c r="P1105"/>
    </row>
    <row r="1106" spans="15:16" hidden="1" x14ac:dyDescent="0.25">
      <c r="O1106" s="4" t="s">
        <v>1535</v>
      </c>
      <c r="P1106"/>
    </row>
    <row r="1107" spans="15:16" hidden="1" x14ac:dyDescent="0.25">
      <c r="O1107" s="4" t="s">
        <v>1536</v>
      </c>
      <c r="P1107"/>
    </row>
    <row r="1108" spans="15:16" hidden="1" x14ac:dyDescent="0.25">
      <c r="O1108" s="4" t="s">
        <v>1537</v>
      </c>
      <c r="P1108"/>
    </row>
    <row r="1109" spans="15:16" hidden="1" x14ac:dyDescent="0.25">
      <c r="O1109" s="4" t="s">
        <v>1538</v>
      </c>
      <c r="P1109"/>
    </row>
    <row r="1110" spans="15:16" hidden="1" x14ac:dyDescent="0.25">
      <c r="O1110" s="4" t="s">
        <v>1539</v>
      </c>
      <c r="P1110"/>
    </row>
    <row r="1111" spans="15:16" hidden="1" x14ac:dyDescent="0.25">
      <c r="O1111" s="4" t="s">
        <v>1540</v>
      </c>
      <c r="P1111"/>
    </row>
    <row r="1112" spans="15:16" hidden="1" x14ac:dyDescent="0.25">
      <c r="O1112" s="4" t="s">
        <v>1541</v>
      </c>
      <c r="P1112"/>
    </row>
    <row r="1113" spans="15:16" hidden="1" x14ac:dyDescent="0.25">
      <c r="O1113" s="4" t="s">
        <v>1542</v>
      </c>
      <c r="P1113"/>
    </row>
    <row r="1114" spans="15:16" hidden="1" x14ac:dyDescent="0.25">
      <c r="O1114" s="4" t="s">
        <v>1543</v>
      </c>
      <c r="P1114"/>
    </row>
    <row r="1115" spans="15:16" hidden="1" x14ac:dyDescent="0.25">
      <c r="O1115" s="4" t="s">
        <v>1544</v>
      </c>
      <c r="P1115"/>
    </row>
    <row r="1116" spans="15:16" hidden="1" x14ac:dyDescent="0.25">
      <c r="O1116" s="4" t="s">
        <v>1545</v>
      </c>
      <c r="P1116"/>
    </row>
    <row r="1117" spans="15:16" hidden="1" x14ac:dyDescent="0.25">
      <c r="O1117" s="4" t="s">
        <v>1546</v>
      </c>
      <c r="P1117"/>
    </row>
    <row r="1118" spans="15:16" hidden="1" x14ac:dyDescent="0.25">
      <c r="O1118" s="4" t="s">
        <v>1547</v>
      </c>
      <c r="P1118"/>
    </row>
    <row r="1119" spans="15:16" hidden="1" x14ac:dyDescent="0.25">
      <c r="O1119" s="4" t="s">
        <v>1548</v>
      </c>
      <c r="P1119"/>
    </row>
    <row r="1120" spans="15:16" hidden="1" x14ac:dyDescent="0.25">
      <c r="O1120" s="4" t="s">
        <v>1549</v>
      </c>
      <c r="P1120"/>
    </row>
    <row r="1121" spans="15:16" hidden="1" x14ac:dyDescent="0.25">
      <c r="O1121" s="4" t="s">
        <v>1550</v>
      </c>
      <c r="P1121"/>
    </row>
    <row r="1122" spans="15:16" hidden="1" x14ac:dyDescent="0.25">
      <c r="O1122" s="4" t="s">
        <v>1551</v>
      </c>
      <c r="P1122"/>
    </row>
    <row r="1123" spans="15:16" hidden="1" x14ac:dyDescent="0.25">
      <c r="O1123" s="4" t="s">
        <v>1552</v>
      </c>
      <c r="P1123"/>
    </row>
    <row r="1124" spans="15:16" hidden="1" x14ac:dyDescent="0.25">
      <c r="O1124" s="4" t="s">
        <v>1553</v>
      </c>
      <c r="P1124"/>
    </row>
    <row r="1125" spans="15:16" hidden="1" x14ac:dyDescent="0.25">
      <c r="O1125" s="4" t="s">
        <v>1554</v>
      </c>
      <c r="P1125"/>
    </row>
    <row r="1126" spans="15:16" hidden="1" x14ac:dyDescent="0.25">
      <c r="O1126" s="4" t="s">
        <v>1555</v>
      </c>
      <c r="P1126"/>
    </row>
    <row r="1127" spans="15:16" hidden="1" x14ac:dyDescent="0.25">
      <c r="O1127" s="4" t="s">
        <v>1556</v>
      </c>
      <c r="P1127"/>
    </row>
    <row r="1128" spans="15:16" hidden="1" x14ac:dyDescent="0.25">
      <c r="O1128" s="4" t="s">
        <v>1557</v>
      </c>
      <c r="P1128"/>
    </row>
    <row r="1129" spans="15:16" hidden="1" x14ac:dyDescent="0.25">
      <c r="O1129" s="4" t="s">
        <v>1558</v>
      </c>
      <c r="P1129"/>
    </row>
    <row r="1130" spans="15:16" hidden="1" x14ac:dyDescent="0.25">
      <c r="O1130" s="4" t="s">
        <v>1559</v>
      </c>
      <c r="P1130"/>
    </row>
    <row r="1131" spans="15:16" hidden="1" x14ac:dyDescent="0.25">
      <c r="O1131" s="4" t="s">
        <v>1560</v>
      </c>
      <c r="P1131"/>
    </row>
    <row r="1132" spans="15:16" hidden="1" x14ac:dyDescent="0.25">
      <c r="O1132" s="4" t="s">
        <v>1561</v>
      </c>
      <c r="P1132"/>
    </row>
    <row r="1133" spans="15:16" hidden="1" x14ac:dyDescent="0.25">
      <c r="O1133" s="4" t="s">
        <v>1562</v>
      </c>
      <c r="P1133"/>
    </row>
    <row r="1134" spans="15:16" hidden="1" x14ac:dyDescent="0.25">
      <c r="O1134" s="4" t="s">
        <v>1563</v>
      </c>
      <c r="P1134"/>
    </row>
    <row r="1135" spans="15:16" hidden="1" x14ac:dyDescent="0.25">
      <c r="O1135" s="4" t="s">
        <v>1564</v>
      </c>
      <c r="P1135"/>
    </row>
    <row r="1136" spans="15:16" hidden="1" x14ac:dyDescent="0.25">
      <c r="O1136" s="4" t="s">
        <v>1565</v>
      </c>
      <c r="P1136"/>
    </row>
    <row r="1137" spans="15:16" hidden="1" x14ac:dyDescent="0.25">
      <c r="O1137" s="4" t="s">
        <v>1566</v>
      </c>
      <c r="P1137"/>
    </row>
    <row r="1138" spans="15:16" hidden="1" x14ac:dyDescent="0.25">
      <c r="O1138" s="4" t="s">
        <v>1567</v>
      </c>
      <c r="P1138"/>
    </row>
    <row r="1139" spans="15:16" hidden="1" x14ac:dyDescent="0.25">
      <c r="O1139" s="4" t="s">
        <v>1568</v>
      </c>
      <c r="P1139"/>
    </row>
    <row r="1140" spans="15:16" hidden="1" x14ac:dyDescent="0.25">
      <c r="O1140" s="4" t="s">
        <v>1569</v>
      </c>
      <c r="P1140"/>
    </row>
    <row r="1141" spans="15:16" hidden="1" x14ac:dyDescent="0.25">
      <c r="O1141" s="4" t="s">
        <v>1570</v>
      </c>
      <c r="P1141"/>
    </row>
    <row r="1142" spans="15:16" hidden="1" x14ac:dyDescent="0.25">
      <c r="O1142" s="4" t="s">
        <v>1571</v>
      </c>
      <c r="P1142"/>
    </row>
    <row r="1143" spans="15:16" hidden="1" x14ac:dyDescent="0.25">
      <c r="O1143" s="4" t="s">
        <v>1572</v>
      </c>
      <c r="P1143"/>
    </row>
    <row r="1144" spans="15:16" hidden="1" x14ac:dyDescent="0.25">
      <c r="O1144" s="4" t="s">
        <v>1573</v>
      </c>
      <c r="P1144"/>
    </row>
    <row r="1145" spans="15:16" hidden="1" x14ac:dyDescent="0.25">
      <c r="O1145" s="4" t="s">
        <v>1574</v>
      </c>
      <c r="P1145"/>
    </row>
    <row r="1146" spans="15:16" hidden="1" x14ac:dyDescent="0.25">
      <c r="O1146" s="4" t="s">
        <v>1575</v>
      </c>
      <c r="P1146"/>
    </row>
    <row r="1147" spans="15:16" hidden="1" x14ac:dyDescent="0.25">
      <c r="O1147" s="4" t="s">
        <v>1576</v>
      </c>
      <c r="P1147"/>
    </row>
    <row r="1148" spans="15:16" hidden="1" x14ac:dyDescent="0.25">
      <c r="O1148" s="4" t="s">
        <v>1577</v>
      </c>
      <c r="P1148"/>
    </row>
    <row r="1149" spans="15:16" hidden="1" x14ac:dyDescent="0.25">
      <c r="O1149" s="4" t="s">
        <v>1578</v>
      </c>
      <c r="P1149"/>
    </row>
    <row r="1150" spans="15:16" hidden="1" x14ac:dyDescent="0.25">
      <c r="O1150" s="4" t="s">
        <v>1579</v>
      </c>
      <c r="P1150"/>
    </row>
    <row r="1151" spans="15:16" hidden="1" x14ac:dyDescent="0.25">
      <c r="O1151" s="4" t="s">
        <v>1580</v>
      </c>
      <c r="P1151"/>
    </row>
    <row r="1152" spans="15:16" hidden="1" x14ac:dyDescent="0.25">
      <c r="O1152" s="4" t="s">
        <v>1581</v>
      </c>
      <c r="P1152"/>
    </row>
    <row r="1153" spans="15:16" hidden="1" x14ac:dyDescent="0.25">
      <c r="O1153" s="4" t="s">
        <v>1582</v>
      </c>
      <c r="P1153"/>
    </row>
    <row r="1154" spans="15:16" hidden="1" x14ac:dyDescent="0.25">
      <c r="O1154" s="4" t="s">
        <v>1583</v>
      </c>
      <c r="P1154"/>
    </row>
    <row r="1155" spans="15:16" hidden="1" x14ac:dyDescent="0.25">
      <c r="O1155" s="4" t="s">
        <v>1584</v>
      </c>
      <c r="P1155"/>
    </row>
    <row r="1156" spans="15:16" hidden="1" x14ac:dyDescent="0.25">
      <c r="O1156" s="4" t="s">
        <v>1585</v>
      </c>
      <c r="P1156"/>
    </row>
    <row r="1157" spans="15:16" hidden="1" x14ac:dyDescent="0.25">
      <c r="O1157" s="4" t="s">
        <v>1586</v>
      </c>
      <c r="P1157"/>
    </row>
    <row r="1158" spans="15:16" hidden="1" x14ac:dyDescent="0.25">
      <c r="O1158" s="4" t="s">
        <v>1587</v>
      </c>
      <c r="P1158"/>
    </row>
    <row r="1159" spans="15:16" hidden="1" x14ac:dyDescent="0.25">
      <c r="O1159" s="4" t="s">
        <v>1588</v>
      </c>
      <c r="P1159"/>
    </row>
    <row r="1160" spans="15:16" hidden="1" x14ac:dyDescent="0.25">
      <c r="O1160" s="4" t="s">
        <v>1589</v>
      </c>
      <c r="P1160"/>
    </row>
    <row r="1161" spans="15:16" hidden="1" x14ac:dyDescent="0.25">
      <c r="O1161" s="4" t="s">
        <v>1590</v>
      </c>
      <c r="P1161"/>
    </row>
    <row r="1162" spans="15:16" hidden="1" x14ac:dyDescent="0.25">
      <c r="O1162" s="4" t="s">
        <v>1591</v>
      </c>
      <c r="P1162"/>
    </row>
    <row r="1163" spans="15:16" hidden="1" x14ac:dyDescent="0.25">
      <c r="O1163" s="4" t="s">
        <v>1592</v>
      </c>
      <c r="P1163"/>
    </row>
    <row r="1164" spans="15:16" hidden="1" x14ac:dyDescent="0.25">
      <c r="O1164" s="4" t="s">
        <v>1593</v>
      </c>
      <c r="P1164"/>
    </row>
    <row r="1165" spans="15:16" hidden="1" x14ac:dyDescent="0.25">
      <c r="O1165" s="4" t="s">
        <v>1594</v>
      </c>
      <c r="P1165"/>
    </row>
    <row r="1166" spans="15:16" hidden="1" x14ac:dyDescent="0.25">
      <c r="O1166" s="4" t="s">
        <v>1595</v>
      </c>
      <c r="P1166"/>
    </row>
    <row r="1167" spans="15:16" hidden="1" x14ac:dyDescent="0.25">
      <c r="O1167" s="4" t="s">
        <v>1596</v>
      </c>
      <c r="P1167"/>
    </row>
    <row r="1168" spans="15:16" hidden="1" x14ac:dyDescent="0.25">
      <c r="O1168" s="4" t="s">
        <v>1597</v>
      </c>
      <c r="P1168"/>
    </row>
    <row r="1169" spans="15:16" hidden="1" x14ac:dyDescent="0.25">
      <c r="O1169" s="4" t="s">
        <v>1598</v>
      </c>
      <c r="P1169"/>
    </row>
    <row r="1170" spans="15:16" hidden="1" x14ac:dyDescent="0.25">
      <c r="O1170" s="4" t="s">
        <v>1599</v>
      </c>
      <c r="P1170"/>
    </row>
    <row r="1171" spans="15:16" hidden="1" x14ac:dyDescent="0.25">
      <c r="O1171" s="4" t="s">
        <v>1600</v>
      </c>
      <c r="P1171"/>
    </row>
    <row r="1172" spans="15:16" hidden="1" x14ac:dyDescent="0.25">
      <c r="O1172" s="4" t="s">
        <v>1601</v>
      </c>
      <c r="P1172"/>
    </row>
    <row r="1173" spans="15:16" hidden="1" x14ac:dyDescent="0.25">
      <c r="O1173" s="4" t="s">
        <v>1602</v>
      </c>
      <c r="P1173"/>
    </row>
    <row r="1174" spans="15:16" hidden="1" x14ac:dyDescent="0.25">
      <c r="O1174" s="4" t="s">
        <v>1603</v>
      </c>
      <c r="P1174"/>
    </row>
    <row r="1175" spans="15:16" hidden="1" x14ac:dyDescent="0.25">
      <c r="O1175" s="4" t="s">
        <v>1604</v>
      </c>
      <c r="P1175"/>
    </row>
    <row r="1176" spans="15:16" hidden="1" x14ac:dyDescent="0.25">
      <c r="O1176" s="4" t="s">
        <v>1605</v>
      </c>
      <c r="P1176"/>
    </row>
    <row r="1177" spans="15:16" hidden="1" x14ac:dyDescent="0.25">
      <c r="O1177" s="4" t="s">
        <v>1606</v>
      </c>
      <c r="P1177"/>
    </row>
    <row r="1178" spans="15:16" hidden="1" x14ac:dyDescent="0.25">
      <c r="O1178" s="4" t="s">
        <v>1607</v>
      </c>
      <c r="P1178"/>
    </row>
    <row r="1179" spans="15:16" hidden="1" x14ac:dyDescent="0.25">
      <c r="O1179" s="4" t="s">
        <v>1608</v>
      </c>
      <c r="P1179"/>
    </row>
    <row r="1180" spans="15:16" hidden="1" x14ac:dyDescent="0.25">
      <c r="O1180" s="4" t="s">
        <v>1609</v>
      </c>
      <c r="P1180"/>
    </row>
    <row r="1181" spans="15:16" hidden="1" x14ac:dyDescent="0.25">
      <c r="O1181" s="4" t="s">
        <v>1610</v>
      </c>
      <c r="P1181"/>
    </row>
    <row r="1182" spans="15:16" hidden="1" x14ac:dyDescent="0.25">
      <c r="O1182" s="4" t="s">
        <v>1611</v>
      </c>
      <c r="P1182"/>
    </row>
    <row r="1183" spans="15:16" hidden="1" x14ac:dyDescent="0.25">
      <c r="O1183" s="4" t="s">
        <v>1612</v>
      </c>
      <c r="P1183"/>
    </row>
    <row r="1184" spans="15:16" hidden="1" x14ac:dyDescent="0.25">
      <c r="O1184" s="4" t="s">
        <v>1613</v>
      </c>
      <c r="P1184"/>
    </row>
    <row r="1185" spans="15:16" hidden="1" x14ac:dyDescent="0.25">
      <c r="O1185" s="4" t="s">
        <v>1614</v>
      </c>
      <c r="P1185"/>
    </row>
    <row r="1186" spans="15:16" hidden="1" x14ac:dyDescent="0.25">
      <c r="O1186" s="4" t="s">
        <v>1615</v>
      </c>
      <c r="P1186"/>
    </row>
    <row r="1187" spans="15:16" hidden="1" x14ac:dyDescent="0.25">
      <c r="O1187" s="4" t="s">
        <v>1616</v>
      </c>
      <c r="P1187"/>
    </row>
    <row r="1188" spans="15:16" hidden="1" x14ac:dyDescent="0.25">
      <c r="O1188" s="4" t="s">
        <v>1617</v>
      </c>
      <c r="P1188"/>
    </row>
    <row r="1189" spans="15:16" hidden="1" x14ac:dyDescent="0.25">
      <c r="O1189" s="4" t="s">
        <v>1618</v>
      </c>
      <c r="P1189"/>
    </row>
    <row r="1190" spans="15:16" hidden="1" x14ac:dyDescent="0.25">
      <c r="O1190" s="4" t="s">
        <v>1619</v>
      </c>
      <c r="P1190"/>
    </row>
    <row r="1191" spans="15:16" hidden="1" x14ac:dyDescent="0.25">
      <c r="O1191" s="4" t="s">
        <v>1620</v>
      </c>
      <c r="P1191"/>
    </row>
    <row r="1192" spans="15:16" hidden="1" x14ac:dyDescent="0.25">
      <c r="O1192" s="4" t="s">
        <v>1621</v>
      </c>
      <c r="P1192"/>
    </row>
    <row r="1193" spans="15:16" hidden="1" x14ac:dyDescent="0.25">
      <c r="O1193" s="4" t="s">
        <v>1622</v>
      </c>
      <c r="P1193"/>
    </row>
    <row r="1194" spans="15:16" hidden="1" x14ac:dyDescent="0.25">
      <c r="O1194" s="4" t="s">
        <v>1623</v>
      </c>
      <c r="P1194"/>
    </row>
    <row r="1195" spans="15:16" hidden="1" x14ac:dyDescent="0.25">
      <c r="O1195" s="4" t="s">
        <v>1624</v>
      </c>
      <c r="P1195"/>
    </row>
    <row r="1196" spans="15:16" hidden="1" x14ac:dyDescent="0.25">
      <c r="O1196" s="4" t="s">
        <v>1625</v>
      </c>
      <c r="P1196"/>
    </row>
    <row r="1197" spans="15:16" hidden="1" x14ac:dyDescent="0.25">
      <c r="O1197" s="4" t="s">
        <v>1626</v>
      </c>
      <c r="P1197"/>
    </row>
    <row r="1198" spans="15:16" hidden="1" x14ac:dyDescent="0.25">
      <c r="O1198" s="4" t="s">
        <v>1627</v>
      </c>
      <c r="P1198"/>
    </row>
    <row r="1199" spans="15:16" hidden="1" x14ac:dyDescent="0.25">
      <c r="O1199" s="4" t="s">
        <v>1628</v>
      </c>
      <c r="P1199"/>
    </row>
    <row r="1200" spans="15:16" hidden="1" x14ac:dyDescent="0.25">
      <c r="O1200" s="4" t="s">
        <v>1629</v>
      </c>
      <c r="P1200"/>
    </row>
    <row r="1201" spans="15:16" hidden="1" x14ac:dyDescent="0.25">
      <c r="O1201" s="4" t="s">
        <v>1630</v>
      </c>
      <c r="P1201"/>
    </row>
    <row r="1202" spans="15:16" hidden="1" x14ac:dyDescent="0.25">
      <c r="O1202" s="4" t="s">
        <v>1631</v>
      </c>
      <c r="P1202"/>
    </row>
    <row r="1203" spans="15:16" hidden="1" x14ac:dyDescent="0.25">
      <c r="O1203" s="4" t="s">
        <v>1632</v>
      </c>
      <c r="P1203"/>
    </row>
    <row r="1204" spans="15:16" hidden="1" x14ac:dyDescent="0.25">
      <c r="O1204" s="4" t="s">
        <v>1633</v>
      </c>
      <c r="P1204"/>
    </row>
    <row r="1205" spans="15:16" hidden="1" x14ac:dyDescent="0.25">
      <c r="O1205" s="4" t="s">
        <v>1634</v>
      </c>
      <c r="P1205"/>
    </row>
    <row r="1206" spans="15:16" hidden="1" x14ac:dyDescent="0.25">
      <c r="O1206" s="4" t="s">
        <v>1635</v>
      </c>
      <c r="P1206"/>
    </row>
    <row r="1207" spans="15:16" hidden="1" x14ac:dyDescent="0.25">
      <c r="O1207" s="4" t="s">
        <v>1636</v>
      </c>
      <c r="P1207"/>
    </row>
    <row r="1208" spans="15:16" hidden="1" x14ac:dyDescent="0.25">
      <c r="O1208" s="4" t="s">
        <v>1637</v>
      </c>
      <c r="P1208"/>
    </row>
    <row r="1209" spans="15:16" hidden="1" x14ac:dyDescent="0.25">
      <c r="O1209" s="4" t="s">
        <v>1638</v>
      </c>
      <c r="P1209"/>
    </row>
    <row r="1210" spans="15:16" hidden="1" x14ac:dyDescent="0.25">
      <c r="O1210" s="4" t="s">
        <v>1639</v>
      </c>
      <c r="P1210"/>
    </row>
    <row r="1211" spans="15:16" hidden="1" x14ac:dyDescent="0.25">
      <c r="O1211" s="4" t="s">
        <v>1640</v>
      </c>
      <c r="P1211"/>
    </row>
    <row r="1212" spans="15:16" hidden="1" x14ac:dyDescent="0.25">
      <c r="O1212" s="4" t="s">
        <v>1641</v>
      </c>
      <c r="P1212"/>
    </row>
    <row r="1213" spans="15:16" hidden="1" x14ac:dyDescent="0.25">
      <c r="O1213" s="4" t="s">
        <v>1642</v>
      </c>
      <c r="P1213"/>
    </row>
    <row r="1214" spans="15:16" hidden="1" x14ac:dyDescent="0.25">
      <c r="O1214" s="4" t="s">
        <v>1643</v>
      </c>
      <c r="P1214"/>
    </row>
    <row r="1215" spans="15:16" hidden="1" x14ac:dyDescent="0.25">
      <c r="O1215" s="4" t="s">
        <v>1644</v>
      </c>
      <c r="P1215"/>
    </row>
    <row r="1216" spans="15:16" hidden="1" x14ac:dyDescent="0.25">
      <c r="O1216" s="4" t="s">
        <v>1645</v>
      </c>
      <c r="P1216"/>
    </row>
    <row r="1217" spans="15:16" hidden="1" x14ac:dyDescent="0.25">
      <c r="O1217" s="4" t="s">
        <v>1646</v>
      </c>
      <c r="P1217"/>
    </row>
    <row r="1218" spans="15:16" hidden="1" x14ac:dyDescent="0.25">
      <c r="O1218" s="4" t="s">
        <v>1647</v>
      </c>
      <c r="P1218"/>
    </row>
    <row r="1219" spans="15:16" hidden="1" x14ac:dyDescent="0.25">
      <c r="O1219" s="4" t="s">
        <v>1648</v>
      </c>
      <c r="P1219"/>
    </row>
    <row r="1220" spans="15:16" hidden="1" x14ac:dyDescent="0.25">
      <c r="O1220" s="4" t="s">
        <v>1649</v>
      </c>
      <c r="P1220"/>
    </row>
    <row r="1221" spans="15:16" hidden="1" x14ac:dyDescent="0.25">
      <c r="O1221" s="4" t="s">
        <v>1650</v>
      </c>
      <c r="P1221"/>
    </row>
    <row r="1222" spans="15:16" hidden="1" x14ac:dyDescent="0.25">
      <c r="O1222" s="4" t="s">
        <v>1651</v>
      </c>
      <c r="P1222"/>
    </row>
    <row r="1223" spans="15:16" hidden="1" x14ac:dyDescent="0.25">
      <c r="O1223" s="4" t="s">
        <v>1652</v>
      </c>
      <c r="P1223"/>
    </row>
    <row r="1224" spans="15:16" hidden="1" x14ac:dyDescent="0.25">
      <c r="O1224" s="4" t="s">
        <v>1653</v>
      </c>
      <c r="P1224"/>
    </row>
    <row r="1225" spans="15:16" hidden="1" x14ac:dyDescent="0.25">
      <c r="O1225" s="4" t="s">
        <v>1654</v>
      </c>
      <c r="P1225"/>
    </row>
    <row r="1226" spans="15:16" hidden="1" x14ac:dyDescent="0.25">
      <c r="O1226" s="4" t="s">
        <v>1655</v>
      </c>
      <c r="P1226"/>
    </row>
    <row r="1227" spans="15:16" hidden="1" x14ac:dyDescent="0.25">
      <c r="O1227" s="4" t="s">
        <v>1656</v>
      </c>
      <c r="P1227"/>
    </row>
    <row r="1228" spans="15:16" hidden="1" x14ac:dyDescent="0.25">
      <c r="O1228" s="4" t="s">
        <v>1657</v>
      </c>
      <c r="P1228"/>
    </row>
    <row r="1229" spans="15:16" hidden="1" x14ac:dyDescent="0.25">
      <c r="O1229" s="4" t="s">
        <v>1658</v>
      </c>
      <c r="P1229"/>
    </row>
    <row r="1230" spans="15:16" hidden="1" x14ac:dyDescent="0.25">
      <c r="O1230" s="4" t="s">
        <v>1659</v>
      </c>
      <c r="P1230"/>
    </row>
    <row r="1231" spans="15:16" hidden="1" x14ac:dyDescent="0.25">
      <c r="O1231" s="4" t="s">
        <v>1660</v>
      </c>
      <c r="P1231"/>
    </row>
    <row r="1232" spans="15:16" hidden="1" x14ac:dyDescent="0.25">
      <c r="O1232" s="4" t="s">
        <v>1661</v>
      </c>
      <c r="P1232"/>
    </row>
    <row r="1233" spans="15:16" hidden="1" x14ac:dyDescent="0.25">
      <c r="O1233" s="4" t="s">
        <v>1662</v>
      </c>
      <c r="P1233"/>
    </row>
    <row r="1234" spans="15:16" hidden="1" x14ac:dyDescent="0.25">
      <c r="O1234" s="4" t="s">
        <v>1663</v>
      </c>
      <c r="P1234"/>
    </row>
    <row r="1235" spans="15:16" hidden="1" x14ac:dyDescent="0.25">
      <c r="O1235" s="4" t="s">
        <v>1664</v>
      </c>
      <c r="P1235"/>
    </row>
    <row r="1236" spans="15:16" hidden="1" x14ac:dyDescent="0.25">
      <c r="O1236" s="4" t="s">
        <v>1665</v>
      </c>
      <c r="P1236"/>
    </row>
    <row r="1237" spans="15:16" hidden="1" x14ac:dyDescent="0.25">
      <c r="O1237" s="4" t="s">
        <v>1666</v>
      </c>
      <c r="P1237"/>
    </row>
    <row r="1238" spans="15:16" hidden="1" x14ac:dyDescent="0.25">
      <c r="O1238" s="4" t="s">
        <v>1667</v>
      </c>
      <c r="P1238"/>
    </row>
    <row r="1239" spans="15:16" hidden="1" x14ac:dyDescent="0.25">
      <c r="O1239" s="4" t="s">
        <v>1668</v>
      </c>
      <c r="P1239"/>
    </row>
    <row r="1240" spans="15:16" hidden="1" x14ac:dyDescent="0.25">
      <c r="O1240" s="4" t="s">
        <v>1669</v>
      </c>
      <c r="P1240"/>
    </row>
    <row r="1241" spans="15:16" hidden="1" x14ac:dyDescent="0.25">
      <c r="O1241" s="4" t="s">
        <v>1670</v>
      </c>
      <c r="P1241"/>
    </row>
    <row r="1242" spans="15:16" hidden="1" x14ac:dyDescent="0.25">
      <c r="O1242" s="4" t="s">
        <v>1671</v>
      </c>
      <c r="P1242"/>
    </row>
    <row r="1243" spans="15:16" hidden="1" x14ac:dyDescent="0.25">
      <c r="O1243" s="4" t="s">
        <v>1672</v>
      </c>
      <c r="P1243"/>
    </row>
    <row r="1244" spans="15:16" hidden="1" x14ac:dyDescent="0.25">
      <c r="O1244" s="4" t="s">
        <v>1673</v>
      </c>
      <c r="P1244"/>
    </row>
    <row r="1245" spans="15:16" hidden="1" x14ac:dyDescent="0.25">
      <c r="O1245" s="4" t="s">
        <v>1674</v>
      </c>
      <c r="P1245"/>
    </row>
    <row r="1246" spans="15:16" hidden="1" x14ac:dyDescent="0.25">
      <c r="O1246" s="4" t="s">
        <v>1675</v>
      </c>
      <c r="P1246"/>
    </row>
    <row r="1247" spans="15:16" hidden="1" x14ac:dyDescent="0.25">
      <c r="O1247" s="4" t="s">
        <v>1676</v>
      </c>
      <c r="P1247"/>
    </row>
    <row r="1248" spans="15:16" hidden="1" x14ac:dyDescent="0.25">
      <c r="O1248" s="4" t="s">
        <v>1677</v>
      </c>
      <c r="P1248"/>
    </row>
    <row r="1249" spans="15:16" hidden="1" x14ac:dyDescent="0.25">
      <c r="O1249" s="4" t="s">
        <v>1678</v>
      </c>
      <c r="P1249"/>
    </row>
    <row r="1250" spans="15:16" hidden="1" x14ac:dyDescent="0.25">
      <c r="O1250" s="4" t="s">
        <v>1679</v>
      </c>
      <c r="P1250"/>
    </row>
    <row r="1251" spans="15:16" hidden="1" x14ac:dyDescent="0.25">
      <c r="O1251" s="4" t="s">
        <v>1680</v>
      </c>
      <c r="P1251"/>
    </row>
    <row r="1252" spans="15:16" hidden="1" x14ac:dyDescent="0.25">
      <c r="O1252" s="4" t="s">
        <v>1681</v>
      </c>
      <c r="P1252"/>
    </row>
    <row r="1253" spans="15:16" hidden="1" x14ac:dyDescent="0.25">
      <c r="O1253" s="4" t="s">
        <v>1682</v>
      </c>
      <c r="P1253"/>
    </row>
    <row r="1254" spans="15:16" hidden="1" x14ac:dyDescent="0.25">
      <c r="O1254" s="4" t="s">
        <v>1683</v>
      </c>
      <c r="P1254"/>
    </row>
    <row r="1255" spans="15:16" hidden="1" x14ac:dyDescent="0.25">
      <c r="O1255" s="4" t="s">
        <v>1684</v>
      </c>
      <c r="P1255"/>
    </row>
    <row r="1256" spans="15:16" hidden="1" x14ac:dyDescent="0.25">
      <c r="O1256" s="4" t="s">
        <v>1685</v>
      </c>
      <c r="P1256"/>
    </row>
    <row r="1257" spans="15:16" hidden="1" x14ac:dyDescent="0.25">
      <c r="O1257" s="4" t="s">
        <v>1686</v>
      </c>
      <c r="P1257"/>
    </row>
    <row r="1258" spans="15:16" hidden="1" x14ac:dyDescent="0.25">
      <c r="O1258" s="4" t="s">
        <v>1687</v>
      </c>
      <c r="P1258"/>
    </row>
    <row r="1259" spans="15:16" hidden="1" x14ac:dyDescent="0.25">
      <c r="O1259" s="4" t="s">
        <v>1688</v>
      </c>
      <c r="P1259"/>
    </row>
    <row r="1260" spans="15:16" hidden="1" x14ac:dyDescent="0.25">
      <c r="O1260" s="4" t="s">
        <v>1689</v>
      </c>
      <c r="P1260"/>
    </row>
    <row r="1261" spans="15:16" hidden="1" x14ac:dyDescent="0.25">
      <c r="O1261" s="4" t="s">
        <v>1690</v>
      </c>
      <c r="P1261"/>
    </row>
    <row r="1262" spans="15:16" hidden="1" x14ac:dyDescent="0.25">
      <c r="O1262" s="4" t="s">
        <v>1691</v>
      </c>
      <c r="P1262"/>
    </row>
    <row r="1263" spans="15:16" hidden="1" x14ac:dyDescent="0.25">
      <c r="O1263" s="4" t="s">
        <v>1692</v>
      </c>
      <c r="P1263"/>
    </row>
    <row r="1264" spans="15:16" hidden="1" x14ac:dyDescent="0.25">
      <c r="O1264" s="4" t="s">
        <v>1693</v>
      </c>
      <c r="P1264"/>
    </row>
    <row r="1265" spans="15:16" hidden="1" x14ac:dyDescent="0.25">
      <c r="O1265" s="4" t="s">
        <v>1694</v>
      </c>
      <c r="P1265"/>
    </row>
    <row r="1266" spans="15:16" hidden="1" x14ac:dyDescent="0.25">
      <c r="O1266" s="4" t="s">
        <v>1695</v>
      </c>
      <c r="P1266"/>
    </row>
    <row r="1267" spans="15:16" hidden="1" x14ac:dyDescent="0.25">
      <c r="O1267" s="4" t="s">
        <v>1696</v>
      </c>
      <c r="P1267"/>
    </row>
    <row r="1268" spans="15:16" hidden="1" x14ac:dyDescent="0.25">
      <c r="O1268" s="4" t="s">
        <v>1697</v>
      </c>
      <c r="P1268"/>
    </row>
    <row r="1269" spans="15:16" hidden="1" x14ac:dyDescent="0.25">
      <c r="O1269" s="4" t="s">
        <v>1698</v>
      </c>
      <c r="P1269"/>
    </row>
    <row r="1270" spans="15:16" hidden="1" x14ac:dyDescent="0.25">
      <c r="O1270" s="4" t="s">
        <v>1699</v>
      </c>
      <c r="P1270"/>
    </row>
    <row r="1271" spans="15:16" hidden="1" x14ac:dyDescent="0.25">
      <c r="O1271" s="4" t="s">
        <v>1700</v>
      </c>
      <c r="P1271"/>
    </row>
    <row r="1272" spans="15:16" hidden="1" x14ac:dyDescent="0.25">
      <c r="O1272" s="4" t="s">
        <v>1701</v>
      </c>
      <c r="P1272"/>
    </row>
    <row r="1273" spans="15:16" hidden="1" x14ac:dyDescent="0.25">
      <c r="O1273" s="4" t="s">
        <v>1702</v>
      </c>
      <c r="P1273"/>
    </row>
    <row r="1274" spans="15:16" hidden="1" x14ac:dyDescent="0.25">
      <c r="O1274" s="4" t="s">
        <v>1703</v>
      </c>
      <c r="P1274"/>
    </row>
    <row r="1275" spans="15:16" hidden="1" x14ac:dyDescent="0.25">
      <c r="O1275" s="4" t="s">
        <v>1704</v>
      </c>
      <c r="P1275"/>
    </row>
    <row r="1276" spans="15:16" hidden="1" x14ac:dyDescent="0.25">
      <c r="O1276" s="4" t="s">
        <v>1705</v>
      </c>
      <c r="P1276"/>
    </row>
    <row r="1277" spans="15:16" hidden="1" x14ac:dyDescent="0.25">
      <c r="O1277" s="4" t="s">
        <v>1706</v>
      </c>
      <c r="P1277"/>
    </row>
    <row r="1278" spans="15:16" hidden="1" x14ac:dyDescent="0.25">
      <c r="O1278" s="4" t="s">
        <v>1707</v>
      </c>
      <c r="P1278"/>
    </row>
    <row r="1279" spans="15:16" hidden="1" x14ac:dyDescent="0.25">
      <c r="O1279" s="4" t="s">
        <v>1708</v>
      </c>
      <c r="P1279"/>
    </row>
    <row r="1280" spans="15:16" hidden="1" x14ac:dyDescent="0.25">
      <c r="O1280" s="4" t="s">
        <v>1709</v>
      </c>
      <c r="P1280"/>
    </row>
    <row r="1281" spans="15:16" hidden="1" x14ac:dyDescent="0.25">
      <c r="O1281" s="4" t="s">
        <v>1710</v>
      </c>
      <c r="P1281"/>
    </row>
    <row r="1282" spans="15:16" hidden="1" x14ac:dyDescent="0.25">
      <c r="O1282" s="4" t="s">
        <v>1711</v>
      </c>
      <c r="P1282"/>
    </row>
    <row r="1283" spans="15:16" hidden="1" x14ac:dyDescent="0.25">
      <c r="O1283" s="4" t="s">
        <v>1712</v>
      </c>
      <c r="P1283"/>
    </row>
    <row r="1284" spans="15:16" hidden="1" x14ac:dyDescent="0.25">
      <c r="O1284" s="4" t="s">
        <v>1713</v>
      </c>
      <c r="P1284"/>
    </row>
    <row r="1285" spans="15:16" hidden="1" x14ac:dyDescent="0.25">
      <c r="O1285" s="4" t="s">
        <v>1714</v>
      </c>
      <c r="P1285"/>
    </row>
    <row r="1286" spans="15:16" hidden="1" x14ac:dyDescent="0.25">
      <c r="O1286" s="4" t="s">
        <v>1715</v>
      </c>
      <c r="P1286"/>
    </row>
    <row r="1287" spans="15:16" hidden="1" x14ac:dyDescent="0.25">
      <c r="O1287" s="4" t="s">
        <v>1716</v>
      </c>
      <c r="P1287"/>
    </row>
    <row r="1288" spans="15:16" hidden="1" x14ac:dyDescent="0.25">
      <c r="O1288" s="4" t="s">
        <v>1717</v>
      </c>
      <c r="P1288"/>
    </row>
    <row r="1289" spans="15:16" hidden="1" x14ac:dyDescent="0.25">
      <c r="O1289" s="4" t="s">
        <v>1718</v>
      </c>
      <c r="P1289"/>
    </row>
    <row r="1290" spans="15:16" hidden="1" x14ac:dyDescent="0.25">
      <c r="O1290" s="4" t="s">
        <v>1719</v>
      </c>
      <c r="P1290"/>
    </row>
    <row r="1291" spans="15:16" hidden="1" x14ac:dyDescent="0.25">
      <c r="O1291" s="4" t="s">
        <v>1720</v>
      </c>
      <c r="P1291"/>
    </row>
    <row r="1292" spans="15:16" hidden="1" x14ac:dyDescent="0.25">
      <c r="O1292" s="4" t="s">
        <v>1721</v>
      </c>
      <c r="P1292"/>
    </row>
    <row r="1293" spans="15:16" hidden="1" x14ac:dyDescent="0.25">
      <c r="O1293" s="4" t="s">
        <v>1722</v>
      </c>
      <c r="P1293"/>
    </row>
    <row r="1294" spans="15:16" hidden="1" x14ac:dyDescent="0.25">
      <c r="O1294" s="4" t="s">
        <v>1723</v>
      </c>
      <c r="P1294"/>
    </row>
    <row r="1295" spans="15:16" hidden="1" x14ac:dyDescent="0.25">
      <c r="O1295" s="4" t="s">
        <v>1724</v>
      </c>
      <c r="P1295"/>
    </row>
    <row r="1296" spans="15:16" hidden="1" x14ac:dyDescent="0.25">
      <c r="O1296" s="4" t="s">
        <v>1725</v>
      </c>
      <c r="P1296"/>
    </row>
    <row r="1297" spans="15:16" hidden="1" x14ac:dyDescent="0.25">
      <c r="O1297" s="4" t="s">
        <v>1726</v>
      </c>
      <c r="P1297"/>
    </row>
    <row r="1298" spans="15:16" hidden="1" x14ac:dyDescent="0.25">
      <c r="O1298" s="4" t="s">
        <v>1727</v>
      </c>
      <c r="P1298"/>
    </row>
    <row r="1299" spans="15:16" hidden="1" x14ac:dyDescent="0.25">
      <c r="O1299" s="4" t="s">
        <v>1728</v>
      </c>
      <c r="P1299"/>
    </row>
    <row r="1300" spans="15:16" hidden="1" x14ac:dyDescent="0.25">
      <c r="O1300" s="4" t="s">
        <v>1729</v>
      </c>
      <c r="P1300"/>
    </row>
    <row r="1301" spans="15:16" hidden="1" x14ac:dyDescent="0.25">
      <c r="O1301" s="4" t="s">
        <v>1730</v>
      </c>
      <c r="P1301"/>
    </row>
    <row r="1302" spans="15:16" hidden="1" x14ac:dyDescent="0.25">
      <c r="O1302" s="4" t="s">
        <v>1731</v>
      </c>
      <c r="P1302"/>
    </row>
    <row r="1303" spans="15:16" hidden="1" x14ac:dyDescent="0.25">
      <c r="O1303" s="4" t="s">
        <v>1732</v>
      </c>
      <c r="P1303"/>
    </row>
    <row r="1304" spans="15:16" hidden="1" x14ac:dyDescent="0.25">
      <c r="O1304" s="4" t="s">
        <v>1733</v>
      </c>
      <c r="P1304"/>
    </row>
    <row r="1305" spans="15:16" hidden="1" x14ac:dyDescent="0.25">
      <c r="O1305" s="4" t="s">
        <v>1734</v>
      </c>
      <c r="P1305"/>
    </row>
    <row r="1306" spans="15:16" hidden="1" x14ac:dyDescent="0.25">
      <c r="O1306" s="4" t="s">
        <v>1735</v>
      </c>
      <c r="P1306"/>
    </row>
    <row r="1307" spans="15:16" hidden="1" x14ac:dyDescent="0.25">
      <c r="O1307" s="4" t="s">
        <v>1736</v>
      </c>
      <c r="P1307"/>
    </row>
    <row r="1308" spans="15:16" hidden="1" x14ac:dyDescent="0.25">
      <c r="O1308" s="4" t="s">
        <v>1737</v>
      </c>
      <c r="P1308"/>
    </row>
    <row r="1309" spans="15:16" hidden="1" x14ac:dyDescent="0.25">
      <c r="O1309" s="4" t="s">
        <v>1738</v>
      </c>
      <c r="P1309"/>
    </row>
    <row r="1310" spans="15:16" hidden="1" x14ac:dyDescent="0.25">
      <c r="O1310" s="4" t="s">
        <v>1739</v>
      </c>
      <c r="P1310"/>
    </row>
    <row r="1311" spans="15:16" hidden="1" x14ac:dyDescent="0.25">
      <c r="O1311" s="4" t="s">
        <v>1740</v>
      </c>
      <c r="P1311"/>
    </row>
    <row r="1312" spans="15:16" hidden="1" x14ac:dyDescent="0.25">
      <c r="O1312" s="4" t="s">
        <v>1741</v>
      </c>
      <c r="P1312"/>
    </row>
    <row r="1313" spans="15:16" hidden="1" x14ac:dyDescent="0.25">
      <c r="O1313" s="4" t="s">
        <v>1742</v>
      </c>
      <c r="P1313"/>
    </row>
    <row r="1314" spans="15:16" hidden="1" x14ac:dyDescent="0.25">
      <c r="O1314" s="4" t="s">
        <v>1743</v>
      </c>
      <c r="P1314"/>
    </row>
    <row r="1315" spans="15:16" hidden="1" x14ac:dyDescent="0.25">
      <c r="O1315" s="4" t="s">
        <v>1744</v>
      </c>
      <c r="P1315"/>
    </row>
    <row r="1316" spans="15:16" hidden="1" x14ac:dyDescent="0.25">
      <c r="O1316" s="4" t="s">
        <v>1745</v>
      </c>
      <c r="P1316"/>
    </row>
    <row r="1317" spans="15:16" hidden="1" x14ac:dyDescent="0.25">
      <c r="O1317" s="4" t="s">
        <v>1746</v>
      </c>
      <c r="P1317"/>
    </row>
    <row r="1318" spans="15:16" hidden="1" x14ac:dyDescent="0.25">
      <c r="O1318" s="4" t="s">
        <v>1747</v>
      </c>
      <c r="P1318"/>
    </row>
    <row r="1319" spans="15:16" hidden="1" x14ac:dyDescent="0.25">
      <c r="O1319" s="4" t="s">
        <v>1748</v>
      </c>
      <c r="P1319"/>
    </row>
    <row r="1320" spans="15:16" hidden="1" x14ac:dyDescent="0.25">
      <c r="O1320" s="4" t="s">
        <v>1749</v>
      </c>
      <c r="P1320"/>
    </row>
    <row r="1321" spans="15:16" hidden="1" x14ac:dyDescent="0.25">
      <c r="O1321" s="4" t="s">
        <v>1750</v>
      </c>
      <c r="P1321"/>
    </row>
    <row r="1322" spans="15:16" hidden="1" x14ac:dyDescent="0.25">
      <c r="O1322" s="4" t="s">
        <v>1751</v>
      </c>
      <c r="P1322"/>
    </row>
    <row r="1323" spans="15:16" hidden="1" x14ac:dyDescent="0.25">
      <c r="O1323" s="4" t="s">
        <v>1752</v>
      </c>
      <c r="P1323"/>
    </row>
    <row r="1324" spans="15:16" hidden="1" x14ac:dyDescent="0.25">
      <c r="O1324" s="4" t="s">
        <v>1753</v>
      </c>
      <c r="P1324"/>
    </row>
    <row r="1325" spans="15:16" hidden="1" x14ac:dyDescent="0.25">
      <c r="O1325" s="4" t="s">
        <v>1754</v>
      </c>
      <c r="P1325"/>
    </row>
    <row r="1326" spans="15:16" hidden="1" x14ac:dyDescent="0.25">
      <c r="O1326" s="4" t="s">
        <v>1755</v>
      </c>
      <c r="P1326"/>
    </row>
    <row r="1327" spans="15:16" hidden="1" x14ac:dyDescent="0.25">
      <c r="O1327" s="4" t="s">
        <v>1756</v>
      </c>
      <c r="P1327"/>
    </row>
    <row r="1328" spans="15:16" hidden="1" x14ac:dyDescent="0.25">
      <c r="O1328" s="4" t="s">
        <v>1757</v>
      </c>
      <c r="P1328"/>
    </row>
    <row r="1329" spans="15:16" hidden="1" x14ac:dyDescent="0.25">
      <c r="O1329" s="4" t="s">
        <v>1758</v>
      </c>
      <c r="P1329"/>
    </row>
    <row r="1330" spans="15:16" hidden="1" x14ac:dyDescent="0.25">
      <c r="O1330" s="4" t="s">
        <v>1759</v>
      </c>
      <c r="P1330"/>
    </row>
    <row r="1331" spans="15:16" hidden="1" x14ac:dyDescent="0.25">
      <c r="O1331" s="4" t="s">
        <v>1760</v>
      </c>
      <c r="P1331"/>
    </row>
    <row r="1332" spans="15:16" hidden="1" x14ac:dyDescent="0.25">
      <c r="O1332" s="4" t="s">
        <v>1761</v>
      </c>
      <c r="P1332"/>
    </row>
    <row r="1333" spans="15:16" hidden="1" x14ac:dyDescent="0.25">
      <c r="O1333" s="4" t="s">
        <v>1762</v>
      </c>
      <c r="P1333"/>
    </row>
    <row r="1334" spans="15:16" hidden="1" x14ac:dyDescent="0.25">
      <c r="O1334" s="4" t="s">
        <v>1763</v>
      </c>
      <c r="P1334"/>
    </row>
    <row r="1335" spans="15:16" hidden="1" x14ac:dyDescent="0.25">
      <c r="O1335" s="4" t="s">
        <v>1764</v>
      </c>
      <c r="P1335"/>
    </row>
    <row r="1336" spans="15:16" hidden="1" x14ac:dyDescent="0.25">
      <c r="O1336" s="4" t="s">
        <v>1765</v>
      </c>
      <c r="P1336"/>
    </row>
    <row r="1337" spans="15:16" hidden="1" x14ac:dyDescent="0.25">
      <c r="O1337" s="4" t="s">
        <v>1766</v>
      </c>
      <c r="P1337"/>
    </row>
    <row r="1338" spans="15:16" hidden="1" x14ac:dyDescent="0.25">
      <c r="O1338" s="4" t="s">
        <v>1767</v>
      </c>
      <c r="P1338"/>
    </row>
    <row r="1339" spans="15:16" hidden="1" x14ac:dyDescent="0.25">
      <c r="O1339" s="4" t="s">
        <v>1768</v>
      </c>
      <c r="P1339"/>
    </row>
    <row r="1340" spans="15:16" hidden="1" x14ac:dyDescent="0.25">
      <c r="O1340" s="4" t="s">
        <v>1769</v>
      </c>
      <c r="P1340"/>
    </row>
    <row r="1341" spans="15:16" hidden="1" x14ac:dyDescent="0.25">
      <c r="O1341" s="4" t="s">
        <v>1770</v>
      </c>
      <c r="P1341"/>
    </row>
    <row r="1342" spans="15:16" hidden="1" x14ac:dyDescent="0.25">
      <c r="O1342" s="4" t="s">
        <v>1771</v>
      </c>
      <c r="P1342"/>
    </row>
    <row r="1343" spans="15:16" hidden="1" x14ac:dyDescent="0.25">
      <c r="O1343" s="4" t="s">
        <v>1772</v>
      </c>
      <c r="P1343"/>
    </row>
    <row r="1344" spans="15:16" hidden="1" x14ac:dyDescent="0.25">
      <c r="O1344" s="4" t="s">
        <v>1773</v>
      </c>
      <c r="P1344"/>
    </row>
    <row r="1345" spans="15:16" hidden="1" x14ac:dyDescent="0.25">
      <c r="O1345" s="4" t="s">
        <v>1774</v>
      </c>
      <c r="P1345"/>
    </row>
    <row r="1346" spans="15:16" hidden="1" x14ac:dyDescent="0.25">
      <c r="O1346" s="4" t="s">
        <v>1775</v>
      </c>
      <c r="P1346"/>
    </row>
    <row r="1347" spans="15:16" hidden="1" x14ac:dyDescent="0.25">
      <c r="O1347" s="4" t="s">
        <v>1776</v>
      </c>
      <c r="P1347"/>
    </row>
    <row r="1348" spans="15:16" hidden="1" x14ac:dyDescent="0.25">
      <c r="O1348" s="4" t="s">
        <v>1777</v>
      </c>
      <c r="P1348"/>
    </row>
    <row r="1349" spans="15:16" hidden="1" x14ac:dyDescent="0.25">
      <c r="O1349" s="4" t="s">
        <v>1778</v>
      </c>
      <c r="P1349"/>
    </row>
    <row r="1350" spans="15:16" hidden="1" x14ac:dyDescent="0.25">
      <c r="O1350" s="4" t="s">
        <v>1779</v>
      </c>
      <c r="P1350"/>
    </row>
    <row r="1351" spans="15:16" hidden="1" x14ac:dyDescent="0.25">
      <c r="O1351" s="4" t="s">
        <v>1780</v>
      </c>
      <c r="P1351"/>
    </row>
    <row r="1352" spans="15:16" hidden="1" x14ac:dyDescent="0.25">
      <c r="O1352" s="4" t="s">
        <v>1781</v>
      </c>
      <c r="P1352"/>
    </row>
    <row r="1353" spans="15:16" hidden="1" x14ac:dyDescent="0.25">
      <c r="O1353" s="4" t="s">
        <v>1782</v>
      </c>
      <c r="P1353"/>
    </row>
    <row r="1354" spans="15:16" hidden="1" x14ac:dyDescent="0.25">
      <c r="O1354" s="4" t="s">
        <v>1783</v>
      </c>
      <c r="P1354"/>
    </row>
    <row r="1355" spans="15:16" hidden="1" x14ac:dyDescent="0.25">
      <c r="O1355" s="4" t="s">
        <v>1784</v>
      </c>
      <c r="P1355"/>
    </row>
    <row r="1356" spans="15:16" hidden="1" x14ac:dyDescent="0.25">
      <c r="O1356" s="4" t="s">
        <v>1785</v>
      </c>
      <c r="P1356"/>
    </row>
    <row r="1357" spans="15:16" hidden="1" x14ac:dyDescent="0.25">
      <c r="O1357" s="4" t="s">
        <v>1786</v>
      </c>
      <c r="P1357"/>
    </row>
    <row r="1358" spans="15:16" hidden="1" x14ac:dyDescent="0.25">
      <c r="O1358" s="4" t="s">
        <v>1787</v>
      </c>
      <c r="P1358"/>
    </row>
    <row r="1359" spans="15:16" hidden="1" x14ac:dyDescent="0.25">
      <c r="O1359" s="4" t="s">
        <v>1788</v>
      </c>
      <c r="P1359"/>
    </row>
    <row r="1360" spans="15:16" hidden="1" x14ac:dyDescent="0.25">
      <c r="O1360" s="4" t="s">
        <v>1789</v>
      </c>
      <c r="P1360"/>
    </row>
    <row r="1361" spans="15:16" hidden="1" x14ac:dyDescent="0.25">
      <c r="O1361" s="4" t="s">
        <v>1790</v>
      </c>
      <c r="P1361"/>
    </row>
    <row r="1362" spans="15:16" hidden="1" x14ac:dyDescent="0.25">
      <c r="O1362" s="4" t="s">
        <v>1791</v>
      </c>
      <c r="P1362"/>
    </row>
    <row r="1363" spans="15:16" hidden="1" x14ac:dyDescent="0.25">
      <c r="O1363" s="4" t="s">
        <v>1792</v>
      </c>
      <c r="P1363"/>
    </row>
    <row r="1364" spans="15:16" hidden="1" x14ac:dyDescent="0.25">
      <c r="O1364" s="4" t="s">
        <v>1793</v>
      </c>
      <c r="P1364"/>
    </row>
    <row r="1365" spans="15:16" hidden="1" x14ac:dyDescent="0.25">
      <c r="O1365" s="4" t="s">
        <v>1794</v>
      </c>
      <c r="P1365"/>
    </row>
    <row r="1366" spans="15:16" hidden="1" x14ac:dyDescent="0.25">
      <c r="O1366" s="4" t="s">
        <v>1795</v>
      </c>
      <c r="P1366"/>
    </row>
    <row r="1367" spans="15:16" hidden="1" x14ac:dyDescent="0.25">
      <c r="O1367" s="4" t="s">
        <v>1796</v>
      </c>
      <c r="P1367"/>
    </row>
    <row r="1368" spans="15:16" hidden="1" x14ac:dyDescent="0.25">
      <c r="O1368" s="4" t="s">
        <v>1797</v>
      </c>
      <c r="P1368"/>
    </row>
    <row r="1369" spans="15:16" hidden="1" x14ac:dyDescent="0.25">
      <c r="O1369" s="4" t="s">
        <v>1798</v>
      </c>
      <c r="P1369"/>
    </row>
    <row r="1370" spans="15:16" hidden="1" x14ac:dyDescent="0.25">
      <c r="O1370" s="4" t="s">
        <v>1799</v>
      </c>
      <c r="P1370"/>
    </row>
    <row r="1371" spans="15:16" hidden="1" x14ac:dyDescent="0.25">
      <c r="O1371" s="4" t="s">
        <v>1800</v>
      </c>
      <c r="P1371"/>
    </row>
    <row r="1372" spans="15:16" hidden="1" x14ac:dyDescent="0.25">
      <c r="O1372" s="4" t="s">
        <v>1801</v>
      </c>
      <c r="P1372"/>
    </row>
    <row r="1373" spans="15:16" hidden="1" x14ac:dyDescent="0.25">
      <c r="O1373" s="4" t="s">
        <v>1802</v>
      </c>
      <c r="P1373"/>
    </row>
    <row r="1374" spans="15:16" hidden="1" x14ac:dyDescent="0.25">
      <c r="O1374" s="4" t="s">
        <v>1803</v>
      </c>
      <c r="P1374"/>
    </row>
    <row r="1375" spans="15:16" hidden="1" x14ac:dyDescent="0.25">
      <c r="O1375" s="4" t="s">
        <v>1804</v>
      </c>
      <c r="P1375"/>
    </row>
    <row r="1376" spans="15:16" hidden="1" x14ac:dyDescent="0.25">
      <c r="O1376" s="4" t="s">
        <v>1805</v>
      </c>
      <c r="P1376"/>
    </row>
    <row r="1377" spans="15:16" hidden="1" x14ac:dyDescent="0.25">
      <c r="O1377" s="4" t="s">
        <v>1806</v>
      </c>
      <c r="P1377"/>
    </row>
    <row r="1378" spans="15:16" hidden="1" x14ac:dyDescent="0.25">
      <c r="O1378" s="4" t="s">
        <v>1807</v>
      </c>
      <c r="P1378"/>
    </row>
    <row r="1379" spans="15:16" hidden="1" x14ac:dyDescent="0.25">
      <c r="O1379" s="4" t="s">
        <v>1808</v>
      </c>
      <c r="P1379"/>
    </row>
    <row r="1380" spans="15:16" hidden="1" x14ac:dyDescent="0.25">
      <c r="O1380" s="4" t="s">
        <v>1809</v>
      </c>
      <c r="P1380"/>
    </row>
    <row r="1381" spans="15:16" hidden="1" x14ac:dyDescent="0.25">
      <c r="O1381" s="4" t="s">
        <v>1810</v>
      </c>
      <c r="P1381"/>
    </row>
    <row r="1382" spans="15:16" hidden="1" x14ac:dyDescent="0.25">
      <c r="O1382" s="4" t="s">
        <v>1811</v>
      </c>
      <c r="P1382"/>
    </row>
    <row r="1383" spans="15:16" hidden="1" x14ac:dyDescent="0.25">
      <c r="O1383" s="4" t="s">
        <v>1812</v>
      </c>
      <c r="P1383"/>
    </row>
    <row r="1384" spans="15:16" hidden="1" x14ac:dyDescent="0.25">
      <c r="O1384" s="4" t="s">
        <v>1813</v>
      </c>
      <c r="P1384"/>
    </row>
    <row r="1385" spans="15:16" hidden="1" x14ac:dyDescent="0.25">
      <c r="O1385" s="4" t="s">
        <v>1814</v>
      </c>
      <c r="P1385"/>
    </row>
    <row r="1386" spans="15:16" hidden="1" x14ac:dyDescent="0.25">
      <c r="O1386" s="4" t="s">
        <v>1815</v>
      </c>
      <c r="P1386"/>
    </row>
    <row r="1387" spans="15:16" hidden="1" x14ac:dyDescent="0.25">
      <c r="O1387" s="4" t="s">
        <v>1816</v>
      </c>
      <c r="P1387"/>
    </row>
    <row r="1388" spans="15:16" hidden="1" x14ac:dyDescent="0.25">
      <c r="O1388" s="4" t="s">
        <v>1817</v>
      </c>
      <c r="P1388"/>
    </row>
    <row r="1389" spans="15:16" hidden="1" x14ac:dyDescent="0.25">
      <c r="O1389" s="4" t="s">
        <v>1818</v>
      </c>
      <c r="P1389"/>
    </row>
    <row r="1390" spans="15:16" hidden="1" x14ac:dyDescent="0.25">
      <c r="O1390" s="4" t="s">
        <v>1819</v>
      </c>
      <c r="P1390"/>
    </row>
    <row r="1391" spans="15:16" hidden="1" x14ac:dyDescent="0.25">
      <c r="O1391" s="4" t="s">
        <v>1820</v>
      </c>
      <c r="P1391"/>
    </row>
    <row r="1392" spans="15:16" hidden="1" x14ac:dyDescent="0.25">
      <c r="O1392" s="4" t="s">
        <v>1821</v>
      </c>
      <c r="P1392"/>
    </row>
    <row r="1393" spans="15:16" hidden="1" x14ac:dyDescent="0.25">
      <c r="O1393" s="4" t="s">
        <v>1822</v>
      </c>
      <c r="P1393"/>
    </row>
    <row r="1394" spans="15:16" hidden="1" x14ac:dyDescent="0.25">
      <c r="O1394" s="4" t="s">
        <v>1823</v>
      </c>
      <c r="P1394"/>
    </row>
    <row r="1395" spans="15:16" hidden="1" x14ac:dyDescent="0.25">
      <c r="O1395" s="4" t="s">
        <v>1824</v>
      </c>
      <c r="P1395"/>
    </row>
    <row r="1396" spans="15:16" hidden="1" x14ac:dyDescent="0.25">
      <c r="O1396" s="4" t="s">
        <v>1825</v>
      </c>
      <c r="P1396"/>
    </row>
    <row r="1397" spans="15:16" hidden="1" x14ac:dyDescent="0.25">
      <c r="O1397" s="4" t="s">
        <v>1826</v>
      </c>
      <c r="P1397"/>
    </row>
    <row r="1398" spans="15:16" hidden="1" x14ac:dyDescent="0.25">
      <c r="O1398" s="4" t="s">
        <v>1827</v>
      </c>
      <c r="P1398"/>
    </row>
    <row r="1399" spans="15:16" hidden="1" x14ac:dyDescent="0.25">
      <c r="O1399" s="4" t="s">
        <v>1828</v>
      </c>
      <c r="P1399"/>
    </row>
    <row r="1400" spans="15:16" hidden="1" x14ac:dyDescent="0.25">
      <c r="O1400" s="4" t="s">
        <v>1829</v>
      </c>
      <c r="P1400"/>
    </row>
    <row r="1401" spans="15:16" hidden="1" x14ac:dyDescent="0.25">
      <c r="O1401" s="4" t="s">
        <v>1830</v>
      </c>
      <c r="P1401"/>
    </row>
    <row r="1402" spans="15:16" hidden="1" x14ac:dyDescent="0.25">
      <c r="O1402" s="4" t="s">
        <v>1831</v>
      </c>
      <c r="P1402"/>
    </row>
    <row r="1403" spans="15:16" hidden="1" x14ac:dyDescent="0.25">
      <c r="O1403" s="4" t="s">
        <v>1832</v>
      </c>
      <c r="P1403"/>
    </row>
    <row r="1404" spans="15:16" hidden="1" x14ac:dyDescent="0.25">
      <c r="O1404" s="4" t="s">
        <v>1833</v>
      </c>
      <c r="P1404"/>
    </row>
    <row r="1405" spans="15:16" hidden="1" x14ac:dyDescent="0.25">
      <c r="O1405" s="4" t="s">
        <v>1834</v>
      </c>
      <c r="P1405"/>
    </row>
    <row r="1406" spans="15:16" hidden="1" x14ac:dyDescent="0.25">
      <c r="O1406" s="4" t="s">
        <v>1835</v>
      </c>
      <c r="P1406"/>
    </row>
    <row r="1407" spans="15:16" hidden="1" x14ac:dyDescent="0.25">
      <c r="O1407" s="4" t="s">
        <v>1836</v>
      </c>
      <c r="P1407"/>
    </row>
    <row r="1408" spans="15:16" hidden="1" x14ac:dyDescent="0.25">
      <c r="O1408" s="4" t="s">
        <v>1837</v>
      </c>
      <c r="P1408"/>
    </row>
    <row r="1409" spans="15:16" hidden="1" x14ac:dyDescent="0.25">
      <c r="O1409" s="4" t="s">
        <v>1838</v>
      </c>
      <c r="P1409"/>
    </row>
    <row r="1410" spans="15:16" hidden="1" x14ac:dyDescent="0.25">
      <c r="O1410" s="4" t="s">
        <v>1839</v>
      </c>
      <c r="P1410"/>
    </row>
    <row r="1411" spans="15:16" hidden="1" x14ac:dyDescent="0.25">
      <c r="O1411" s="4" t="s">
        <v>1840</v>
      </c>
      <c r="P1411"/>
    </row>
    <row r="1412" spans="15:16" hidden="1" x14ac:dyDescent="0.25">
      <c r="O1412" s="4" t="s">
        <v>1841</v>
      </c>
      <c r="P1412"/>
    </row>
    <row r="1413" spans="15:16" hidden="1" x14ac:dyDescent="0.25">
      <c r="O1413" s="4" t="s">
        <v>1842</v>
      </c>
      <c r="P1413"/>
    </row>
    <row r="1414" spans="15:16" hidden="1" x14ac:dyDescent="0.25">
      <c r="O1414" s="4" t="s">
        <v>1843</v>
      </c>
      <c r="P1414"/>
    </row>
    <row r="1415" spans="15:16" hidden="1" x14ac:dyDescent="0.25">
      <c r="O1415" s="4" t="s">
        <v>1844</v>
      </c>
      <c r="P1415"/>
    </row>
    <row r="1416" spans="15:16" hidden="1" x14ac:dyDescent="0.25">
      <c r="O1416" s="4" t="s">
        <v>1845</v>
      </c>
      <c r="P1416"/>
    </row>
    <row r="1417" spans="15:16" hidden="1" x14ac:dyDescent="0.25">
      <c r="O1417" s="4" t="s">
        <v>1846</v>
      </c>
      <c r="P1417"/>
    </row>
    <row r="1418" spans="15:16" hidden="1" x14ac:dyDescent="0.25">
      <c r="O1418" s="4" t="s">
        <v>1847</v>
      </c>
      <c r="P1418"/>
    </row>
    <row r="1419" spans="15:16" hidden="1" x14ac:dyDescent="0.25">
      <c r="O1419" s="4" t="s">
        <v>1848</v>
      </c>
      <c r="P1419"/>
    </row>
    <row r="1420" spans="15:16" hidden="1" x14ac:dyDescent="0.25">
      <c r="O1420" s="4" t="s">
        <v>1849</v>
      </c>
      <c r="P1420"/>
    </row>
    <row r="1421" spans="15:16" hidden="1" x14ac:dyDescent="0.25">
      <c r="O1421" s="4" t="s">
        <v>1850</v>
      </c>
      <c r="P1421"/>
    </row>
    <row r="1422" spans="15:16" hidden="1" x14ac:dyDescent="0.25">
      <c r="O1422" s="4" t="s">
        <v>1851</v>
      </c>
      <c r="P1422"/>
    </row>
    <row r="1423" spans="15:16" hidden="1" x14ac:dyDescent="0.25">
      <c r="O1423" s="4" t="s">
        <v>1852</v>
      </c>
      <c r="P1423"/>
    </row>
    <row r="1424" spans="15:16" hidden="1" x14ac:dyDescent="0.25">
      <c r="O1424" s="4" t="s">
        <v>1853</v>
      </c>
      <c r="P1424"/>
    </row>
    <row r="1425" spans="15:16" hidden="1" x14ac:dyDescent="0.25">
      <c r="O1425" s="4" t="s">
        <v>1854</v>
      </c>
      <c r="P1425"/>
    </row>
    <row r="1426" spans="15:16" hidden="1" x14ac:dyDescent="0.25">
      <c r="O1426" s="4" t="s">
        <v>1855</v>
      </c>
      <c r="P1426"/>
    </row>
    <row r="1427" spans="15:16" hidden="1" x14ac:dyDescent="0.25">
      <c r="O1427" s="4" t="s">
        <v>1856</v>
      </c>
      <c r="P1427"/>
    </row>
    <row r="1428" spans="15:16" hidden="1" x14ac:dyDescent="0.25">
      <c r="O1428" s="4" t="s">
        <v>1857</v>
      </c>
      <c r="P1428"/>
    </row>
    <row r="1429" spans="15:16" hidden="1" x14ac:dyDescent="0.25">
      <c r="O1429" s="4" t="s">
        <v>1858</v>
      </c>
      <c r="P1429"/>
    </row>
    <row r="1430" spans="15:16" hidden="1" x14ac:dyDescent="0.25">
      <c r="O1430" s="4" t="s">
        <v>1859</v>
      </c>
      <c r="P1430"/>
    </row>
    <row r="1431" spans="15:16" hidden="1" x14ac:dyDescent="0.25">
      <c r="O1431" s="4" t="s">
        <v>1860</v>
      </c>
      <c r="P1431"/>
    </row>
    <row r="1432" spans="15:16" hidden="1" x14ac:dyDescent="0.25">
      <c r="O1432" s="4" t="s">
        <v>1861</v>
      </c>
      <c r="P1432"/>
    </row>
    <row r="1433" spans="15:16" hidden="1" x14ac:dyDescent="0.25">
      <c r="O1433" s="4" t="s">
        <v>1862</v>
      </c>
      <c r="P1433"/>
    </row>
    <row r="1434" spans="15:16" hidden="1" x14ac:dyDescent="0.25">
      <c r="O1434" s="4" t="s">
        <v>1863</v>
      </c>
      <c r="P1434"/>
    </row>
    <row r="1435" spans="15:16" hidden="1" x14ac:dyDescent="0.25">
      <c r="O1435" s="4" t="s">
        <v>1864</v>
      </c>
      <c r="P1435"/>
    </row>
    <row r="1436" spans="15:16" hidden="1" x14ac:dyDescent="0.25">
      <c r="O1436" s="4" t="s">
        <v>1865</v>
      </c>
      <c r="P1436"/>
    </row>
    <row r="1437" spans="15:16" hidden="1" x14ac:dyDescent="0.25">
      <c r="O1437" s="4" t="s">
        <v>1866</v>
      </c>
      <c r="P1437"/>
    </row>
    <row r="1438" spans="15:16" hidden="1" x14ac:dyDescent="0.25">
      <c r="O1438" s="4" t="s">
        <v>1867</v>
      </c>
      <c r="P1438"/>
    </row>
    <row r="1439" spans="15:16" hidden="1" x14ac:dyDescent="0.25">
      <c r="O1439" s="4" t="s">
        <v>1868</v>
      </c>
      <c r="P1439"/>
    </row>
    <row r="1440" spans="15:16" hidden="1" x14ac:dyDescent="0.25">
      <c r="O1440" s="4" t="s">
        <v>1869</v>
      </c>
      <c r="P1440"/>
    </row>
    <row r="1441" spans="15:16" hidden="1" x14ac:dyDescent="0.25">
      <c r="O1441" s="4" t="s">
        <v>1870</v>
      </c>
      <c r="P1441"/>
    </row>
    <row r="1442" spans="15:16" hidden="1" x14ac:dyDescent="0.25">
      <c r="O1442" s="4" t="s">
        <v>1871</v>
      </c>
      <c r="P1442"/>
    </row>
    <row r="1443" spans="15:16" hidden="1" x14ac:dyDescent="0.25">
      <c r="O1443" s="4" t="s">
        <v>1872</v>
      </c>
      <c r="P1443"/>
    </row>
    <row r="1444" spans="15:16" hidden="1" x14ac:dyDescent="0.25">
      <c r="O1444" s="4" t="s">
        <v>1873</v>
      </c>
      <c r="P1444"/>
    </row>
    <row r="1445" spans="15:16" hidden="1" x14ac:dyDescent="0.25">
      <c r="O1445" s="4" t="s">
        <v>1874</v>
      </c>
      <c r="P1445"/>
    </row>
    <row r="1446" spans="15:16" hidden="1" x14ac:dyDescent="0.25">
      <c r="O1446" s="4" t="s">
        <v>1875</v>
      </c>
      <c r="P1446"/>
    </row>
    <row r="1447" spans="15:16" hidden="1" x14ac:dyDescent="0.25">
      <c r="O1447" s="4" t="s">
        <v>1876</v>
      </c>
      <c r="P1447"/>
    </row>
    <row r="1448" spans="15:16" hidden="1" x14ac:dyDescent="0.25">
      <c r="O1448" s="4" t="s">
        <v>1877</v>
      </c>
      <c r="P1448"/>
    </row>
    <row r="1449" spans="15:16" hidden="1" x14ac:dyDescent="0.25">
      <c r="O1449" s="4" t="s">
        <v>1878</v>
      </c>
      <c r="P1449"/>
    </row>
    <row r="1450" spans="15:16" hidden="1" x14ac:dyDescent="0.25">
      <c r="O1450" s="4" t="s">
        <v>1879</v>
      </c>
      <c r="P1450"/>
    </row>
    <row r="1451" spans="15:16" hidden="1" x14ac:dyDescent="0.25">
      <c r="O1451" s="4" t="s">
        <v>1880</v>
      </c>
      <c r="P1451"/>
    </row>
    <row r="1452" spans="15:16" hidden="1" x14ac:dyDescent="0.25">
      <c r="O1452" s="4" t="s">
        <v>1881</v>
      </c>
      <c r="P1452"/>
    </row>
    <row r="1453" spans="15:16" hidden="1" x14ac:dyDescent="0.25">
      <c r="O1453" s="4" t="s">
        <v>1882</v>
      </c>
      <c r="P1453"/>
    </row>
    <row r="1454" spans="15:16" hidden="1" x14ac:dyDescent="0.25">
      <c r="O1454" s="4" t="s">
        <v>1883</v>
      </c>
      <c r="P1454"/>
    </row>
    <row r="1455" spans="15:16" hidden="1" x14ac:dyDescent="0.25">
      <c r="O1455" s="4" t="s">
        <v>1884</v>
      </c>
      <c r="P1455"/>
    </row>
    <row r="1456" spans="15:16" hidden="1" x14ac:dyDescent="0.25">
      <c r="O1456" s="4" t="s">
        <v>1885</v>
      </c>
      <c r="P1456"/>
    </row>
    <row r="1457" spans="15:16" hidden="1" x14ac:dyDescent="0.25">
      <c r="O1457" s="4" t="s">
        <v>1886</v>
      </c>
      <c r="P1457"/>
    </row>
    <row r="1458" spans="15:16" hidden="1" x14ac:dyDescent="0.25">
      <c r="O1458" s="4" t="s">
        <v>1887</v>
      </c>
      <c r="P1458"/>
    </row>
    <row r="1459" spans="15:16" hidden="1" x14ac:dyDescent="0.25">
      <c r="O1459" s="4" t="s">
        <v>1888</v>
      </c>
      <c r="P1459"/>
    </row>
    <row r="1460" spans="15:16" hidden="1" x14ac:dyDescent="0.25">
      <c r="O1460" s="4" t="s">
        <v>1889</v>
      </c>
      <c r="P1460"/>
    </row>
    <row r="1461" spans="15:16" hidden="1" x14ac:dyDescent="0.25">
      <c r="O1461" s="4" t="s">
        <v>1890</v>
      </c>
      <c r="P1461"/>
    </row>
    <row r="1462" spans="15:16" hidden="1" x14ac:dyDescent="0.25">
      <c r="O1462" s="4" t="s">
        <v>1891</v>
      </c>
      <c r="P1462"/>
    </row>
    <row r="1463" spans="15:16" hidden="1" x14ac:dyDescent="0.25">
      <c r="O1463" s="4" t="s">
        <v>1892</v>
      </c>
      <c r="P1463"/>
    </row>
    <row r="1464" spans="15:16" hidden="1" x14ac:dyDescent="0.25">
      <c r="O1464" s="4" t="s">
        <v>1893</v>
      </c>
      <c r="P1464"/>
    </row>
    <row r="1465" spans="15:16" hidden="1" x14ac:dyDescent="0.25">
      <c r="O1465" s="4" t="s">
        <v>1894</v>
      </c>
      <c r="P1465"/>
    </row>
    <row r="1466" spans="15:16" hidden="1" x14ac:dyDescent="0.25">
      <c r="O1466" s="4" t="s">
        <v>1895</v>
      </c>
      <c r="P1466"/>
    </row>
    <row r="1467" spans="15:16" hidden="1" x14ac:dyDescent="0.25">
      <c r="O1467" s="4" t="s">
        <v>1896</v>
      </c>
      <c r="P1467"/>
    </row>
    <row r="1468" spans="15:16" hidden="1" x14ac:dyDescent="0.25">
      <c r="O1468" s="4" t="s">
        <v>1897</v>
      </c>
      <c r="P1468"/>
    </row>
    <row r="1469" spans="15:16" hidden="1" x14ac:dyDescent="0.25">
      <c r="O1469" s="4" t="s">
        <v>1898</v>
      </c>
      <c r="P1469"/>
    </row>
    <row r="1470" spans="15:16" hidden="1" x14ac:dyDescent="0.25">
      <c r="O1470" s="4" t="s">
        <v>1899</v>
      </c>
      <c r="P1470"/>
    </row>
    <row r="1471" spans="15:16" hidden="1" x14ac:dyDescent="0.25">
      <c r="O1471" s="4" t="s">
        <v>1900</v>
      </c>
      <c r="P1471"/>
    </row>
    <row r="1472" spans="15:16" hidden="1" x14ac:dyDescent="0.25">
      <c r="O1472" s="4" t="s">
        <v>1901</v>
      </c>
      <c r="P1472"/>
    </row>
    <row r="1473" spans="15:16" hidden="1" x14ac:dyDescent="0.25">
      <c r="O1473" s="4" t="s">
        <v>1902</v>
      </c>
      <c r="P1473"/>
    </row>
    <row r="1474" spans="15:16" hidden="1" x14ac:dyDescent="0.25">
      <c r="O1474" s="4" t="s">
        <v>1903</v>
      </c>
      <c r="P1474"/>
    </row>
    <row r="1475" spans="15:16" hidden="1" x14ac:dyDescent="0.25">
      <c r="O1475" s="4" t="s">
        <v>1904</v>
      </c>
      <c r="P1475"/>
    </row>
    <row r="1476" spans="15:16" hidden="1" x14ac:dyDescent="0.25">
      <c r="O1476" s="4" t="s">
        <v>1905</v>
      </c>
      <c r="P1476"/>
    </row>
    <row r="1477" spans="15:16" hidden="1" x14ac:dyDescent="0.25">
      <c r="O1477" s="4" t="s">
        <v>1906</v>
      </c>
      <c r="P1477"/>
    </row>
    <row r="1478" spans="15:16" hidden="1" x14ac:dyDescent="0.25">
      <c r="O1478" s="4" t="s">
        <v>1907</v>
      </c>
      <c r="P1478"/>
    </row>
    <row r="1479" spans="15:16" hidden="1" x14ac:dyDescent="0.25">
      <c r="O1479" s="4" t="s">
        <v>1908</v>
      </c>
      <c r="P1479"/>
    </row>
    <row r="1480" spans="15:16" hidden="1" x14ac:dyDescent="0.25">
      <c r="O1480" s="4" t="s">
        <v>1909</v>
      </c>
      <c r="P1480"/>
    </row>
    <row r="1481" spans="15:16" hidden="1" x14ac:dyDescent="0.25">
      <c r="O1481" s="4" t="s">
        <v>1910</v>
      </c>
      <c r="P1481"/>
    </row>
    <row r="1482" spans="15:16" hidden="1" x14ac:dyDescent="0.25">
      <c r="O1482" s="4" t="s">
        <v>1911</v>
      </c>
      <c r="P1482"/>
    </row>
    <row r="1483" spans="15:16" hidden="1" x14ac:dyDescent="0.25">
      <c r="O1483" s="4" t="s">
        <v>1912</v>
      </c>
      <c r="P1483"/>
    </row>
    <row r="1484" spans="15:16" hidden="1" x14ac:dyDescent="0.25">
      <c r="O1484" s="4" t="s">
        <v>1913</v>
      </c>
      <c r="P1484"/>
    </row>
    <row r="1485" spans="15:16" hidden="1" x14ac:dyDescent="0.25">
      <c r="O1485" s="4" t="s">
        <v>1914</v>
      </c>
      <c r="P1485"/>
    </row>
    <row r="1486" spans="15:16" hidden="1" x14ac:dyDescent="0.25">
      <c r="O1486" s="4" t="s">
        <v>1915</v>
      </c>
      <c r="P1486"/>
    </row>
    <row r="1487" spans="15:16" hidden="1" x14ac:dyDescent="0.25">
      <c r="O1487" s="4" t="s">
        <v>1916</v>
      </c>
      <c r="P1487"/>
    </row>
    <row r="1488" spans="15:16" hidden="1" x14ac:dyDescent="0.25">
      <c r="O1488" s="4" t="s">
        <v>1917</v>
      </c>
      <c r="P1488"/>
    </row>
    <row r="1489" spans="15:16" hidden="1" x14ac:dyDescent="0.25">
      <c r="O1489" s="4" t="s">
        <v>1918</v>
      </c>
      <c r="P1489"/>
    </row>
    <row r="1490" spans="15:16" hidden="1" x14ac:dyDescent="0.25">
      <c r="O1490" s="4" t="s">
        <v>1919</v>
      </c>
      <c r="P1490"/>
    </row>
    <row r="1491" spans="15:16" hidden="1" x14ac:dyDescent="0.25">
      <c r="O1491" s="4" t="s">
        <v>1920</v>
      </c>
      <c r="P1491"/>
    </row>
    <row r="1492" spans="15:16" hidden="1" x14ac:dyDescent="0.25">
      <c r="O1492" s="4" t="s">
        <v>1921</v>
      </c>
      <c r="P1492"/>
    </row>
    <row r="1493" spans="15:16" hidden="1" x14ac:dyDescent="0.25">
      <c r="O1493" s="4" t="s">
        <v>1922</v>
      </c>
      <c r="P1493"/>
    </row>
    <row r="1494" spans="15:16" hidden="1" x14ac:dyDescent="0.25">
      <c r="O1494" s="4" t="s">
        <v>1923</v>
      </c>
      <c r="P1494"/>
    </row>
    <row r="1495" spans="15:16" hidden="1" x14ac:dyDescent="0.25">
      <c r="O1495" s="4" t="s">
        <v>1924</v>
      </c>
      <c r="P1495"/>
    </row>
    <row r="1496" spans="15:16" hidden="1" x14ac:dyDescent="0.25">
      <c r="O1496" s="4" t="s">
        <v>1925</v>
      </c>
      <c r="P1496"/>
    </row>
    <row r="1497" spans="15:16" hidden="1" x14ac:dyDescent="0.25">
      <c r="O1497" s="4" t="s">
        <v>1926</v>
      </c>
      <c r="P1497"/>
    </row>
    <row r="1498" spans="15:16" hidden="1" x14ac:dyDescent="0.25">
      <c r="O1498" s="4" t="s">
        <v>1927</v>
      </c>
      <c r="P1498"/>
    </row>
    <row r="1499" spans="15:16" hidden="1" x14ac:dyDescent="0.25">
      <c r="O1499" s="4" t="s">
        <v>1928</v>
      </c>
      <c r="P1499"/>
    </row>
    <row r="1500" spans="15:16" hidden="1" x14ac:dyDescent="0.25">
      <c r="O1500" s="4" t="s">
        <v>1929</v>
      </c>
      <c r="P1500"/>
    </row>
    <row r="1501" spans="15:16" hidden="1" x14ac:dyDescent="0.25">
      <c r="O1501" s="4" t="s">
        <v>1930</v>
      </c>
      <c r="P1501"/>
    </row>
    <row r="1502" spans="15:16" hidden="1" x14ac:dyDescent="0.25">
      <c r="O1502" s="4" t="s">
        <v>1931</v>
      </c>
      <c r="P1502"/>
    </row>
    <row r="1503" spans="15:16" hidden="1" x14ac:dyDescent="0.25">
      <c r="O1503" s="4" t="s">
        <v>1932</v>
      </c>
      <c r="P1503"/>
    </row>
    <row r="1504" spans="15:16" hidden="1" x14ac:dyDescent="0.25">
      <c r="O1504" s="4" t="s">
        <v>1933</v>
      </c>
      <c r="P1504"/>
    </row>
    <row r="1505" spans="15:16" hidden="1" x14ac:dyDescent="0.25">
      <c r="O1505" s="4" t="s">
        <v>1934</v>
      </c>
      <c r="P1505"/>
    </row>
    <row r="1506" spans="15:16" hidden="1" x14ac:dyDescent="0.25">
      <c r="O1506" s="4" t="s">
        <v>1935</v>
      </c>
      <c r="P1506"/>
    </row>
    <row r="1507" spans="15:16" hidden="1" x14ac:dyDescent="0.25">
      <c r="O1507" s="4" t="s">
        <v>1936</v>
      </c>
      <c r="P1507"/>
    </row>
    <row r="1508" spans="15:16" hidden="1" x14ac:dyDescent="0.25">
      <c r="O1508" s="4" t="s">
        <v>1937</v>
      </c>
      <c r="P1508"/>
    </row>
    <row r="1509" spans="15:16" hidden="1" x14ac:dyDescent="0.25">
      <c r="O1509" s="4" t="s">
        <v>1938</v>
      </c>
      <c r="P1509"/>
    </row>
    <row r="1510" spans="15:16" hidden="1" x14ac:dyDescent="0.25">
      <c r="O1510" s="4" t="s">
        <v>1939</v>
      </c>
      <c r="P1510"/>
    </row>
    <row r="1511" spans="15:16" hidden="1" x14ac:dyDescent="0.25">
      <c r="O1511" s="4" t="s">
        <v>1940</v>
      </c>
      <c r="P1511"/>
    </row>
    <row r="1512" spans="15:16" hidden="1" x14ac:dyDescent="0.25">
      <c r="O1512" s="4" t="s">
        <v>1941</v>
      </c>
      <c r="P1512"/>
    </row>
    <row r="1513" spans="15:16" hidden="1" x14ac:dyDescent="0.25">
      <c r="O1513" s="4" t="s">
        <v>1942</v>
      </c>
      <c r="P1513"/>
    </row>
    <row r="1514" spans="15:16" hidden="1" x14ac:dyDescent="0.25">
      <c r="O1514" s="4" t="s">
        <v>1943</v>
      </c>
      <c r="P1514"/>
    </row>
    <row r="1515" spans="15:16" hidden="1" x14ac:dyDescent="0.25">
      <c r="O1515" s="4" t="s">
        <v>1944</v>
      </c>
      <c r="P1515"/>
    </row>
    <row r="1516" spans="15:16" hidden="1" x14ac:dyDescent="0.25">
      <c r="O1516" s="4" t="s">
        <v>1945</v>
      </c>
      <c r="P1516"/>
    </row>
    <row r="1517" spans="15:16" hidden="1" x14ac:dyDescent="0.25">
      <c r="O1517" s="4" t="s">
        <v>1946</v>
      </c>
      <c r="P1517"/>
    </row>
    <row r="1518" spans="15:16" hidden="1" x14ac:dyDescent="0.25">
      <c r="O1518" s="4" t="s">
        <v>1947</v>
      </c>
      <c r="P1518"/>
    </row>
    <row r="1519" spans="15:16" hidden="1" x14ac:dyDescent="0.25">
      <c r="O1519" s="4" t="s">
        <v>1948</v>
      </c>
      <c r="P1519"/>
    </row>
    <row r="1520" spans="15:16" hidden="1" x14ac:dyDescent="0.25">
      <c r="O1520" s="4" t="s">
        <v>1949</v>
      </c>
      <c r="P1520"/>
    </row>
    <row r="1521" spans="15:16" hidden="1" x14ac:dyDescent="0.25">
      <c r="O1521" s="4" t="s">
        <v>1950</v>
      </c>
      <c r="P1521"/>
    </row>
    <row r="1522" spans="15:16" hidden="1" x14ac:dyDescent="0.25">
      <c r="O1522" s="4" t="s">
        <v>1951</v>
      </c>
      <c r="P1522"/>
    </row>
    <row r="1523" spans="15:16" hidden="1" x14ac:dyDescent="0.25">
      <c r="O1523" s="4" t="s">
        <v>1952</v>
      </c>
      <c r="P1523"/>
    </row>
    <row r="1524" spans="15:16" hidden="1" x14ac:dyDescent="0.25">
      <c r="O1524" s="4" t="s">
        <v>1953</v>
      </c>
      <c r="P1524"/>
    </row>
    <row r="1525" spans="15:16" hidden="1" x14ac:dyDescent="0.25">
      <c r="O1525" s="4" t="s">
        <v>1954</v>
      </c>
      <c r="P1525"/>
    </row>
    <row r="1526" spans="15:16" hidden="1" x14ac:dyDescent="0.25">
      <c r="O1526" s="4" t="s">
        <v>1955</v>
      </c>
      <c r="P1526"/>
    </row>
    <row r="1527" spans="15:16" hidden="1" x14ac:dyDescent="0.25">
      <c r="O1527" s="4" t="s">
        <v>1956</v>
      </c>
      <c r="P1527"/>
    </row>
    <row r="1528" spans="15:16" hidden="1" x14ac:dyDescent="0.25">
      <c r="O1528" s="4" t="s">
        <v>1957</v>
      </c>
      <c r="P1528"/>
    </row>
    <row r="1529" spans="15:16" hidden="1" x14ac:dyDescent="0.25">
      <c r="O1529" s="4" t="s">
        <v>1958</v>
      </c>
      <c r="P1529"/>
    </row>
    <row r="1530" spans="15:16" hidden="1" x14ac:dyDescent="0.25">
      <c r="O1530" s="4" t="s">
        <v>1959</v>
      </c>
      <c r="P1530"/>
    </row>
    <row r="1531" spans="15:16" hidden="1" x14ac:dyDescent="0.25">
      <c r="O1531" s="4" t="s">
        <v>1960</v>
      </c>
      <c r="P1531"/>
    </row>
    <row r="1532" spans="15:16" hidden="1" x14ac:dyDescent="0.25">
      <c r="O1532" s="4" t="s">
        <v>1961</v>
      </c>
      <c r="P1532"/>
    </row>
    <row r="1533" spans="15:16" hidden="1" x14ac:dyDescent="0.25">
      <c r="O1533" s="4" t="s">
        <v>1962</v>
      </c>
      <c r="P1533"/>
    </row>
    <row r="1534" spans="15:16" hidden="1" x14ac:dyDescent="0.25">
      <c r="O1534" s="4" t="s">
        <v>1963</v>
      </c>
      <c r="P1534"/>
    </row>
    <row r="1535" spans="15:16" hidden="1" x14ac:dyDescent="0.25">
      <c r="O1535" s="4" t="s">
        <v>1964</v>
      </c>
      <c r="P1535"/>
    </row>
    <row r="1536" spans="15:16" hidden="1" x14ac:dyDescent="0.25">
      <c r="O1536" s="4" t="s">
        <v>1965</v>
      </c>
      <c r="P1536"/>
    </row>
    <row r="1537" spans="15:16" hidden="1" x14ac:dyDescent="0.25">
      <c r="O1537" s="4" t="s">
        <v>1966</v>
      </c>
      <c r="P1537"/>
    </row>
    <row r="1538" spans="15:16" hidden="1" x14ac:dyDescent="0.25">
      <c r="O1538" s="4" t="s">
        <v>1967</v>
      </c>
      <c r="P1538"/>
    </row>
    <row r="1539" spans="15:16" hidden="1" x14ac:dyDescent="0.25">
      <c r="O1539" s="4" t="s">
        <v>1968</v>
      </c>
      <c r="P1539"/>
    </row>
    <row r="1540" spans="15:16" hidden="1" x14ac:dyDescent="0.25">
      <c r="O1540" s="4" t="s">
        <v>1969</v>
      </c>
      <c r="P1540"/>
    </row>
    <row r="1541" spans="15:16" hidden="1" x14ac:dyDescent="0.25">
      <c r="O1541" s="4" t="s">
        <v>1970</v>
      </c>
      <c r="P1541"/>
    </row>
    <row r="1542" spans="15:16" hidden="1" x14ac:dyDescent="0.25">
      <c r="O1542" s="4" t="s">
        <v>1971</v>
      </c>
      <c r="P1542"/>
    </row>
    <row r="1543" spans="15:16" hidden="1" x14ac:dyDescent="0.25">
      <c r="O1543" s="4" t="s">
        <v>1972</v>
      </c>
      <c r="P1543"/>
    </row>
    <row r="1544" spans="15:16" hidden="1" x14ac:dyDescent="0.25">
      <c r="O1544" s="4" t="s">
        <v>1973</v>
      </c>
      <c r="P1544"/>
    </row>
    <row r="1545" spans="15:16" hidden="1" x14ac:dyDescent="0.25">
      <c r="O1545" s="4" t="s">
        <v>1974</v>
      </c>
      <c r="P1545"/>
    </row>
    <row r="1546" spans="15:16" hidden="1" x14ac:dyDescent="0.25">
      <c r="O1546" s="4" t="s">
        <v>1975</v>
      </c>
      <c r="P1546"/>
    </row>
    <row r="1547" spans="15:16" hidden="1" x14ac:dyDescent="0.25">
      <c r="O1547" s="4" t="s">
        <v>1976</v>
      </c>
      <c r="P1547"/>
    </row>
    <row r="1548" spans="15:16" hidden="1" x14ac:dyDescent="0.25">
      <c r="O1548" s="4" t="s">
        <v>1977</v>
      </c>
      <c r="P1548"/>
    </row>
    <row r="1549" spans="15:16" hidden="1" x14ac:dyDescent="0.25">
      <c r="O1549" s="4" t="s">
        <v>1978</v>
      </c>
      <c r="P1549"/>
    </row>
    <row r="1550" spans="15:16" hidden="1" x14ac:dyDescent="0.25">
      <c r="O1550" s="4" t="s">
        <v>1979</v>
      </c>
      <c r="P1550"/>
    </row>
    <row r="1551" spans="15:16" hidden="1" x14ac:dyDescent="0.25">
      <c r="O1551" s="4" t="s">
        <v>1980</v>
      </c>
      <c r="P1551"/>
    </row>
    <row r="1552" spans="15:16" hidden="1" x14ac:dyDescent="0.25">
      <c r="O1552" s="4" t="s">
        <v>1981</v>
      </c>
      <c r="P1552"/>
    </row>
    <row r="1553" spans="15:16" hidden="1" x14ac:dyDescent="0.25">
      <c r="O1553" s="4" t="s">
        <v>1982</v>
      </c>
      <c r="P1553"/>
    </row>
    <row r="1554" spans="15:16" hidden="1" x14ac:dyDescent="0.25">
      <c r="O1554" s="4" t="s">
        <v>1983</v>
      </c>
      <c r="P1554"/>
    </row>
    <row r="1555" spans="15:16" hidden="1" x14ac:dyDescent="0.25">
      <c r="O1555" s="4" t="s">
        <v>1984</v>
      </c>
      <c r="P1555"/>
    </row>
    <row r="1556" spans="15:16" hidden="1" x14ac:dyDescent="0.25">
      <c r="O1556" s="4" t="s">
        <v>1985</v>
      </c>
      <c r="P1556"/>
    </row>
    <row r="1557" spans="15:16" hidden="1" x14ac:dyDescent="0.25">
      <c r="O1557" s="4" t="s">
        <v>1986</v>
      </c>
      <c r="P1557"/>
    </row>
    <row r="1558" spans="15:16" hidden="1" x14ac:dyDescent="0.25">
      <c r="O1558" s="4" t="s">
        <v>1987</v>
      </c>
      <c r="P1558"/>
    </row>
    <row r="1559" spans="15:16" hidden="1" x14ac:dyDescent="0.25">
      <c r="O1559" s="4" t="s">
        <v>1988</v>
      </c>
      <c r="P1559"/>
    </row>
    <row r="1560" spans="15:16" hidden="1" x14ac:dyDescent="0.25">
      <c r="O1560" s="4" t="s">
        <v>1989</v>
      </c>
      <c r="P1560"/>
    </row>
    <row r="1561" spans="15:16" hidden="1" x14ac:dyDescent="0.25">
      <c r="O1561" s="4" t="s">
        <v>1990</v>
      </c>
      <c r="P1561"/>
    </row>
    <row r="1562" spans="15:16" hidden="1" x14ac:dyDescent="0.25">
      <c r="O1562" s="4" t="s">
        <v>1991</v>
      </c>
      <c r="P1562"/>
    </row>
    <row r="1563" spans="15:16" hidden="1" x14ac:dyDescent="0.25">
      <c r="O1563" s="4" t="s">
        <v>1992</v>
      </c>
      <c r="P1563"/>
    </row>
    <row r="1564" spans="15:16" hidden="1" x14ac:dyDescent="0.25">
      <c r="O1564" s="4" t="s">
        <v>1993</v>
      </c>
      <c r="P1564"/>
    </row>
    <row r="1565" spans="15:16" hidden="1" x14ac:dyDescent="0.25">
      <c r="O1565" s="4" t="s">
        <v>1994</v>
      </c>
      <c r="P1565"/>
    </row>
    <row r="1566" spans="15:16" hidden="1" x14ac:dyDescent="0.25">
      <c r="O1566" s="4" t="s">
        <v>1995</v>
      </c>
      <c r="P1566"/>
    </row>
    <row r="1567" spans="15:16" hidden="1" x14ac:dyDescent="0.25">
      <c r="O1567" s="4" t="s">
        <v>1996</v>
      </c>
      <c r="P1567"/>
    </row>
    <row r="1568" spans="15:16" hidden="1" x14ac:dyDescent="0.25">
      <c r="O1568" s="4" t="s">
        <v>1997</v>
      </c>
      <c r="P1568"/>
    </row>
    <row r="1569" spans="15:16" hidden="1" x14ac:dyDescent="0.25">
      <c r="O1569" s="4" t="s">
        <v>1998</v>
      </c>
      <c r="P1569"/>
    </row>
    <row r="1570" spans="15:16" hidden="1" x14ac:dyDescent="0.25">
      <c r="O1570" s="4" t="s">
        <v>1999</v>
      </c>
      <c r="P1570"/>
    </row>
    <row r="1571" spans="15:16" hidden="1" x14ac:dyDescent="0.25">
      <c r="O1571" s="4" t="s">
        <v>2000</v>
      </c>
      <c r="P1571"/>
    </row>
    <row r="1572" spans="15:16" hidden="1" x14ac:dyDescent="0.25">
      <c r="O1572" s="4" t="s">
        <v>2001</v>
      </c>
      <c r="P1572"/>
    </row>
    <row r="1573" spans="15:16" hidden="1" x14ac:dyDescent="0.25">
      <c r="O1573" s="4" t="s">
        <v>2002</v>
      </c>
      <c r="P1573"/>
    </row>
    <row r="1574" spans="15:16" hidden="1" x14ac:dyDescent="0.25">
      <c r="O1574" s="4" t="s">
        <v>2003</v>
      </c>
      <c r="P1574"/>
    </row>
    <row r="1575" spans="15:16" hidden="1" x14ac:dyDescent="0.25">
      <c r="O1575" s="4" t="s">
        <v>2004</v>
      </c>
      <c r="P1575"/>
    </row>
    <row r="1576" spans="15:16" hidden="1" x14ac:dyDescent="0.25">
      <c r="O1576" s="4" t="s">
        <v>2005</v>
      </c>
      <c r="P1576"/>
    </row>
    <row r="1577" spans="15:16" hidden="1" x14ac:dyDescent="0.25">
      <c r="O1577" s="4" t="s">
        <v>2006</v>
      </c>
      <c r="P1577"/>
    </row>
    <row r="1578" spans="15:16" hidden="1" x14ac:dyDescent="0.25">
      <c r="O1578" s="4" t="s">
        <v>2007</v>
      </c>
      <c r="P1578"/>
    </row>
    <row r="1579" spans="15:16" hidden="1" x14ac:dyDescent="0.25">
      <c r="O1579" s="4" t="s">
        <v>2008</v>
      </c>
      <c r="P1579"/>
    </row>
    <row r="1580" spans="15:16" hidden="1" x14ac:dyDescent="0.25">
      <c r="O1580" s="4" t="s">
        <v>2009</v>
      </c>
      <c r="P1580"/>
    </row>
    <row r="1581" spans="15:16" hidden="1" x14ac:dyDescent="0.25">
      <c r="O1581" s="4" t="s">
        <v>2010</v>
      </c>
      <c r="P1581"/>
    </row>
    <row r="1582" spans="15:16" hidden="1" x14ac:dyDescent="0.25">
      <c r="O1582" s="4" t="s">
        <v>2011</v>
      </c>
      <c r="P1582"/>
    </row>
    <row r="1583" spans="15:16" hidden="1" x14ac:dyDescent="0.25">
      <c r="O1583" s="4" t="s">
        <v>2012</v>
      </c>
      <c r="P1583"/>
    </row>
    <row r="1584" spans="15:16" hidden="1" x14ac:dyDescent="0.25">
      <c r="O1584" s="4" t="s">
        <v>2013</v>
      </c>
      <c r="P1584"/>
    </row>
    <row r="1585" spans="15:16" hidden="1" x14ac:dyDescent="0.25">
      <c r="O1585" s="4" t="s">
        <v>2014</v>
      </c>
      <c r="P1585"/>
    </row>
    <row r="1586" spans="15:16" hidden="1" x14ac:dyDescent="0.25">
      <c r="O1586" s="4" t="s">
        <v>2015</v>
      </c>
      <c r="P1586"/>
    </row>
    <row r="1587" spans="15:16" hidden="1" x14ac:dyDescent="0.25">
      <c r="O1587" s="4" t="s">
        <v>2016</v>
      </c>
      <c r="P1587"/>
    </row>
    <row r="1588" spans="15:16" hidden="1" x14ac:dyDescent="0.25">
      <c r="O1588" s="4" t="s">
        <v>2017</v>
      </c>
      <c r="P1588"/>
    </row>
    <row r="1589" spans="15:16" hidden="1" x14ac:dyDescent="0.25">
      <c r="O1589" s="4" t="s">
        <v>2018</v>
      </c>
      <c r="P1589"/>
    </row>
    <row r="1590" spans="15:16" hidden="1" x14ac:dyDescent="0.25">
      <c r="O1590" s="4" t="s">
        <v>2019</v>
      </c>
      <c r="P1590"/>
    </row>
    <row r="1591" spans="15:16" hidden="1" x14ac:dyDescent="0.25">
      <c r="O1591" s="4" t="s">
        <v>2020</v>
      </c>
      <c r="P1591"/>
    </row>
    <row r="1592" spans="15:16" hidden="1" x14ac:dyDescent="0.25">
      <c r="O1592" s="4" t="s">
        <v>2021</v>
      </c>
      <c r="P1592"/>
    </row>
    <row r="1593" spans="15:16" hidden="1" x14ac:dyDescent="0.25">
      <c r="O1593" s="4" t="s">
        <v>2022</v>
      </c>
      <c r="P1593"/>
    </row>
    <row r="1594" spans="15:16" hidden="1" x14ac:dyDescent="0.25">
      <c r="O1594" s="4" t="s">
        <v>2023</v>
      </c>
      <c r="P1594"/>
    </row>
    <row r="1595" spans="15:16" hidden="1" x14ac:dyDescent="0.25">
      <c r="O1595" s="4" t="s">
        <v>2024</v>
      </c>
      <c r="P1595"/>
    </row>
    <row r="1596" spans="15:16" hidden="1" x14ac:dyDescent="0.25">
      <c r="O1596" s="4" t="s">
        <v>2025</v>
      </c>
      <c r="P1596"/>
    </row>
    <row r="1597" spans="15:16" hidden="1" x14ac:dyDescent="0.25">
      <c r="O1597" s="4" t="s">
        <v>2026</v>
      </c>
      <c r="P1597"/>
    </row>
    <row r="1598" spans="15:16" hidden="1" x14ac:dyDescent="0.25">
      <c r="O1598" s="4" t="s">
        <v>2027</v>
      </c>
      <c r="P1598"/>
    </row>
    <row r="1599" spans="15:16" hidden="1" x14ac:dyDescent="0.25">
      <c r="O1599" s="4" t="s">
        <v>2028</v>
      </c>
      <c r="P1599"/>
    </row>
    <row r="1600" spans="15:16" hidden="1" x14ac:dyDescent="0.25">
      <c r="O1600" s="4" t="s">
        <v>2029</v>
      </c>
      <c r="P1600"/>
    </row>
    <row r="1601" spans="15:16" hidden="1" x14ac:dyDescent="0.25">
      <c r="O1601" s="4" t="s">
        <v>2030</v>
      </c>
      <c r="P1601"/>
    </row>
    <row r="1602" spans="15:16" hidden="1" x14ac:dyDescent="0.25">
      <c r="O1602" s="4" t="s">
        <v>2031</v>
      </c>
      <c r="P1602"/>
    </row>
    <row r="1603" spans="15:16" hidden="1" x14ac:dyDescent="0.25">
      <c r="O1603" s="4" t="s">
        <v>2032</v>
      </c>
      <c r="P1603"/>
    </row>
    <row r="1604" spans="15:16" hidden="1" x14ac:dyDescent="0.25">
      <c r="O1604" s="4" t="s">
        <v>2033</v>
      </c>
      <c r="P1604"/>
    </row>
    <row r="1605" spans="15:16" hidden="1" x14ac:dyDescent="0.25">
      <c r="O1605" s="4" t="s">
        <v>2034</v>
      </c>
      <c r="P1605"/>
    </row>
    <row r="1606" spans="15:16" hidden="1" x14ac:dyDescent="0.25">
      <c r="O1606" s="4" t="s">
        <v>2035</v>
      </c>
      <c r="P1606"/>
    </row>
    <row r="1607" spans="15:16" hidden="1" x14ac:dyDescent="0.25">
      <c r="O1607" s="4" t="s">
        <v>2036</v>
      </c>
      <c r="P1607"/>
    </row>
    <row r="1608" spans="15:16" hidden="1" x14ac:dyDescent="0.25">
      <c r="O1608" s="4" t="s">
        <v>2037</v>
      </c>
      <c r="P1608"/>
    </row>
    <row r="1609" spans="15:16" hidden="1" x14ac:dyDescent="0.25">
      <c r="O1609" s="4" t="s">
        <v>2038</v>
      </c>
      <c r="P1609"/>
    </row>
    <row r="1610" spans="15:16" hidden="1" x14ac:dyDescent="0.25">
      <c r="O1610" s="4" t="s">
        <v>2039</v>
      </c>
      <c r="P1610"/>
    </row>
    <row r="1611" spans="15:16" hidden="1" x14ac:dyDescent="0.25">
      <c r="O1611" s="4" t="s">
        <v>2040</v>
      </c>
      <c r="P1611"/>
    </row>
    <row r="1612" spans="15:16" hidden="1" x14ac:dyDescent="0.25">
      <c r="O1612" s="4" t="s">
        <v>2041</v>
      </c>
      <c r="P1612"/>
    </row>
    <row r="1613" spans="15:16" hidden="1" x14ac:dyDescent="0.25">
      <c r="O1613" s="4" t="s">
        <v>2042</v>
      </c>
      <c r="P1613"/>
    </row>
    <row r="1614" spans="15:16" hidden="1" x14ac:dyDescent="0.25">
      <c r="O1614" s="4" t="s">
        <v>2043</v>
      </c>
      <c r="P1614"/>
    </row>
    <row r="1615" spans="15:16" hidden="1" x14ac:dyDescent="0.25">
      <c r="O1615" s="4" t="s">
        <v>2044</v>
      </c>
      <c r="P1615"/>
    </row>
    <row r="1616" spans="15:16" hidden="1" x14ac:dyDescent="0.25">
      <c r="O1616" s="4" t="s">
        <v>2045</v>
      </c>
      <c r="P1616"/>
    </row>
    <row r="1617" spans="15:16" hidden="1" x14ac:dyDescent="0.25">
      <c r="O1617" s="4" t="s">
        <v>2046</v>
      </c>
      <c r="P1617"/>
    </row>
    <row r="1618" spans="15:16" hidden="1" x14ac:dyDescent="0.25">
      <c r="O1618" s="4" t="s">
        <v>2047</v>
      </c>
      <c r="P1618"/>
    </row>
    <row r="1619" spans="15:16" hidden="1" x14ac:dyDescent="0.25">
      <c r="O1619" s="4" t="s">
        <v>2048</v>
      </c>
      <c r="P1619"/>
    </row>
    <row r="1620" spans="15:16" hidden="1" x14ac:dyDescent="0.25">
      <c r="O1620" s="4" t="s">
        <v>2049</v>
      </c>
      <c r="P1620"/>
    </row>
    <row r="1621" spans="15:16" hidden="1" x14ac:dyDescent="0.25">
      <c r="O1621" s="4" t="s">
        <v>2050</v>
      </c>
      <c r="P1621"/>
    </row>
    <row r="1622" spans="15:16" hidden="1" x14ac:dyDescent="0.25">
      <c r="O1622" s="4" t="s">
        <v>2051</v>
      </c>
      <c r="P1622"/>
    </row>
    <row r="1623" spans="15:16" hidden="1" x14ac:dyDescent="0.25">
      <c r="O1623" s="4" t="s">
        <v>2052</v>
      </c>
      <c r="P1623"/>
    </row>
    <row r="1624" spans="15:16" hidden="1" x14ac:dyDescent="0.25">
      <c r="O1624" s="4" t="s">
        <v>2053</v>
      </c>
      <c r="P1624"/>
    </row>
    <row r="1625" spans="15:16" hidden="1" x14ac:dyDescent="0.25">
      <c r="O1625" s="4" t="s">
        <v>2054</v>
      </c>
      <c r="P1625"/>
    </row>
    <row r="1626" spans="15:16" hidden="1" x14ac:dyDescent="0.25">
      <c r="O1626" s="4" t="s">
        <v>2055</v>
      </c>
      <c r="P1626"/>
    </row>
    <row r="1627" spans="15:16" hidden="1" x14ac:dyDescent="0.25">
      <c r="O1627" s="4" t="s">
        <v>2056</v>
      </c>
      <c r="P1627"/>
    </row>
    <row r="1628" spans="15:16" hidden="1" x14ac:dyDescent="0.25">
      <c r="O1628" s="4" t="s">
        <v>2057</v>
      </c>
      <c r="P1628"/>
    </row>
    <row r="1629" spans="15:16" hidden="1" x14ac:dyDescent="0.25">
      <c r="O1629" s="4" t="s">
        <v>2058</v>
      </c>
      <c r="P1629"/>
    </row>
    <row r="1630" spans="15:16" hidden="1" x14ac:dyDescent="0.25">
      <c r="O1630" s="4" t="s">
        <v>2059</v>
      </c>
      <c r="P1630"/>
    </row>
    <row r="1631" spans="15:16" hidden="1" x14ac:dyDescent="0.25">
      <c r="O1631" s="4" t="s">
        <v>2060</v>
      </c>
      <c r="P1631"/>
    </row>
    <row r="1632" spans="15:16" hidden="1" x14ac:dyDescent="0.25">
      <c r="O1632" s="4" t="s">
        <v>2061</v>
      </c>
      <c r="P1632"/>
    </row>
    <row r="1633" spans="15:16" hidden="1" x14ac:dyDescent="0.25">
      <c r="O1633" s="4" t="s">
        <v>2062</v>
      </c>
      <c r="P1633"/>
    </row>
    <row r="1634" spans="15:16" hidden="1" x14ac:dyDescent="0.25">
      <c r="O1634" s="4" t="s">
        <v>2063</v>
      </c>
      <c r="P1634"/>
    </row>
    <row r="1635" spans="15:16" hidden="1" x14ac:dyDescent="0.25">
      <c r="O1635" s="4" t="s">
        <v>2064</v>
      </c>
      <c r="P1635"/>
    </row>
    <row r="1636" spans="15:16" hidden="1" x14ac:dyDescent="0.25">
      <c r="O1636" s="4" t="s">
        <v>2065</v>
      </c>
      <c r="P1636"/>
    </row>
    <row r="1637" spans="15:16" hidden="1" x14ac:dyDescent="0.25">
      <c r="O1637" s="4" t="s">
        <v>2066</v>
      </c>
      <c r="P1637"/>
    </row>
    <row r="1638" spans="15:16" hidden="1" x14ac:dyDescent="0.25">
      <c r="O1638" s="4" t="s">
        <v>2067</v>
      </c>
      <c r="P1638"/>
    </row>
    <row r="1639" spans="15:16" hidden="1" x14ac:dyDescent="0.25">
      <c r="O1639" s="4" t="s">
        <v>2068</v>
      </c>
      <c r="P1639"/>
    </row>
    <row r="1640" spans="15:16" hidden="1" x14ac:dyDescent="0.25">
      <c r="O1640" s="4" t="s">
        <v>2069</v>
      </c>
      <c r="P1640"/>
    </row>
    <row r="1641" spans="15:16" hidden="1" x14ac:dyDescent="0.25">
      <c r="O1641" s="4" t="s">
        <v>2070</v>
      </c>
      <c r="P1641"/>
    </row>
    <row r="1642" spans="15:16" hidden="1" x14ac:dyDescent="0.25">
      <c r="O1642" s="4" t="s">
        <v>2071</v>
      </c>
      <c r="P1642"/>
    </row>
    <row r="1643" spans="15:16" hidden="1" x14ac:dyDescent="0.25">
      <c r="O1643" s="4" t="s">
        <v>2072</v>
      </c>
      <c r="P1643"/>
    </row>
    <row r="1644" spans="15:16" hidden="1" x14ac:dyDescent="0.25">
      <c r="O1644" s="4" t="s">
        <v>2073</v>
      </c>
      <c r="P1644"/>
    </row>
    <row r="1645" spans="15:16" hidden="1" x14ac:dyDescent="0.25">
      <c r="O1645" s="4" t="s">
        <v>2074</v>
      </c>
      <c r="P1645"/>
    </row>
    <row r="1646" spans="15:16" hidden="1" x14ac:dyDescent="0.25">
      <c r="O1646" s="4" t="s">
        <v>2075</v>
      </c>
      <c r="P1646"/>
    </row>
    <row r="1647" spans="15:16" hidden="1" x14ac:dyDescent="0.25">
      <c r="O1647" s="4" t="s">
        <v>2076</v>
      </c>
      <c r="P1647"/>
    </row>
    <row r="1648" spans="15:16" hidden="1" x14ac:dyDescent="0.25">
      <c r="O1648" s="4" t="s">
        <v>2077</v>
      </c>
      <c r="P1648"/>
    </row>
    <row r="1649" spans="15:16" hidden="1" x14ac:dyDescent="0.25">
      <c r="O1649" s="4" t="s">
        <v>2078</v>
      </c>
      <c r="P1649"/>
    </row>
    <row r="1650" spans="15:16" hidden="1" x14ac:dyDescent="0.25">
      <c r="O1650" s="4" t="s">
        <v>2079</v>
      </c>
      <c r="P1650"/>
    </row>
    <row r="1651" spans="15:16" hidden="1" x14ac:dyDescent="0.25">
      <c r="O1651" s="4" t="s">
        <v>2080</v>
      </c>
      <c r="P1651"/>
    </row>
    <row r="1652" spans="15:16" hidden="1" x14ac:dyDescent="0.25">
      <c r="O1652" s="4" t="s">
        <v>2081</v>
      </c>
      <c r="P1652"/>
    </row>
    <row r="1653" spans="15:16" hidden="1" x14ac:dyDescent="0.25">
      <c r="O1653" s="4" t="s">
        <v>2082</v>
      </c>
      <c r="P1653"/>
    </row>
    <row r="1654" spans="15:16" hidden="1" x14ac:dyDescent="0.25">
      <c r="O1654" s="4" t="s">
        <v>2083</v>
      </c>
      <c r="P1654"/>
    </row>
    <row r="1655" spans="15:16" hidden="1" x14ac:dyDescent="0.25">
      <c r="O1655" s="4" t="s">
        <v>2084</v>
      </c>
      <c r="P1655"/>
    </row>
    <row r="1656" spans="15:16" hidden="1" x14ac:dyDescent="0.25">
      <c r="O1656" s="4" t="s">
        <v>2085</v>
      </c>
      <c r="P1656"/>
    </row>
    <row r="1657" spans="15:16" hidden="1" x14ac:dyDescent="0.25">
      <c r="O1657" s="4" t="s">
        <v>2086</v>
      </c>
      <c r="P1657"/>
    </row>
    <row r="1658" spans="15:16" hidden="1" x14ac:dyDescent="0.25">
      <c r="O1658" s="4" t="s">
        <v>2087</v>
      </c>
      <c r="P1658"/>
    </row>
    <row r="1659" spans="15:16" hidden="1" x14ac:dyDescent="0.25">
      <c r="O1659" s="4" t="s">
        <v>2088</v>
      </c>
      <c r="P1659"/>
    </row>
    <row r="1660" spans="15:16" hidden="1" x14ac:dyDescent="0.25">
      <c r="O1660" s="4" t="s">
        <v>2089</v>
      </c>
      <c r="P1660"/>
    </row>
    <row r="1661" spans="15:16" hidden="1" x14ac:dyDescent="0.25">
      <c r="O1661" s="4" t="s">
        <v>2090</v>
      </c>
      <c r="P1661"/>
    </row>
    <row r="1662" spans="15:16" hidden="1" x14ac:dyDescent="0.25">
      <c r="O1662" s="4" t="s">
        <v>2091</v>
      </c>
      <c r="P1662"/>
    </row>
    <row r="1663" spans="15:16" hidden="1" x14ac:dyDescent="0.25">
      <c r="O1663" s="4" t="s">
        <v>2092</v>
      </c>
      <c r="P1663"/>
    </row>
    <row r="1664" spans="15:16" hidden="1" x14ac:dyDescent="0.25">
      <c r="O1664" s="4" t="s">
        <v>2093</v>
      </c>
      <c r="P1664"/>
    </row>
    <row r="1665" spans="15:16" hidden="1" x14ac:dyDescent="0.25">
      <c r="O1665" s="4" t="s">
        <v>2094</v>
      </c>
      <c r="P1665"/>
    </row>
    <row r="1666" spans="15:16" hidden="1" x14ac:dyDescent="0.25">
      <c r="O1666" s="4" t="s">
        <v>2095</v>
      </c>
      <c r="P1666"/>
    </row>
    <row r="1667" spans="15:16" hidden="1" x14ac:dyDescent="0.25">
      <c r="O1667" s="4" t="s">
        <v>2096</v>
      </c>
      <c r="P1667"/>
    </row>
    <row r="1668" spans="15:16" hidden="1" x14ac:dyDescent="0.25">
      <c r="O1668" s="4" t="s">
        <v>2097</v>
      </c>
      <c r="P1668"/>
    </row>
    <row r="1669" spans="15:16" hidden="1" x14ac:dyDescent="0.25">
      <c r="O1669" s="4" t="s">
        <v>2098</v>
      </c>
      <c r="P1669"/>
    </row>
    <row r="1670" spans="15:16" hidden="1" x14ac:dyDescent="0.25">
      <c r="O1670" s="4" t="s">
        <v>2099</v>
      </c>
      <c r="P1670"/>
    </row>
    <row r="1671" spans="15:16" hidden="1" x14ac:dyDescent="0.25">
      <c r="O1671" s="4" t="s">
        <v>2100</v>
      </c>
      <c r="P1671"/>
    </row>
    <row r="1672" spans="15:16" hidden="1" x14ac:dyDescent="0.25">
      <c r="O1672" s="4" t="s">
        <v>2101</v>
      </c>
      <c r="P1672"/>
    </row>
    <row r="1673" spans="15:16" hidden="1" x14ac:dyDescent="0.25">
      <c r="O1673" s="4" t="s">
        <v>2102</v>
      </c>
      <c r="P1673"/>
    </row>
    <row r="1674" spans="15:16" hidden="1" x14ac:dyDescent="0.25">
      <c r="O1674" s="4" t="s">
        <v>2103</v>
      </c>
      <c r="P1674"/>
    </row>
    <row r="1675" spans="15:16" hidden="1" x14ac:dyDescent="0.25">
      <c r="O1675" s="4" t="s">
        <v>2104</v>
      </c>
      <c r="P1675"/>
    </row>
    <row r="1676" spans="15:16" hidden="1" x14ac:dyDescent="0.25">
      <c r="O1676" s="4" t="s">
        <v>2105</v>
      </c>
      <c r="P1676"/>
    </row>
    <row r="1677" spans="15:16" hidden="1" x14ac:dyDescent="0.25">
      <c r="O1677" s="4" t="s">
        <v>2106</v>
      </c>
      <c r="P1677"/>
    </row>
    <row r="1678" spans="15:16" hidden="1" x14ac:dyDescent="0.25">
      <c r="O1678" s="4" t="s">
        <v>2107</v>
      </c>
      <c r="P1678"/>
    </row>
    <row r="1679" spans="15:16" hidden="1" x14ac:dyDescent="0.25">
      <c r="O1679" s="4" t="s">
        <v>2108</v>
      </c>
      <c r="P1679"/>
    </row>
    <row r="1680" spans="15:16" hidden="1" x14ac:dyDescent="0.25">
      <c r="O1680" s="4" t="s">
        <v>2109</v>
      </c>
      <c r="P1680"/>
    </row>
    <row r="1681" spans="15:16" hidden="1" x14ac:dyDescent="0.25">
      <c r="O1681" s="4" t="s">
        <v>2110</v>
      </c>
      <c r="P1681"/>
    </row>
    <row r="1682" spans="15:16" hidden="1" x14ac:dyDescent="0.25">
      <c r="O1682" s="4" t="s">
        <v>2111</v>
      </c>
      <c r="P1682"/>
    </row>
    <row r="1683" spans="15:16" hidden="1" x14ac:dyDescent="0.25">
      <c r="O1683" s="4" t="s">
        <v>2112</v>
      </c>
      <c r="P1683"/>
    </row>
    <row r="1684" spans="15:16" hidden="1" x14ac:dyDescent="0.25">
      <c r="O1684" s="4" t="s">
        <v>2113</v>
      </c>
      <c r="P1684"/>
    </row>
    <row r="1685" spans="15:16" hidden="1" x14ac:dyDescent="0.25">
      <c r="O1685" s="4" t="s">
        <v>2114</v>
      </c>
      <c r="P1685"/>
    </row>
    <row r="1686" spans="15:16" hidden="1" x14ac:dyDescent="0.25">
      <c r="O1686" s="4" t="s">
        <v>2115</v>
      </c>
      <c r="P1686"/>
    </row>
    <row r="1687" spans="15:16" hidden="1" x14ac:dyDescent="0.25">
      <c r="O1687" s="4" t="s">
        <v>2116</v>
      </c>
      <c r="P1687"/>
    </row>
    <row r="1688" spans="15:16" hidden="1" x14ac:dyDescent="0.25">
      <c r="O1688" s="4" t="s">
        <v>2117</v>
      </c>
      <c r="P1688"/>
    </row>
    <row r="1689" spans="15:16" hidden="1" x14ac:dyDescent="0.25">
      <c r="O1689" s="4" t="s">
        <v>2118</v>
      </c>
      <c r="P1689"/>
    </row>
    <row r="1690" spans="15:16" hidden="1" x14ac:dyDescent="0.25">
      <c r="O1690" s="4" t="s">
        <v>2119</v>
      </c>
      <c r="P1690"/>
    </row>
    <row r="1691" spans="15:16" hidden="1" x14ac:dyDescent="0.25">
      <c r="O1691" s="4" t="s">
        <v>2120</v>
      </c>
      <c r="P1691"/>
    </row>
    <row r="1692" spans="15:16" hidden="1" x14ac:dyDescent="0.25">
      <c r="O1692" s="4" t="s">
        <v>2121</v>
      </c>
      <c r="P1692"/>
    </row>
    <row r="1693" spans="15:16" hidden="1" x14ac:dyDescent="0.25">
      <c r="O1693" s="4" t="s">
        <v>2122</v>
      </c>
      <c r="P1693"/>
    </row>
    <row r="1694" spans="15:16" hidden="1" x14ac:dyDescent="0.25">
      <c r="O1694" s="4" t="s">
        <v>2123</v>
      </c>
      <c r="P1694"/>
    </row>
    <row r="1695" spans="15:16" hidden="1" x14ac:dyDescent="0.25">
      <c r="O1695" s="4" t="s">
        <v>2124</v>
      </c>
      <c r="P1695"/>
    </row>
    <row r="1696" spans="15:16" hidden="1" x14ac:dyDescent="0.25">
      <c r="O1696" s="4" t="s">
        <v>2125</v>
      </c>
      <c r="P1696"/>
    </row>
    <row r="1697" spans="15:16" hidden="1" x14ac:dyDescent="0.25">
      <c r="O1697" s="4" t="s">
        <v>2126</v>
      </c>
      <c r="P1697"/>
    </row>
    <row r="1698" spans="15:16" hidden="1" x14ac:dyDescent="0.25">
      <c r="O1698" s="4" t="s">
        <v>2127</v>
      </c>
      <c r="P1698"/>
    </row>
    <row r="1699" spans="15:16" hidden="1" x14ac:dyDescent="0.25">
      <c r="O1699" s="4" t="s">
        <v>2128</v>
      </c>
      <c r="P1699"/>
    </row>
    <row r="1700" spans="15:16" hidden="1" x14ac:dyDescent="0.25">
      <c r="O1700" s="4" t="s">
        <v>2129</v>
      </c>
      <c r="P1700"/>
    </row>
    <row r="1701" spans="15:16" hidden="1" x14ac:dyDescent="0.25">
      <c r="O1701" s="4" t="s">
        <v>2130</v>
      </c>
      <c r="P1701"/>
    </row>
    <row r="1702" spans="15:16" hidden="1" x14ac:dyDescent="0.25">
      <c r="O1702" s="4" t="s">
        <v>2131</v>
      </c>
      <c r="P1702"/>
    </row>
    <row r="1703" spans="15:16" hidden="1" x14ac:dyDescent="0.25">
      <c r="O1703" s="4" t="s">
        <v>2132</v>
      </c>
      <c r="P1703"/>
    </row>
    <row r="1704" spans="15:16" hidden="1" x14ac:dyDescent="0.25">
      <c r="O1704" s="4" t="s">
        <v>2133</v>
      </c>
      <c r="P1704"/>
    </row>
    <row r="1705" spans="15:16" hidden="1" x14ac:dyDescent="0.25">
      <c r="O1705" s="4" t="s">
        <v>2134</v>
      </c>
      <c r="P1705"/>
    </row>
    <row r="1706" spans="15:16" hidden="1" x14ac:dyDescent="0.25">
      <c r="O1706" s="4" t="s">
        <v>2135</v>
      </c>
      <c r="P1706"/>
    </row>
    <row r="1707" spans="15:16" hidden="1" x14ac:dyDescent="0.25">
      <c r="O1707" s="4" t="s">
        <v>2136</v>
      </c>
      <c r="P1707"/>
    </row>
    <row r="1708" spans="15:16" hidden="1" x14ac:dyDescent="0.25">
      <c r="O1708" s="4" t="s">
        <v>2137</v>
      </c>
      <c r="P1708"/>
    </row>
    <row r="1709" spans="15:16" hidden="1" x14ac:dyDescent="0.25">
      <c r="O1709" s="4" t="s">
        <v>2138</v>
      </c>
      <c r="P1709"/>
    </row>
    <row r="1710" spans="15:16" hidden="1" x14ac:dyDescent="0.25">
      <c r="O1710" s="4" t="s">
        <v>2139</v>
      </c>
      <c r="P1710"/>
    </row>
    <row r="1711" spans="15:16" hidden="1" x14ac:dyDescent="0.25">
      <c r="O1711" s="4" t="s">
        <v>2140</v>
      </c>
      <c r="P1711"/>
    </row>
    <row r="1712" spans="15:16" hidden="1" x14ac:dyDescent="0.25">
      <c r="O1712" s="4" t="s">
        <v>2141</v>
      </c>
      <c r="P1712"/>
    </row>
    <row r="1713" spans="15:16" hidden="1" x14ac:dyDescent="0.25">
      <c r="O1713" s="4" t="s">
        <v>2142</v>
      </c>
      <c r="P1713"/>
    </row>
    <row r="1714" spans="15:16" hidden="1" x14ac:dyDescent="0.25">
      <c r="O1714" s="4" t="s">
        <v>2143</v>
      </c>
      <c r="P1714"/>
    </row>
    <row r="1715" spans="15:16" hidden="1" x14ac:dyDescent="0.25">
      <c r="O1715" s="4" t="s">
        <v>2144</v>
      </c>
      <c r="P1715"/>
    </row>
    <row r="1716" spans="15:16" hidden="1" x14ac:dyDescent="0.25">
      <c r="O1716" s="4" t="s">
        <v>2145</v>
      </c>
      <c r="P1716"/>
    </row>
    <row r="1717" spans="15:16" hidden="1" x14ac:dyDescent="0.25">
      <c r="O1717" s="4" t="s">
        <v>2146</v>
      </c>
      <c r="P1717"/>
    </row>
    <row r="1718" spans="15:16" hidden="1" x14ac:dyDescent="0.25">
      <c r="O1718" s="4" t="s">
        <v>2147</v>
      </c>
      <c r="P1718"/>
    </row>
    <row r="1719" spans="15:16" hidden="1" x14ac:dyDescent="0.25">
      <c r="O1719" s="4" t="s">
        <v>2148</v>
      </c>
      <c r="P1719"/>
    </row>
    <row r="1720" spans="15:16" hidden="1" x14ac:dyDescent="0.25">
      <c r="O1720" s="4" t="s">
        <v>2149</v>
      </c>
      <c r="P1720"/>
    </row>
    <row r="1721" spans="15:16" hidden="1" x14ac:dyDescent="0.25">
      <c r="O1721" s="4" t="s">
        <v>2150</v>
      </c>
      <c r="P1721"/>
    </row>
    <row r="1722" spans="15:16" hidden="1" x14ac:dyDescent="0.25">
      <c r="O1722" s="4" t="s">
        <v>2151</v>
      </c>
      <c r="P1722"/>
    </row>
    <row r="1723" spans="15:16" hidden="1" x14ac:dyDescent="0.25">
      <c r="O1723" s="4" t="s">
        <v>2152</v>
      </c>
      <c r="P1723"/>
    </row>
    <row r="1724" spans="15:16" hidden="1" x14ac:dyDescent="0.25">
      <c r="O1724" s="4" t="s">
        <v>2153</v>
      </c>
      <c r="P1724"/>
    </row>
    <row r="1725" spans="15:16" hidden="1" x14ac:dyDescent="0.25">
      <c r="O1725" s="4" t="s">
        <v>2154</v>
      </c>
      <c r="P1725"/>
    </row>
    <row r="1726" spans="15:16" hidden="1" x14ac:dyDescent="0.25">
      <c r="O1726" s="4" t="s">
        <v>2155</v>
      </c>
      <c r="P1726"/>
    </row>
    <row r="1727" spans="15:16" hidden="1" x14ac:dyDescent="0.25">
      <c r="O1727" s="4" t="s">
        <v>2156</v>
      </c>
      <c r="P1727"/>
    </row>
    <row r="1728" spans="15:16" hidden="1" x14ac:dyDescent="0.25">
      <c r="O1728" s="4" t="s">
        <v>2157</v>
      </c>
      <c r="P1728"/>
    </row>
    <row r="1729" spans="15:16" hidden="1" x14ac:dyDescent="0.25">
      <c r="O1729" s="4" t="s">
        <v>2158</v>
      </c>
      <c r="P1729"/>
    </row>
    <row r="1730" spans="15:16" hidden="1" x14ac:dyDescent="0.25">
      <c r="O1730" s="4" t="s">
        <v>2159</v>
      </c>
      <c r="P1730"/>
    </row>
    <row r="1731" spans="15:16" hidden="1" x14ac:dyDescent="0.25">
      <c r="O1731" s="4" t="s">
        <v>2160</v>
      </c>
      <c r="P1731"/>
    </row>
    <row r="1732" spans="15:16" hidden="1" x14ac:dyDescent="0.25">
      <c r="O1732" s="4" t="s">
        <v>2161</v>
      </c>
      <c r="P1732"/>
    </row>
    <row r="1733" spans="15:16" hidden="1" x14ac:dyDescent="0.25">
      <c r="O1733" s="4" t="s">
        <v>2162</v>
      </c>
      <c r="P1733"/>
    </row>
    <row r="1734" spans="15:16" hidden="1" x14ac:dyDescent="0.25">
      <c r="O1734" s="4" t="s">
        <v>2163</v>
      </c>
      <c r="P1734"/>
    </row>
    <row r="1735" spans="15:16" hidden="1" x14ac:dyDescent="0.25">
      <c r="O1735" s="4" t="s">
        <v>2164</v>
      </c>
      <c r="P1735"/>
    </row>
    <row r="1736" spans="15:16" hidden="1" x14ac:dyDescent="0.25">
      <c r="O1736" s="4" t="s">
        <v>2165</v>
      </c>
      <c r="P1736"/>
    </row>
    <row r="1737" spans="15:16" hidden="1" x14ac:dyDescent="0.25">
      <c r="O1737" s="4" t="s">
        <v>2166</v>
      </c>
      <c r="P1737"/>
    </row>
    <row r="1738" spans="15:16" hidden="1" x14ac:dyDescent="0.25">
      <c r="O1738" s="4" t="s">
        <v>2167</v>
      </c>
      <c r="P1738"/>
    </row>
    <row r="1739" spans="15:16" hidden="1" x14ac:dyDescent="0.25">
      <c r="O1739" s="4" t="s">
        <v>2168</v>
      </c>
      <c r="P1739"/>
    </row>
    <row r="1740" spans="15:16" hidden="1" x14ac:dyDescent="0.25">
      <c r="O1740" s="4" t="s">
        <v>2169</v>
      </c>
      <c r="P1740"/>
    </row>
    <row r="1741" spans="15:16" hidden="1" x14ac:dyDescent="0.25">
      <c r="O1741" s="4" t="s">
        <v>2170</v>
      </c>
      <c r="P1741"/>
    </row>
    <row r="1742" spans="15:16" hidden="1" x14ac:dyDescent="0.25">
      <c r="O1742" s="4" t="s">
        <v>2171</v>
      </c>
      <c r="P1742"/>
    </row>
    <row r="1743" spans="15:16" hidden="1" x14ac:dyDescent="0.25">
      <c r="O1743" s="4" t="s">
        <v>2172</v>
      </c>
      <c r="P1743"/>
    </row>
    <row r="1744" spans="15:16" hidden="1" x14ac:dyDescent="0.25">
      <c r="O1744" s="4" t="s">
        <v>2173</v>
      </c>
      <c r="P1744"/>
    </row>
    <row r="1745" spans="15:16" hidden="1" x14ac:dyDescent="0.25">
      <c r="O1745" s="4" t="s">
        <v>2174</v>
      </c>
      <c r="P1745"/>
    </row>
    <row r="1746" spans="15:16" hidden="1" x14ac:dyDescent="0.25">
      <c r="O1746" s="4" t="s">
        <v>2175</v>
      </c>
      <c r="P1746"/>
    </row>
    <row r="1747" spans="15:16" hidden="1" x14ac:dyDescent="0.25">
      <c r="O1747" s="4" t="s">
        <v>2176</v>
      </c>
      <c r="P1747"/>
    </row>
    <row r="1748" spans="15:16" hidden="1" x14ac:dyDescent="0.25">
      <c r="O1748" s="4" t="s">
        <v>2177</v>
      </c>
      <c r="P1748"/>
    </row>
    <row r="1749" spans="15:16" hidden="1" x14ac:dyDescent="0.25">
      <c r="O1749" s="4" t="s">
        <v>2178</v>
      </c>
      <c r="P1749"/>
    </row>
    <row r="1750" spans="15:16" hidden="1" x14ac:dyDescent="0.25">
      <c r="O1750" s="4" t="s">
        <v>2179</v>
      </c>
      <c r="P1750"/>
    </row>
    <row r="1751" spans="15:16" hidden="1" x14ac:dyDescent="0.25">
      <c r="O1751" s="4" t="s">
        <v>2180</v>
      </c>
      <c r="P1751"/>
    </row>
    <row r="1752" spans="15:16" hidden="1" x14ac:dyDescent="0.25">
      <c r="O1752" s="4" t="s">
        <v>2181</v>
      </c>
      <c r="P1752"/>
    </row>
    <row r="1753" spans="15:16" hidden="1" x14ac:dyDescent="0.25">
      <c r="O1753" s="4" t="s">
        <v>2182</v>
      </c>
      <c r="P1753"/>
    </row>
    <row r="1754" spans="15:16" hidden="1" x14ac:dyDescent="0.25">
      <c r="O1754" s="4" t="s">
        <v>2183</v>
      </c>
      <c r="P1754"/>
    </row>
    <row r="1755" spans="15:16" hidden="1" x14ac:dyDescent="0.25">
      <c r="O1755" s="4" t="s">
        <v>2184</v>
      </c>
      <c r="P1755"/>
    </row>
    <row r="1756" spans="15:16" hidden="1" x14ac:dyDescent="0.25">
      <c r="O1756" s="4" t="s">
        <v>2185</v>
      </c>
      <c r="P1756"/>
    </row>
    <row r="1757" spans="15:16" hidden="1" x14ac:dyDescent="0.25">
      <c r="O1757" s="4" t="s">
        <v>2186</v>
      </c>
      <c r="P1757"/>
    </row>
    <row r="1758" spans="15:16" hidden="1" x14ac:dyDescent="0.25">
      <c r="O1758" s="4" t="s">
        <v>2187</v>
      </c>
      <c r="P1758"/>
    </row>
    <row r="1759" spans="15:16" hidden="1" x14ac:dyDescent="0.25">
      <c r="O1759" s="4" t="s">
        <v>2188</v>
      </c>
      <c r="P1759"/>
    </row>
    <row r="1760" spans="15:16" hidden="1" x14ac:dyDescent="0.25">
      <c r="O1760" s="4" t="s">
        <v>2189</v>
      </c>
      <c r="P1760"/>
    </row>
    <row r="1761" spans="15:16" hidden="1" x14ac:dyDescent="0.25">
      <c r="O1761" s="4" t="s">
        <v>2190</v>
      </c>
      <c r="P1761"/>
    </row>
    <row r="1762" spans="15:16" hidden="1" x14ac:dyDescent="0.25">
      <c r="O1762" s="4" t="s">
        <v>2191</v>
      </c>
      <c r="P1762"/>
    </row>
    <row r="1763" spans="15:16" hidden="1" x14ac:dyDescent="0.25">
      <c r="O1763" s="4" t="s">
        <v>2192</v>
      </c>
      <c r="P1763"/>
    </row>
    <row r="1764" spans="15:16" hidden="1" x14ac:dyDescent="0.25">
      <c r="O1764" s="4" t="s">
        <v>2193</v>
      </c>
      <c r="P1764"/>
    </row>
    <row r="1765" spans="15:16" hidden="1" x14ac:dyDescent="0.25">
      <c r="O1765" s="4" t="s">
        <v>2194</v>
      </c>
      <c r="P1765"/>
    </row>
    <row r="1766" spans="15:16" hidden="1" x14ac:dyDescent="0.25">
      <c r="O1766" s="4" t="s">
        <v>2195</v>
      </c>
      <c r="P1766"/>
    </row>
    <row r="1767" spans="15:16" hidden="1" x14ac:dyDescent="0.25">
      <c r="O1767" s="4" t="s">
        <v>2196</v>
      </c>
      <c r="P1767"/>
    </row>
    <row r="1768" spans="15:16" hidden="1" x14ac:dyDescent="0.25">
      <c r="O1768" s="4" t="s">
        <v>2197</v>
      </c>
      <c r="P1768"/>
    </row>
    <row r="1769" spans="15:16" hidden="1" x14ac:dyDescent="0.25">
      <c r="O1769" s="4" t="s">
        <v>2198</v>
      </c>
      <c r="P1769"/>
    </row>
    <row r="1770" spans="15:16" hidden="1" x14ac:dyDescent="0.25">
      <c r="O1770" s="4" t="s">
        <v>2199</v>
      </c>
      <c r="P1770"/>
    </row>
    <row r="1771" spans="15:16" hidden="1" x14ac:dyDescent="0.25">
      <c r="O1771" s="4" t="s">
        <v>2200</v>
      </c>
      <c r="P1771"/>
    </row>
    <row r="1772" spans="15:16" hidden="1" x14ac:dyDescent="0.25">
      <c r="O1772" s="4" t="s">
        <v>2201</v>
      </c>
      <c r="P1772"/>
    </row>
    <row r="1773" spans="15:16" hidden="1" x14ac:dyDescent="0.25">
      <c r="O1773" s="4" t="s">
        <v>2202</v>
      </c>
      <c r="P1773"/>
    </row>
    <row r="1774" spans="15:16" hidden="1" x14ac:dyDescent="0.25">
      <c r="O1774" s="4" t="s">
        <v>2203</v>
      </c>
      <c r="P1774"/>
    </row>
    <row r="1775" spans="15:16" hidden="1" x14ac:dyDescent="0.25">
      <c r="O1775" s="4" t="s">
        <v>2204</v>
      </c>
      <c r="P1775"/>
    </row>
    <row r="1776" spans="15:16" hidden="1" x14ac:dyDescent="0.25">
      <c r="O1776" s="4" t="s">
        <v>2205</v>
      </c>
      <c r="P1776"/>
    </row>
    <row r="1777" spans="15:16" hidden="1" x14ac:dyDescent="0.25">
      <c r="O1777" s="4" t="s">
        <v>2206</v>
      </c>
      <c r="P1777"/>
    </row>
    <row r="1778" spans="15:16" hidden="1" x14ac:dyDescent="0.25">
      <c r="O1778" s="4" t="s">
        <v>2207</v>
      </c>
      <c r="P1778"/>
    </row>
    <row r="1779" spans="15:16" hidden="1" x14ac:dyDescent="0.25">
      <c r="O1779" s="4" t="s">
        <v>2208</v>
      </c>
      <c r="P1779"/>
    </row>
    <row r="1780" spans="15:16" hidden="1" x14ac:dyDescent="0.25">
      <c r="O1780" s="4" t="s">
        <v>2209</v>
      </c>
      <c r="P1780"/>
    </row>
    <row r="1781" spans="15:16" hidden="1" x14ac:dyDescent="0.25">
      <c r="O1781" s="4" t="s">
        <v>2210</v>
      </c>
      <c r="P1781"/>
    </row>
    <row r="1782" spans="15:16" hidden="1" x14ac:dyDescent="0.25">
      <c r="O1782" s="4" t="s">
        <v>2211</v>
      </c>
      <c r="P1782"/>
    </row>
    <row r="1783" spans="15:16" hidden="1" x14ac:dyDescent="0.25">
      <c r="O1783" s="4" t="s">
        <v>2212</v>
      </c>
      <c r="P1783"/>
    </row>
    <row r="1784" spans="15:16" hidden="1" x14ac:dyDescent="0.25">
      <c r="O1784" s="4" t="s">
        <v>2213</v>
      </c>
      <c r="P1784"/>
    </row>
    <row r="1785" spans="15:16" hidden="1" x14ac:dyDescent="0.25">
      <c r="O1785" s="4" t="s">
        <v>2214</v>
      </c>
      <c r="P1785"/>
    </row>
    <row r="1786" spans="15:16" hidden="1" x14ac:dyDescent="0.25">
      <c r="O1786" s="4" t="s">
        <v>2215</v>
      </c>
      <c r="P1786"/>
    </row>
    <row r="1787" spans="15:16" hidden="1" x14ac:dyDescent="0.25">
      <c r="O1787" s="4" t="s">
        <v>2216</v>
      </c>
      <c r="P1787"/>
    </row>
    <row r="1788" spans="15:16" hidden="1" x14ac:dyDescent="0.25">
      <c r="O1788" s="4" t="s">
        <v>2217</v>
      </c>
      <c r="P1788"/>
    </row>
    <row r="1789" spans="15:16" hidden="1" x14ac:dyDescent="0.25">
      <c r="O1789" s="4" t="s">
        <v>2218</v>
      </c>
      <c r="P1789"/>
    </row>
    <row r="1790" spans="15:16" hidden="1" x14ac:dyDescent="0.25">
      <c r="O1790" s="4" t="s">
        <v>2219</v>
      </c>
      <c r="P1790"/>
    </row>
    <row r="1791" spans="15:16" hidden="1" x14ac:dyDescent="0.25">
      <c r="O1791" s="4" t="s">
        <v>2220</v>
      </c>
      <c r="P1791"/>
    </row>
    <row r="1792" spans="15:16" hidden="1" x14ac:dyDescent="0.25">
      <c r="O1792" s="4" t="s">
        <v>2221</v>
      </c>
      <c r="P1792"/>
    </row>
    <row r="1793" spans="15:16" hidden="1" x14ac:dyDescent="0.25">
      <c r="O1793" s="4" t="s">
        <v>2222</v>
      </c>
      <c r="P1793"/>
    </row>
    <row r="1794" spans="15:16" hidden="1" x14ac:dyDescent="0.25">
      <c r="O1794" s="4" t="s">
        <v>2223</v>
      </c>
      <c r="P1794"/>
    </row>
    <row r="1795" spans="15:16" hidden="1" x14ac:dyDescent="0.25">
      <c r="O1795" s="4" t="s">
        <v>2224</v>
      </c>
      <c r="P1795"/>
    </row>
    <row r="1796" spans="15:16" hidden="1" x14ac:dyDescent="0.25">
      <c r="O1796" s="4" t="s">
        <v>2225</v>
      </c>
      <c r="P1796"/>
    </row>
    <row r="1797" spans="15:16" hidden="1" x14ac:dyDescent="0.25">
      <c r="O1797" s="4" t="s">
        <v>2226</v>
      </c>
      <c r="P1797"/>
    </row>
    <row r="1798" spans="15:16" hidden="1" x14ac:dyDescent="0.25">
      <c r="O1798" s="4" t="s">
        <v>2227</v>
      </c>
      <c r="P1798"/>
    </row>
    <row r="1799" spans="15:16" hidden="1" x14ac:dyDescent="0.25">
      <c r="O1799" s="4" t="s">
        <v>2228</v>
      </c>
      <c r="P1799"/>
    </row>
    <row r="1800" spans="15:16" hidden="1" x14ac:dyDescent="0.25">
      <c r="O1800" s="4" t="s">
        <v>2229</v>
      </c>
      <c r="P1800"/>
    </row>
    <row r="1801" spans="15:16" hidden="1" x14ac:dyDescent="0.25">
      <c r="O1801" s="4" t="s">
        <v>2230</v>
      </c>
      <c r="P1801"/>
    </row>
    <row r="1802" spans="15:16" hidden="1" x14ac:dyDescent="0.25">
      <c r="O1802" s="4" t="s">
        <v>2231</v>
      </c>
      <c r="P1802"/>
    </row>
    <row r="1803" spans="15:16" hidden="1" x14ac:dyDescent="0.25">
      <c r="O1803" s="4" t="s">
        <v>2232</v>
      </c>
      <c r="P1803"/>
    </row>
    <row r="1804" spans="15:16" hidden="1" x14ac:dyDescent="0.25">
      <c r="O1804" s="4" t="s">
        <v>2233</v>
      </c>
      <c r="P1804"/>
    </row>
    <row r="1805" spans="15:16" hidden="1" x14ac:dyDescent="0.25">
      <c r="O1805" s="4" t="s">
        <v>2234</v>
      </c>
      <c r="P1805"/>
    </row>
    <row r="1806" spans="15:16" hidden="1" x14ac:dyDescent="0.25">
      <c r="O1806" s="4" t="s">
        <v>2235</v>
      </c>
      <c r="P1806"/>
    </row>
    <row r="1807" spans="15:16" hidden="1" x14ac:dyDescent="0.25">
      <c r="O1807" s="4" t="s">
        <v>2236</v>
      </c>
      <c r="P1807"/>
    </row>
    <row r="1808" spans="15:16" hidden="1" x14ac:dyDescent="0.25">
      <c r="O1808" s="4" t="s">
        <v>2237</v>
      </c>
      <c r="P1808"/>
    </row>
    <row r="1809" spans="15:16" hidden="1" x14ac:dyDescent="0.25">
      <c r="O1809" s="4" t="s">
        <v>2238</v>
      </c>
      <c r="P1809"/>
    </row>
    <row r="1810" spans="15:16" hidden="1" x14ac:dyDescent="0.25">
      <c r="O1810" s="4" t="s">
        <v>2239</v>
      </c>
      <c r="P1810"/>
    </row>
    <row r="1811" spans="15:16" hidden="1" x14ac:dyDescent="0.25">
      <c r="O1811" s="4" t="s">
        <v>2240</v>
      </c>
      <c r="P1811"/>
    </row>
    <row r="1812" spans="15:16" hidden="1" x14ac:dyDescent="0.25">
      <c r="O1812" s="4" t="s">
        <v>2241</v>
      </c>
      <c r="P1812"/>
    </row>
    <row r="1813" spans="15:16" hidden="1" x14ac:dyDescent="0.25">
      <c r="O1813" s="4" t="s">
        <v>2242</v>
      </c>
      <c r="P1813"/>
    </row>
    <row r="1814" spans="15:16" hidden="1" x14ac:dyDescent="0.25">
      <c r="O1814" s="4" t="s">
        <v>2243</v>
      </c>
      <c r="P1814"/>
    </row>
    <row r="1815" spans="15:16" hidden="1" x14ac:dyDescent="0.25">
      <c r="O1815" s="4" t="s">
        <v>2244</v>
      </c>
      <c r="P1815"/>
    </row>
    <row r="1816" spans="15:16" hidden="1" x14ac:dyDescent="0.25">
      <c r="O1816" s="4" t="s">
        <v>2245</v>
      </c>
      <c r="P1816"/>
    </row>
    <row r="1817" spans="15:16" hidden="1" x14ac:dyDescent="0.25">
      <c r="O1817" s="4" t="s">
        <v>2246</v>
      </c>
      <c r="P1817"/>
    </row>
    <row r="1818" spans="15:16" hidden="1" x14ac:dyDescent="0.25">
      <c r="O1818" s="4" t="s">
        <v>2247</v>
      </c>
      <c r="P1818"/>
    </row>
    <row r="1819" spans="15:16" hidden="1" x14ac:dyDescent="0.25">
      <c r="O1819" s="4" t="s">
        <v>2248</v>
      </c>
      <c r="P1819"/>
    </row>
    <row r="1820" spans="15:16" hidden="1" x14ac:dyDescent="0.25">
      <c r="O1820" s="4" t="s">
        <v>2249</v>
      </c>
      <c r="P1820"/>
    </row>
    <row r="1821" spans="15:16" hidden="1" x14ac:dyDescent="0.25">
      <c r="O1821" s="4" t="s">
        <v>2250</v>
      </c>
      <c r="P1821"/>
    </row>
    <row r="1822" spans="15:16" hidden="1" x14ac:dyDescent="0.25">
      <c r="O1822" s="4" t="s">
        <v>2251</v>
      </c>
      <c r="P1822"/>
    </row>
    <row r="1823" spans="15:16" hidden="1" x14ac:dyDescent="0.25">
      <c r="O1823" s="4" t="s">
        <v>2252</v>
      </c>
      <c r="P1823"/>
    </row>
    <row r="1824" spans="15:16" hidden="1" x14ac:dyDescent="0.25">
      <c r="O1824" s="4" t="s">
        <v>2253</v>
      </c>
      <c r="P1824"/>
    </row>
    <row r="1825" spans="15:16" hidden="1" x14ac:dyDescent="0.25">
      <c r="O1825" s="4" t="s">
        <v>2254</v>
      </c>
      <c r="P1825"/>
    </row>
    <row r="1826" spans="15:16" hidden="1" x14ac:dyDescent="0.25">
      <c r="O1826" s="4" t="s">
        <v>2255</v>
      </c>
      <c r="P1826"/>
    </row>
    <row r="1827" spans="15:16" hidden="1" x14ac:dyDescent="0.25">
      <c r="O1827" s="4" t="s">
        <v>2256</v>
      </c>
      <c r="P1827"/>
    </row>
    <row r="1828" spans="15:16" hidden="1" x14ac:dyDescent="0.25">
      <c r="O1828" s="4" t="s">
        <v>2257</v>
      </c>
      <c r="P1828"/>
    </row>
    <row r="1829" spans="15:16" hidden="1" x14ac:dyDescent="0.25">
      <c r="O1829" s="4" t="s">
        <v>2258</v>
      </c>
      <c r="P1829"/>
    </row>
    <row r="1830" spans="15:16" hidden="1" x14ac:dyDescent="0.25">
      <c r="O1830" s="4" t="s">
        <v>2259</v>
      </c>
      <c r="P1830"/>
    </row>
    <row r="1831" spans="15:16" hidden="1" x14ac:dyDescent="0.25">
      <c r="O1831" s="4" t="s">
        <v>2260</v>
      </c>
      <c r="P1831"/>
    </row>
    <row r="1832" spans="15:16" hidden="1" x14ac:dyDescent="0.25">
      <c r="O1832" s="4" t="s">
        <v>2261</v>
      </c>
      <c r="P1832"/>
    </row>
    <row r="1833" spans="15:16" hidden="1" x14ac:dyDescent="0.25">
      <c r="O1833" s="4" t="s">
        <v>2262</v>
      </c>
      <c r="P1833"/>
    </row>
    <row r="1834" spans="15:16" hidden="1" x14ac:dyDescent="0.25">
      <c r="O1834" s="4" t="s">
        <v>2263</v>
      </c>
      <c r="P1834"/>
    </row>
    <row r="1835" spans="15:16" hidden="1" x14ac:dyDescent="0.25">
      <c r="O1835" s="4" t="s">
        <v>2264</v>
      </c>
      <c r="P1835"/>
    </row>
    <row r="1836" spans="15:16" hidden="1" x14ac:dyDescent="0.25">
      <c r="O1836" s="4" t="s">
        <v>2265</v>
      </c>
      <c r="P1836"/>
    </row>
    <row r="1837" spans="15:16" hidden="1" x14ac:dyDescent="0.25">
      <c r="O1837" s="4" t="s">
        <v>2266</v>
      </c>
      <c r="P1837"/>
    </row>
    <row r="1838" spans="15:16" hidden="1" x14ac:dyDescent="0.25">
      <c r="O1838" s="4" t="s">
        <v>2267</v>
      </c>
      <c r="P1838"/>
    </row>
    <row r="1839" spans="15:16" hidden="1" x14ac:dyDescent="0.25">
      <c r="O1839" s="4" t="s">
        <v>2268</v>
      </c>
      <c r="P1839"/>
    </row>
    <row r="1840" spans="15:16" hidden="1" x14ac:dyDescent="0.25">
      <c r="O1840" s="4" t="s">
        <v>2269</v>
      </c>
      <c r="P1840"/>
    </row>
    <row r="1841" spans="15:16" hidden="1" x14ac:dyDescent="0.25">
      <c r="O1841" s="4" t="s">
        <v>2270</v>
      </c>
      <c r="P1841"/>
    </row>
    <row r="1842" spans="15:16" hidden="1" x14ac:dyDescent="0.25">
      <c r="O1842" s="4" t="s">
        <v>2271</v>
      </c>
      <c r="P1842"/>
    </row>
    <row r="1843" spans="15:16" hidden="1" x14ac:dyDescent="0.25">
      <c r="O1843" s="4" t="s">
        <v>2272</v>
      </c>
      <c r="P1843"/>
    </row>
    <row r="1844" spans="15:16" hidden="1" x14ac:dyDescent="0.25">
      <c r="O1844" s="4" t="s">
        <v>2273</v>
      </c>
      <c r="P1844"/>
    </row>
    <row r="1845" spans="15:16" hidden="1" x14ac:dyDescent="0.25">
      <c r="O1845" s="4" t="s">
        <v>2274</v>
      </c>
      <c r="P1845"/>
    </row>
    <row r="1846" spans="15:16" hidden="1" x14ac:dyDescent="0.25">
      <c r="O1846" s="4" t="s">
        <v>2275</v>
      </c>
      <c r="P1846"/>
    </row>
    <row r="1847" spans="15:16" hidden="1" x14ac:dyDescent="0.25">
      <c r="O1847" s="4" t="s">
        <v>2276</v>
      </c>
      <c r="P1847"/>
    </row>
    <row r="1848" spans="15:16" hidden="1" x14ac:dyDescent="0.25">
      <c r="O1848" s="4" t="s">
        <v>2277</v>
      </c>
      <c r="P1848"/>
    </row>
    <row r="1849" spans="15:16" hidden="1" x14ac:dyDescent="0.25">
      <c r="O1849" s="4" t="s">
        <v>2278</v>
      </c>
      <c r="P1849"/>
    </row>
    <row r="1850" spans="15:16" hidden="1" x14ac:dyDescent="0.25">
      <c r="O1850" s="4" t="s">
        <v>2279</v>
      </c>
      <c r="P1850"/>
    </row>
    <row r="1851" spans="15:16" hidden="1" x14ac:dyDescent="0.25">
      <c r="O1851" s="4" t="s">
        <v>2280</v>
      </c>
      <c r="P1851"/>
    </row>
    <row r="1852" spans="15:16" hidden="1" x14ac:dyDescent="0.25">
      <c r="O1852" s="4" t="s">
        <v>2281</v>
      </c>
      <c r="P1852"/>
    </row>
    <row r="1853" spans="15:16" hidden="1" x14ac:dyDescent="0.25">
      <c r="O1853" s="4" t="s">
        <v>2282</v>
      </c>
      <c r="P1853"/>
    </row>
    <row r="1854" spans="15:16" hidden="1" x14ac:dyDescent="0.25">
      <c r="O1854" s="4" t="s">
        <v>2283</v>
      </c>
      <c r="P1854"/>
    </row>
    <row r="1855" spans="15:16" hidden="1" x14ac:dyDescent="0.25">
      <c r="O1855" s="4" t="s">
        <v>2284</v>
      </c>
      <c r="P1855"/>
    </row>
    <row r="1856" spans="15:16" hidden="1" x14ac:dyDescent="0.25">
      <c r="O1856" s="4" t="s">
        <v>2285</v>
      </c>
      <c r="P1856"/>
    </row>
    <row r="1857" spans="15:16" hidden="1" x14ac:dyDescent="0.25">
      <c r="O1857" s="4" t="s">
        <v>2286</v>
      </c>
      <c r="P1857"/>
    </row>
    <row r="1858" spans="15:16" hidden="1" x14ac:dyDescent="0.25">
      <c r="O1858" s="4" t="s">
        <v>2287</v>
      </c>
      <c r="P1858"/>
    </row>
    <row r="1859" spans="15:16" hidden="1" x14ac:dyDescent="0.25">
      <c r="O1859" s="4" t="s">
        <v>2288</v>
      </c>
      <c r="P1859"/>
    </row>
    <row r="1860" spans="15:16" hidden="1" x14ac:dyDescent="0.25">
      <c r="O1860" s="4" t="s">
        <v>2289</v>
      </c>
      <c r="P1860"/>
    </row>
    <row r="1861" spans="15:16" hidden="1" x14ac:dyDescent="0.25">
      <c r="O1861" s="4" t="s">
        <v>2290</v>
      </c>
      <c r="P1861"/>
    </row>
    <row r="1862" spans="15:16" hidden="1" x14ac:dyDescent="0.25">
      <c r="O1862" s="4" t="s">
        <v>2291</v>
      </c>
      <c r="P1862"/>
    </row>
    <row r="1863" spans="15:16" hidden="1" x14ac:dyDescent="0.25">
      <c r="O1863" s="4" t="s">
        <v>2292</v>
      </c>
      <c r="P1863"/>
    </row>
    <row r="1864" spans="15:16" hidden="1" x14ac:dyDescent="0.25">
      <c r="O1864" s="4" t="s">
        <v>2293</v>
      </c>
      <c r="P1864"/>
    </row>
    <row r="1865" spans="15:16" hidden="1" x14ac:dyDescent="0.25">
      <c r="O1865" s="4" t="s">
        <v>2294</v>
      </c>
      <c r="P1865"/>
    </row>
    <row r="1866" spans="15:16" hidden="1" x14ac:dyDescent="0.25">
      <c r="O1866" s="4" t="s">
        <v>2295</v>
      </c>
      <c r="P1866"/>
    </row>
    <row r="1867" spans="15:16" hidden="1" x14ac:dyDescent="0.25">
      <c r="O1867" s="4" t="s">
        <v>2296</v>
      </c>
      <c r="P1867"/>
    </row>
    <row r="1868" spans="15:16" hidden="1" x14ac:dyDescent="0.25">
      <c r="O1868" s="4" t="s">
        <v>2297</v>
      </c>
      <c r="P1868"/>
    </row>
    <row r="1869" spans="15:16" hidden="1" x14ac:dyDescent="0.25">
      <c r="O1869" s="4" t="s">
        <v>2298</v>
      </c>
      <c r="P1869"/>
    </row>
    <row r="1870" spans="15:16" hidden="1" x14ac:dyDescent="0.25">
      <c r="O1870" s="4" t="s">
        <v>2299</v>
      </c>
      <c r="P1870"/>
    </row>
    <row r="1871" spans="15:16" hidden="1" x14ac:dyDescent="0.25">
      <c r="O1871" s="4" t="s">
        <v>2300</v>
      </c>
      <c r="P1871"/>
    </row>
    <row r="1872" spans="15:16" hidden="1" x14ac:dyDescent="0.25">
      <c r="O1872" s="4" t="s">
        <v>2301</v>
      </c>
      <c r="P1872"/>
    </row>
    <row r="1873" spans="15:16" hidden="1" x14ac:dyDescent="0.25">
      <c r="O1873" s="4" t="s">
        <v>2302</v>
      </c>
      <c r="P1873"/>
    </row>
    <row r="1874" spans="15:16" hidden="1" x14ac:dyDescent="0.25">
      <c r="O1874" s="4" t="s">
        <v>2303</v>
      </c>
      <c r="P1874"/>
    </row>
    <row r="1875" spans="15:16" hidden="1" x14ac:dyDescent="0.25">
      <c r="O1875" s="4" t="s">
        <v>2304</v>
      </c>
      <c r="P1875"/>
    </row>
    <row r="1876" spans="15:16" hidden="1" x14ac:dyDescent="0.25">
      <c r="O1876" s="4" t="s">
        <v>2305</v>
      </c>
      <c r="P1876"/>
    </row>
    <row r="1877" spans="15:16" hidden="1" x14ac:dyDescent="0.25">
      <c r="O1877" s="4" t="s">
        <v>2306</v>
      </c>
      <c r="P1877"/>
    </row>
    <row r="1878" spans="15:16" hidden="1" x14ac:dyDescent="0.25">
      <c r="O1878" s="4" t="s">
        <v>2307</v>
      </c>
      <c r="P1878"/>
    </row>
    <row r="1879" spans="15:16" hidden="1" x14ac:dyDescent="0.25">
      <c r="O1879" s="4" t="s">
        <v>2308</v>
      </c>
      <c r="P1879"/>
    </row>
    <row r="1880" spans="15:16" hidden="1" x14ac:dyDescent="0.25">
      <c r="O1880" s="4" t="s">
        <v>2309</v>
      </c>
      <c r="P1880"/>
    </row>
    <row r="1881" spans="15:16" hidden="1" x14ac:dyDescent="0.25">
      <c r="O1881" s="4" t="s">
        <v>2310</v>
      </c>
      <c r="P1881"/>
    </row>
    <row r="1882" spans="15:16" hidden="1" x14ac:dyDescent="0.25">
      <c r="O1882" s="4" t="s">
        <v>2311</v>
      </c>
      <c r="P1882"/>
    </row>
    <row r="1883" spans="15:16" hidden="1" x14ac:dyDescent="0.25">
      <c r="O1883" s="4" t="s">
        <v>2312</v>
      </c>
      <c r="P1883"/>
    </row>
    <row r="1884" spans="15:16" hidden="1" x14ac:dyDescent="0.25">
      <c r="O1884" s="4" t="s">
        <v>2313</v>
      </c>
      <c r="P1884"/>
    </row>
    <row r="1885" spans="15:16" hidden="1" x14ac:dyDescent="0.25">
      <c r="O1885" s="4" t="s">
        <v>2314</v>
      </c>
      <c r="P1885"/>
    </row>
    <row r="1886" spans="15:16" hidden="1" x14ac:dyDescent="0.25">
      <c r="O1886" s="4" t="s">
        <v>2315</v>
      </c>
      <c r="P1886"/>
    </row>
    <row r="1887" spans="15:16" hidden="1" x14ac:dyDescent="0.25">
      <c r="O1887" s="4" t="s">
        <v>2316</v>
      </c>
      <c r="P1887"/>
    </row>
    <row r="1888" spans="15:16" hidden="1" x14ac:dyDescent="0.25">
      <c r="O1888" s="4" t="s">
        <v>2317</v>
      </c>
      <c r="P1888"/>
    </row>
    <row r="1889" spans="15:16" hidden="1" x14ac:dyDescent="0.25">
      <c r="O1889" s="4" t="s">
        <v>2318</v>
      </c>
      <c r="P1889"/>
    </row>
    <row r="1890" spans="15:16" hidden="1" x14ac:dyDescent="0.25">
      <c r="O1890" s="4" t="s">
        <v>2319</v>
      </c>
      <c r="P1890"/>
    </row>
    <row r="1891" spans="15:16" hidden="1" x14ac:dyDescent="0.25">
      <c r="O1891" s="4" t="s">
        <v>2320</v>
      </c>
      <c r="P1891"/>
    </row>
    <row r="1892" spans="15:16" hidden="1" x14ac:dyDescent="0.25">
      <c r="O1892" s="4" t="s">
        <v>2321</v>
      </c>
      <c r="P1892"/>
    </row>
    <row r="1893" spans="15:16" hidden="1" x14ac:dyDescent="0.25">
      <c r="O1893" s="4" t="s">
        <v>2322</v>
      </c>
      <c r="P1893"/>
    </row>
    <row r="1894" spans="15:16" hidden="1" x14ac:dyDescent="0.25">
      <c r="O1894" s="4" t="s">
        <v>2323</v>
      </c>
      <c r="P1894"/>
    </row>
    <row r="1895" spans="15:16" hidden="1" x14ac:dyDescent="0.25">
      <c r="O1895" s="4" t="s">
        <v>2324</v>
      </c>
      <c r="P1895"/>
    </row>
    <row r="1896" spans="15:16" hidden="1" x14ac:dyDescent="0.25">
      <c r="O1896" s="4" t="s">
        <v>2325</v>
      </c>
      <c r="P1896"/>
    </row>
    <row r="1897" spans="15:16" hidden="1" x14ac:dyDescent="0.25">
      <c r="O1897" s="4" t="s">
        <v>2326</v>
      </c>
      <c r="P1897"/>
    </row>
    <row r="1898" spans="15:16" hidden="1" x14ac:dyDescent="0.25">
      <c r="O1898" s="4" t="s">
        <v>2327</v>
      </c>
      <c r="P1898"/>
    </row>
    <row r="1899" spans="15:16" hidden="1" x14ac:dyDescent="0.25">
      <c r="O1899" s="4" t="s">
        <v>2328</v>
      </c>
      <c r="P1899"/>
    </row>
    <row r="1900" spans="15:16" hidden="1" x14ac:dyDescent="0.25">
      <c r="O1900" s="4" t="s">
        <v>2329</v>
      </c>
      <c r="P1900"/>
    </row>
    <row r="1901" spans="15:16" hidden="1" x14ac:dyDescent="0.25">
      <c r="O1901" s="4" t="s">
        <v>2330</v>
      </c>
      <c r="P1901"/>
    </row>
    <row r="1902" spans="15:16" hidden="1" x14ac:dyDescent="0.25">
      <c r="O1902" s="4" t="s">
        <v>2331</v>
      </c>
      <c r="P1902"/>
    </row>
    <row r="1903" spans="15:16" hidden="1" x14ac:dyDescent="0.25">
      <c r="O1903" s="4" t="s">
        <v>2332</v>
      </c>
      <c r="P1903"/>
    </row>
    <row r="1904" spans="15:16" hidden="1" x14ac:dyDescent="0.25">
      <c r="O1904" s="4" t="s">
        <v>2333</v>
      </c>
      <c r="P1904"/>
    </row>
    <row r="1905" spans="15:16" hidden="1" x14ac:dyDescent="0.25">
      <c r="O1905" s="4" t="s">
        <v>2334</v>
      </c>
      <c r="P1905"/>
    </row>
    <row r="1906" spans="15:16" hidden="1" x14ac:dyDescent="0.25">
      <c r="O1906" s="4" t="s">
        <v>2335</v>
      </c>
      <c r="P1906"/>
    </row>
    <row r="1907" spans="15:16" hidden="1" x14ac:dyDescent="0.25">
      <c r="O1907" s="4" t="s">
        <v>2336</v>
      </c>
      <c r="P1907"/>
    </row>
    <row r="1908" spans="15:16" hidden="1" x14ac:dyDescent="0.25">
      <c r="O1908" s="4" t="s">
        <v>2337</v>
      </c>
      <c r="P1908"/>
    </row>
    <row r="1909" spans="15:16" hidden="1" x14ac:dyDescent="0.25">
      <c r="O1909" s="4" t="s">
        <v>2338</v>
      </c>
      <c r="P1909"/>
    </row>
    <row r="1910" spans="15:16" hidden="1" x14ac:dyDescent="0.25">
      <c r="O1910" s="4" t="s">
        <v>2339</v>
      </c>
      <c r="P1910"/>
    </row>
    <row r="1911" spans="15:16" hidden="1" x14ac:dyDescent="0.25">
      <c r="O1911" s="4" t="s">
        <v>2340</v>
      </c>
      <c r="P1911"/>
    </row>
    <row r="1912" spans="15:16" hidden="1" x14ac:dyDescent="0.25">
      <c r="O1912" s="4" t="s">
        <v>2341</v>
      </c>
      <c r="P1912"/>
    </row>
    <row r="1913" spans="15:16" hidden="1" x14ac:dyDescent="0.25">
      <c r="O1913" s="4" t="s">
        <v>2342</v>
      </c>
      <c r="P1913"/>
    </row>
    <row r="1914" spans="15:16" hidden="1" x14ac:dyDescent="0.25">
      <c r="O1914" s="4" t="s">
        <v>2343</v>
      </c>
      <c r="P1914"/>
    </row>
    <row r="1915" spans="15:16" hidden="1" x14ac:dyDescent="0.25">
      <c r="O1915" s="4" t="s">
        <v>2344</v>
      </c>
      <c r="P1915"/>
    </row>
    <row r="1916" spans="15:16" hidden="1" x14ac:dyDescent="0.25">
      <c r="O1916" s="4" t="s">
        <v>2345</v>
      </c>
      <c r="P1916"/>
    </row>
    <row r="1917" spans="15:16" hidden="1" x14ac:dyDescent="0.25">
      <c r="O1917" s="4" t="s">
        <v>2346</v>
      </c>
      <c r="P1917"/>
    </row>
    <row r="1918" spans="15:16" hidden="1" x14ac:dyDescent="0.25">
      <c r="O1918" s="4" t="s">
        <v>2347</v>
      </c>
      <c r="P1918"/>
    </row>
    <row r="1919" spans="15:16" hidden="1" x14ac:dyDescent="0.25">
      <c r="O1919" s="4" t="s">
        <v>2348</v>
      </c>
      <c r="P1919"/>
    </row>
    <row r="1920" spans="15:16" hidden="1" x14ac:dyDescent="0.25">
      <c r="O1920" s="4" t="s">
        <v>2349</v>
      </c>
      <c r="P1920"/>
    </row>
    <row r="1921" spans="15:16" hidden="1" x14ac:dyDescent="0.25">
      <c r="O1921" s="4" t="s">
        <v>2350</v>
      </c>
      <c r="P1921"/>
    </row>
    <row r="1922" spans="15:16" hidden="1" x14ac:dyDescent="0.25">
      <c r="O1922" s="4" t="s">
        <v>2351</v>
      </c>
      <c r="P1922"/>
    </row>
    <row r="1923" spans="15:16" hidden="1" x14ac:dyDescent="0.25">
      <c r="O1923" s="4" t="s">
        <v>2352</v>
      </c>
      <c r="P1923"/>
    </row>
    <row r="1924" spans="15:16" hidden="1" x14ac:dyDescent="0.25">
      <c r="O1924" s="4" t="s">
        <v>2353</v>
      </c>
      <c r="P1924"/>
    </row>
    <row r="1925" spans="15:16" hidden="1" x14ac:dyDescent="0.25">
      <c r="O1925" s="4" t="s">
        <v>2354</v>
      </c>
      <c r="P1925"/>
    </row>
    <row r="1926" spans="15:16" hidden="1" x14ac:dyDescent="0.25">
      <c r="O1926" s="4" t="s">
        <v>2355</v>
      </c>
      <c r="P1926"/>
    </row>
    <row r="1927" spans="15:16" hidden="1" x14ac:dyDescent="0.25">
      <c r="O1927" s="4" t="s">
        <v>2356</v>
      </c>
      <c r="P1927"/>
    </row>
    <row r="1928" spans="15:16" hidden="1" x14ac:dyDescent="0.25">
      <c r="O1928" s="4" t="s">
        <v>2357</v>
      </c>
      <c r="P1928"/>
    </row>
    <row r="1929" spans="15:16" hidden="1" x14ac:dyDescent="0.25">
      <c r="O1929" s="4" t="s">
        <v>2358</v>
      </c>
      <c r="P1929"/>
    </row>
    <row r="1930" spans="15:16" hidden="1" x14ac:dyDescent="0.25">
      <c r="O1930" s="4" t="s">
        <v>2359</v>
      </c>
      <c r="P1930"/>
    </row>
    <row r="1931" spans="15:16" hidden="1" x14ac:dyDescent="0.25">
      <c r="O1931" s="4" t="s">
        <v>2360</v>
      </c>
      <c r="P1931"/>
    </row>
    <row r="1932" spans="15:16" hidden="1" x14ac:dyDescent="0.25">
      <c r="O1932" s="4" t="s">
        <v>2361</v>
      </c>
      <c r="P1932"/>
    </row>
    <row r="1933" spans="15:16" hidden="1" x14ac:dyDescent="0.25">
      <c r="O1933" s="4" t="s">
        <v>2362</v>
      </c>
      <c r="P1933"/>
    </row>
    <row r="1934" spans="15:16" hidden="1" x14ac:dyDescent="0.25">
      <c r="O1934" s="4" t="s">
        <v>2363</v>
      </c>
      <c r="P1934"/>
    </row>
    <row r="1935" spans="15:16" hidden="1" x14ac:dyDescent="0.25">
      <c r="O1935" s="4" t="s">
        <v>2364</v>
      </c>
      <c r="P1935"/>
    </row>
    <row r="1936" spans="15:16" hidden="1" x14ac:dyDescent="0.25">
      <c r="O1936" s="4" t="s">
        <v>2365</v>
      </c>
      <c r="P1936"/>
    </row>
    <row r="1937" spans="15:16" hidden="1" x14ac:dyDescent="0.25">
      <c r="O1937" s="4" t="s">
        <v>2366</v>
      </c>
      <c r="P1937"/>
    </row>
    <row r="1938" spans="15:16" hidden="1" x14ac:dyDescent="0.25">
      <c r="O1938" s="4" t="s">
        <v>2367</v>
      </c>
      <c r="P1938"/>
    </row>
    <row r="1939" spans="15:16" hidden="1" x14ac:dyDescent="0.25">
      <c r="O1939" s="4" t="s">
        <v>2368</v>
      </c>
      <c r="P1939"/>
    </row>
    <row r="1940" spans="15:16" hidden="1" x14ac:dyDescent="0.25">
      <c r="O1940" s="4" t="s">
        <v>2369</v>
      </c>
      <c r="P1940"/>
    </row>
    <row r="1941" spans="15:16" hidden="1" x14ac:dyDescent="0.25">
      <c r="O1941" s="4" t="s">
        <v>2370</v>
      </c>
      <c r="P1941"/>
    </row>
    <row r="1942" spans="15:16" hidden="1" x14ac:dyDescent="0.25">
      <c r="O1942" s="4" t="s">
        <v>2371</v>
      </c>
      <c r="P1942"/>
    </row>
    <row r="1943" spans="15:16" hidden="1" x14ac:dyDescent="0.25">
      <c r="O1943" s="4" t="s">
        <v>2372</v>
      </c>
      <c r="P1943"/>
    </row>
    <row r="1944" spans="15:16" hidden="1" x14ac:dyDescent="0.25">
      <c r="O1944" s="4" t="s">
        <v>2373</v>
      </c>
      <c r="P1944"/>
    </row>
    <row r="1945" spans="15:16" hidden="1" x14ac:dyDescent="0.25">
      <c r="O1945" s="4" t="s">
        <v>2374</v>
      </c>
      <c r="P1945"/>
    </row>
    <row r="1946" spans="15:16" hidden="1" x14ac:dyDescent="0.25">
      <c r="O1946" s="4" t="s">
        <v>2375</v>
      </c>
      <c r="P1946"/>
    </row>
    <row r="1947" spans="15:16" hidden="1" x14ac:dyDescent="0.25">
      <c r="O1947" s="4" t="s">
        <v>2376</v>
      </c>
      <c r="P1947"/>
    </row>
    <row r="1948" spans="15:16" hidden="1" x14ac:dyDescent="0.25">
      <c r="O1948" s="4" t="s">
        <v>2377</v>
      </c>
      <c r="P1948"/>
    </row>
    <row r="1949" spans="15:16" hidden="1" x14ac:dyDescent="0.25">
      <c r="O1949" s="4" t="s">
        <v>2378</v>
      </c>
      <c r="P1949"/>
    </row>
    <row r="1950" spans="15:16" hidden="1" x14ac:dyDescent="0.25">
      <c r="O1950" s="4" t="s">
        <v>2379</v>
      </c>
      <c r="P1950"/>
    </row>
    <row r="1951" spans="15:16" hidden="1" x14ac:dyDescent="0.25">
      <c r="O1951" s="4" t="s">
        <v>2380</v>
      </c>
      <c r="P1951"/>
    </row>
    <row r="1952" spans="15:16" hidden="1" x14ac:dyDescent="0.25">
      <c r="O1952" s="4" t="s">
        <v>2381</v>
      </c>
      <c r="P1952"/>
    </row>
    <row r="1953" spans="15:16" hidden="1" x14ac:dyDescent="0.25">
      <c r="O1953" s="4" t="s">
        <v>2382</v>
      </c>
      <c r="P1953"/>
    </row>
    <row r="1954" spans="15:16" hidden="1" x14ac:dyDescent="0.25">
      <c r="O1954" s="4" t="s">
        <v>2383</v>
      </c>
      <c r="P1954"/>
    </row>
    <row r="1955" spans="15:16" hidden="1" x14ac:dyDescent="0.25">
      <c r="O1955" s="4" t="s">
        <v>2384</v>
      </c>
      <c r="P1955"/>
    </row>
    <row r="1956" spans="15:16" hidden="1" x14ac:dyDescent="0.25">
      <c r="O1956" s="4" t="s">
        <v>2385</v>
      </c>
      <c r="P1956"/>
    </row>
    <row r="1957" spans="15:16" hidden="1" x14ac:dyDescent="0.25">
      <c r="O1957" s="4" t="s">
        <v>2386</v>
      </c>
      <c r="P1957"/>
    </row>
    <row r="1958" spans="15:16" hidden="1" x14ac:dyDescent="0.25">
      <c r="O1958" s="4" t="s">
        <v>2387</v>
      </c>
      <c r="P1958"/>
    </row>
    <row r="1959" spans="15:16" hidden="1" x14ac:dyDescent="0.25">
      <c r="O1959" s="4" t="s">
        <v>2388</v>
      </c>
      <c r="P1959"/>
    </row>
    <row r="1960" spans="15:16" hidden="1" x14ac:dyDescent="0.25">
      <c r="O1960" s="4" t="s">
        <v>2389</v>
      </c>
      <c r="P1960"/>
    </row>
    <row r="1961" spans="15:16" hidden="1" x14ac:dyDescent="0.25">
      <c r="O1961" s="4" t="s">
        <v>2390</v>
      </c>
      <c r="P1961"/>
    </row>
    <row r="1962" spans="15:16" hidden="1" x14ac:dyDescent="0.25">
      <c r="O1962" s="4" t="s">
        <v>2391</v>
      </c>
      <c r="P1962"/>
    </row>
    <row r="1963" spans="15:16" hidden="1" x14ac:dyDescent="0.25">
      <c r="O1963" s="4" t="s">
        <v>2392</v>
      </c>
      <c r="P1963"/>
    </row>
    <row r="1964" spans="15:16" hidden="1" x14ac:dyDescent="0.25">
      <c r="O1964" s="4" t="s">
        <v>2393</v>
      </c>
      <c r="P1964"/>
    </row>
    <row r="1965" spans="15:16" hidden="1" x14ac:dyDescent="0.25">
      <c r="O1965" s="4" t="s">
        <v>2394</v>
      </c>
      <c r="P1965"/>
    </row>
    <row r="1966" spans="15:16" hidden="1" x14ac:dyDescent="0.25">
      <c r="O1966" s="4" t="s">
        <v>2395</v>
      </c>
      <c r="P1966"/>
    </row>
    <row r="1967" spans="15:16" hidden="1" x14ac:dyDescent="0.25">
      <c r="O1967" s="4" t="s">
        <v>2396</v>
      </c>
      <c r="P1967"/>
    </row>
    <row r="1968" spans="15:16" hidden="1" x14ac:dyDescent="0.25">
      <c r="O1968" s="4" t="s">
        <v>2397</v>
      </c>
      <c r="P1968"/>
    </row>
    <row r="1969" spans="15:16" hidden="1" x14ac:dyDescent="0.25">
      <c r="O1969" s="4" t="s">
        <v>2398</v>
      </c>
      <c r="P1969"/>
    </row>
    <row r="1970" spans="15:16" hidden="1" x14ac:dyDescent="0.25">
      <c r="O1970" s="4" t="s">
        <v>2399</v>
      </c>
      <c r="P1970"/>
    </row>
    <row r="1971" spans="15:16" hidden="1" x14ac:dyDescent="0.25">
      <c r="O1971" s="4" t="s">
        <v>2400</v>
      </c>
      <c r="P1971"/>
    </row>
    <row r="1972" spans="15:16" hidden="1" x14ac:dyDescent="0.25">
      <c r="O1972" s="4" t="s">
        <v>2401</v>
      </c>
      <c r="P1972"/>
    </row>
    <row r="1973" spans="15:16" hidden="1" x14ac:dyDescent="0.25">
      <c r="O1973" s="4" t="s">
        <v>2402</v>
      </c>
      <c r="P1973"/>
    </row>
    <row r="1974" spans="15:16" hidden="1" x14ac:dyDescent="0.25">
      <c r="O1974" s="4" t="s">
        <v>2403</v>
      </c>
      <c r="P1974"/>
    </row>
    <row r="1975" spans="15:16" hidden="1" x14ac:dyDescent="0.25">
      <c r="O1975" s="4" t="s">
        <v>2404</v>
      </c>
      <c r="P1975"/>
    </row>
    <row r="1976" spans="15:16" hidden="1" x14ac:dyDescent="0.25">
      <c r="O1976" s="4" t="s">
        <v>2405</v>
      </c>
      <c r="P1976"/>
    </row>
    <row r="1977" spans="15:16" hidden="1" x14ac:dyDescent="0.25">
      <c r="O1977" s="4" t="s">
        <v>2406</v>
      </c>
      <c r="P1977"/>
    </row>
    <row r="1978" spans="15:16" hidden="1" x14ac:dyDescent="0.25">
      <c r="O1978" s="4" t="s">
        <v>2407</v>
      </c>
      <c r="P1978"/>
    </row>
    <row r="1979" spans="15:16" hidden="1" x14ac:dyDescent="0.25">
      <c r="O1979" s="4" t="s">
        <v>2408</v>
      </c>
      <c r="P1979"/>
    </row>
    <row r="1980" spans="15:16" hidden="1" x14ac:dyDescent="0.25">
      <c r="O1980" s="4" t="s">
        <v>2409</v>
      </c>
      <c r="P1980"/>
    </row>
    <row r="1981" spans="15:16" hidden="1" x14ac:dyDescent="0.25">
      <c r="O1981" s="4" t="s">
        <v>2410</v>
      </c>
      <c r="P1981"/>
    </row>
    <row r="1982" spans="15:16" hidden="1" x14ac:dyDescent="0.25">
      <c r="O1982" s="4" t="s">
        <v>2411</v>
      </c>
      <c r="P1982"/>
    </row>
    <row r="1983" spans="15:16" hidden="1" x14ac:dyDescent="0.25">
      <c r="O1983" s="4" t="s">
        <v>2412</v>
      </c>
      <c r="P1983"/>
    </row>
    <row r="1984" spans="15:16" hidden="1" x14ac:dyDescent="0.25">
      <c r="O1984" s="4" t="s">
        <v>2413</v>
      </c>
      <c r="P1984"/>
    </row>
    <row r="1985" spans="15:16" hidden="1" x14ac:dyDescent="0.25">
      <c r="O1985" s="4" t="s">
        <v>2414</v>
      </c>
      <c r="P1985"/>
    </row>
    <row r="1986" spans="15:16" hidden="1" x14ac:dyDescent="0.25">
      <c r="O1986" s="4" t="s">
        <v>2415</v>
      </c>
      <c r="P1986"/>
    </row>
    <row r="1987" spans="15:16" hidden="1" x14ac:dyDescent="0.25">
      <c r="O1987" s="4" t="s">
        <v>2416</v>
      </c>
      <c r="P1987"/>
    </row>
    <row r="1988" spans="15:16" hidden="1" x14ac:dyDescent="0.25">
      <c r="O1988" s="4" t="s">
        <v>2417</v>
      </c>
      <c r="P1988"/>
    </row>
    <row r="1989" spans="15:16" hidden="1" x14ac:dyDescent="0.25">
      <c r="O1989" s="4" t="s">
        <v>2418</v>
      </c>
      <c r="P1989"/>
    </row>
    <row r="1990" spans="15:16" hidden="1" x14ac:dyDescent="0.25">
      <c r="O1990" s="4" t="s">
        <v>2419</v>
      </c>
      <c r="P1990"/>
    </row>
    <row r="1991" spans="15:16" hidden="1" x14ac:dyDescent="0.25">
      <c r="O1991" s="4" t="s">
        <v>2420</v>
      </c>
      <c r="P1991"/>
    </row>
    <row r="1992" spans="15:16" hidden="1" x14ac:dyDescent="0.25">
      <c r="O1992" s="4" t="s">
        <v>2421</v>
      </c>
      <c r="P1992"/>
    </row>
    <row r="1993" spans="15:16" hidden="1" x14ac:dyDescent="0.25">
      <c r="O1993" s="4" t="s">
        <v>2422</v>
      </c>
      <c r="P1993"/>
    </row>
    <row r="1994" spans="15:16" hidden="1" x14ac:dyDescent="0.25">
      <c r="O1994" s="4" t="s">
        <v>2423</v>
      </c>
      <c r="P1994"/>
    </row>
    <row r="1995" spans="15:16" hidden="1" x14ac:dyDescent="0.25">
      <c r="O1995" s="4" t="s">
        <v>2424</v>
      </c>
      <c r="P1995"/>
    </row>
    <row r="1996" spans="15:16" hidden="1" x14ac:dyDescent="0.25">
      <c r="O1996" s="4" t="s">
        <v>2425</v>
      </c>
      <c r="P1996"/>
    </row>
    <row r="1997" spans="15:16" hidden="1" x14ac:dyDescent="0.25">
      <c r="O1997" s="4" t="s">
        <v>2426</v>
      </c>
      <c r="P1997"/>
    </row>
    <row r="1998" spans="15:16" hidden="1" x14ac:dyDescent="0.25">
      <c r="O1998" s="4" t="s">
        <v>2427</v>
      </c>
      <c r="P1998"/>
    </row>
    <row r="1999" spans="15:16" hidden="1" x14ac:dyDescent="0.25">
      <c r="O1999" s="4" t="s">
        <v>2428</v>
      </c>
      <c r="P1999"/>
    </row>
    <row r="2000" spans="15:16" hidden="1" x14ac:dyDescent="0.25">
      <c r="O2000" s="4" t="s">
        <v>2429</v>
      </c>
      <c r="P2000"/>
    </row>
    <row r="2001" spans="15:16" hidden="1" x14ac:dyDescent="0.25">
      <c r="O2001" s="4" t="s">
        <v>2430</v>
      </c>
      <c r="P2001"/>
    </row>
    <row r="2002" spans="15:16" hidden="1" x14ac:dyDescent="0.25">
      <c r="O2002" s="4" t="s">
        <v>2431</v>
      </c>
      <c r="P2002"/>
    </row>
    <row r="2003" spans="15:16" hidden="1" x14ac:dyDescent="0.25">
      <c r="O2003" s="4" t="s">
        <v>2432</v>
      </c>
      <c r="P2003"/>
    </row>
    <row r="2004" spans="15:16" hidden="1" x14ac:dyDescent="0.25">
      <c r="O2004" s="4" t="s">
        <v>2433</v>
      </c>
      <c r="P2004"/>
    </row>
    <row r="2005" spans="15:16" hidden="1" x14ac:dyDescent="0.25">
      <c r="O2005" s="4" t="s">
        <v>2434</v>
      </c>
      <c r="P2005"/>
    </row>
    <row r="2006" spans="15:16" hidden="1" x14ac:dyDescent="0.25">
      <c r="O2006" s="4" t="s">
        <v>2435</v>
      </c>
      <c r="P2006"/>
    </row>
    <row r="2007" spans="15:16" hidden="1" x14ac:dyDescent="0.25">
      <c r="O2007" s="4" t="s">
        <v>2436</v>
      </c>
      <c r="P2007"/>
    </row>
    <row r="2008" spans="15:16" hidden="1" x14ac:dyDescent="0.25">
      <c r="O2008" s="4" t="s">
        <v>2437</v>
      </c>
      <c r="P2008"/>
    </row>
    <row r="2009" spans="15:16" hidden="1" x14ac:dyDescent="0.25">
      <c r="O2009" s="4" t="s">
        <v>2438</v>
      </c>
      <c r="P2009"/>
    </row>
    <row r="2010" spans="15:16" hidden="1" x14ac:dyDescent="0.25">
      <c r="O2010" s="4" t="s">
        <v>2439</v>
      </c>
      <c r="P2010"/>
    </row>
    <row r="2011" spans="15:16" hidden="1" x14ac:dyDescent="0.25">
      <c r="O2011" s="4" t="s">
        <v>2440</v>
      </c>
      <c r="P2011"/>
    </row>
    <row r="2012" spans="15:16" hidden="1" x14ac:dyDescent="0.25">
      <c r="O2012" s="4" t="s">
        <v>2441</v>
      </c>
      <c r="P2012"/>
    </row>
    <row r="2013" spans="15:16" hidden="1" x14ac:dyDescent="0.25">
      <c r="O2013" s="4" t="s">
        <v>2442</v>
      </c>
      <c r="P2013"/>
    </row>
    <row r="2014" spans="15:16" hidden="1" x14ac:dyDescent="0.25">
      <c r="O2014" s="4" t="s">
        <v>2443</v>
      </c>
      <c r="P2014"/>
    </row>
    <row r="2015" spans="15:16" hidden="1" x14ac:dyDescent="0.25">
      <c r="O2015" s="4" t="s">
        <v>2444</v>
      </c>
      <c r="P2015"/>
    </row>
    <row r="2016" spans="15:16" hidden="1" x14ac:dyDescent="0.25">
      <c r="O2016" s="4" t="s">
        <v>2445</v>
      </c>
      <c r="P2016"/>
    </row>
    <row r="2017" spans="15:16" hidden="1" x14ac:dyDescent="0.25">
      <c r="O2017" s="4" t="s">
        <v>2446</v>
      </c>
      <c r="P2017"/>
    </row>
    <row r="2018" spans="15:16" hidden="1" x14ac:dyDescent="0.25">
      <c r="O2018" s="4" t="s">
        <v>2447</v>
      </c>
      <c r="P2018"/>
    </row>
    <row r="2019" spans="15:16" hidden="1" x14ac:dyDescent="0.25">
      <c r="O2019" s="4" t="s">
        <v>2448</v>
      </c>
      <c r="P2019"/>
    </row>
    <row r="2020" spans="15:16" hidden="1" x14ac:dyDescent="0.25">
      <c r="O2020" s="4" t="s">
        <v>2449</v>
      </c>
      <c r="P2020"/>
    </row>
    <row r="2021" spans="15:16" hidden="1" x14ac:dyDescent="0.25">
      <c r="O2021" s="4" t="s">
        <v>2450</v>
      </c>
      <c r="P2021"/>
    </row>
    <row r="2022" spans="15:16" hidden="1" x14ac:dyDescent="0.25">
      <c r="O2022" s="4" t="s">
        <v>2451</v>
      </c>
      <c r="P2022"/>
    </row>
    <row r="2023" spans="15:16" hidden="1" x14ac:dyDescent="0.25">
      <c r="O2023" s="4" t="s">
        <v>2452</v>
      </c>
      <c r="P2023"/>
    </row>
    <row r="2024" spans="15:16" hidden="1" x14ac:dyDescent="0.25">
      <c r="O2024" s="4" t="s">
        <v>2453</v>
      </c>
      <c r="P2024"/>
    </row>
    <row r="2025" spans="15:16" hidden="1" x14ac:dyDescent="0.25">
      <c r="O2025" s="4" t="s">
        <v>2454</v>
      </c>
      <c r="P2025"/>
    </row>
    <row r="2026" spans="15:16" hidden="1" x14ac:dyDescent="0.25">
      <c r="O2026" s="4" t="s">
        <v>2455</v>
      </c>
      <c r="P2026"/>
    </row>
    <row r="2027" spans="15:16" hidden="1" x14ac:dyDescent="0.25">
      <c r="O2027" s="4" t="s">
        <v>2456</v>
      </c>
      <c r="P2027"/>
    </row>
    <row r="2028" spans="15:16" hidden="1" x14ac:dyDescent="0.25">
      <c r="O2028" s="4" t="s">
        <v>2457</v>
      </c>
      <c r="P2028"/>
    </row>
    <row r="2029" spans="15:16" hidden="1" x14ac:dyDescent="0.25">
      <c r="O2029" s="4" t="s">
        <v>2458</v>
      </c>
      <c r="P2029"/>
    </row>
    <row r="2030" spans="15:16" hidden="1" x14ac:dyDescent="0.25">
      <c r="O2030" s="4" t="s">
        <v>2459</v>
      </c>
      <c r="P2030"/>
    </row>
    <row r="2031" spans="15:16" hidden="1" x14ac:dyDescent="0.25">
      <c r="O2031" s="4" t="s">
        <v>2460</v>
      </c>
      <c r="P2031"/>
    </row>
    <row r="2032" spans="15:16" hidden="1" x14ac:dyDescent="0.25">
      <c r="O2032" s="4" t="s">
        <v>2461</v>
      </c>
      <c r="P2032"/>
    </row>
    <row r="2033" spans="15:16" hidden="1" x14ac:dyDescent="0.25">
      <c r="O2033" s="4" t="s">
        <v>2462</v>
      </c>
      <c r="P2033"/>
    </row>
    <row r="2034" spans="15:16" hidden="1" x14ac:dyDescent="0.25">
      <c r="O2034" s="4" t="s">
        <v>2463</v>
      </c>
      <c r="P2034"/>
    </row>
    <row r="2035" spans="15:16" hidden="1" x14ac:dyDescent="0.25">
      <c r="O2035" s="4" t="s">
        <v>2464</v>
      </c>
      <c r="P2035"/>
    </row>
    <row r="2036" spans="15:16" hidden="1" x14ac:dyDescent="0.25">
      <c r="O2036" s="4" t="s">
        <v>2465</v>
      </c>
      <c r="P2036"/>
    </row>
    <row r="2037" spans="15:16" hidden="1" x14ac:dyDescent="0.25">
      <c r="O2037" s="4" t="s">
        <v>2466</v>
      </c>
      <c r="P2037"/>
    </row>
    <row r="2038" spans="15:16" hidden="1" x14ac:dyDescent="0.25">
      <c r="O2038" s="4" t="s">
        <v>2467</v>
      </c>
      <c r="P2038"/>
    </row>
    <row r="2039" spans="15:16" hidden="1" x14ac:dyDescent="0.25">
      <c r="O2039" s="4" t="s">
        <v>2468</v>
      </c>
      <c r="P2039"/>
    </row>
    <row r="2040" spans="15:16" hidden="1" x14ac:dyDescent="0.25">
      <c r="O2040" s="4" t="s">
        <v>2469</v>
      </c>
      <c r="P2040"/>
    </row>
    <row r="2041" spans="15:16" hidden="1" x14ac:dyDescent="0.25">
      <c r="O2041" s="4" t="s">
        <v>2470</v>
      </c>
      <c r="P2041"/>
    </row>
    <row r="2042" spans="15:16" hidden="1" x14ac:dyDescent="0.25">
      <c r="O2042" s="4" t="s">
        <v>2471</v>
      </c>
      <c r="P2042"/>
    </row>
    <row r="2043" spans="15:16" hidden="1" x14ac:dyDescent="0.25">
      <c r="O2043" s="4" t="s">
        <v>2472</v>
      </c>
      <c r="P2043"/>
    </row>
    <row r="2044" spans="15:16" hidden="1" x14ac:dyDescent="0.25">
      <c r="O2044" s="4" t="s">
        <v>2473</v>
      </c>
      <c r="P2044"/>
    </row>
    <row r="2045" spans="15:16" hidden="1" x14ac:dyDescent="0.25">
      <c r="O2045" s="4" t="s">
        <v>2474</v>
      </c>
      <c r="P2045"/>
    </row>
    <row r="2046" spans="15:16" hidden="1" x14ac:dyDescent="0.25">
      <c r="O2046" s="4" t="s">
        <v>2475</v>
      </c>
      <c r="P2046"/>
    </row>
    <row r="2047" spans="15:16" hidden="1" x14ac:dyDescent="0.25">
      <c r="O2047" s="4" t="s">
        <v>2476</v>
      </c>
      <c r="P2047"/>
    </row>
    <row r="2048" spans="15:16" hidden="1" x14ac:dyDescent="0.25">
      <c r="O2048" s="4" t="s">
        <v>2477</v>
      </c>
      <c r="P2048"/>
    </row>
    <row r="2049" spans="15:16" hidden="1" x14ac:dyDescent="0.25">
      <c r="O2049" s="4" t="s">
        <v>2478</v>
      </c>
      <c r="P2049"/>
    </row>
    <row r="2050" spans="15:16" hidden="1" x14ac:dyDescent="0.25">
      <c r="O2050" s="4" t="s">
        <v>2479</v>
      </c>
      <c r="P2050"/>
    </row>
    <row r="2051" spans="15:16" hidden="1" x14ac:dyDescent="0.25">
      <c r="O2051" s="4" t="s">
        <v>2480</v>
      </c>
      <c r="P2051"/>
    </row>
    <row r="2052" spans="15:16" hidden="1" x14ac:dyDescent="0.25">
      <c r="O2052" s="4" t="s">
        <v>2481</v>
      </c>
      <c r="P2052"/>
    </row>
    <row r="2053" spans="15:16" hidden="1" x14ac:dyDescent="0.25">
      <c r="O2053" s="4" t="s">
        <v>2482</v>
      </c>
      <c r="P2053"/>
    </row>
    <row r="2054" spans="15:16" hidden="1" x14ac:dyDescent="0.25">
      <c r="O2054" s="4" t="s">
        <v>2483</v>
      </c>
      <c r="P2054"/>
    </row>
    <row r="2055" spans="15:16" hidden="1" x14ac:dyDescent="0.25">
      <c r="O2055" s="4" t="s">
        <v>2484</v>
      </c>
      <c r="P2055"/>
    </row>
    <row r="2056" spans="15:16" hidden="1" x14ac:dyDescent="0.25">
      <c r="O2056" s="4" t="s">
        <v>2485</v>
      </c>
      <c r="P2056"/>
    </row>
    <row r="2057" spans="15:16" hidden="1" x14ac:dyDescent="0.25">
      <c r="O2057" s="4" t="s">
        <v>2486</v>
      </c>
      <c r="P2057"/>
    </row>
    <row r="2058" spans="15:16" hidden="1" x14ac:dyDescent="0.25">
      <c r="O2058" s="4" t="s">
        <v>2487</v>
      </c>
      <c r="P2058"/>
    </row>
    <row r="2059" spans="15:16" hidden="1" x14ac:dyDescent="0.25">
      <c r="O2059" s="4" t="s">
        <v>2488</v>
      </c>
      <c r="P2059"/>
    </row>
    <row r="2060" spans="15:16" hidden="1" x14ac:dyDescent="0.25">
      <c r="O2060" s="4" t="s">
        <v>2489</v>
      </c>
      <c r="P2060"/>
    </row>
    <row r="2061" spans="15:16" hidden="1" x14ac:dyDescent="0.25">
      <c r="O2061" s="4" t="s">
        <v>2490</v>
      </c>
      <c r="P2061"/>
    </row>
    <row r="2062" spans="15:16" hidden="1" x14ac:dyDescent="0.25">
      <c r="O2062" s="4" t="s">
        <v>2491</v>
      </c>
      <c r="P2062"/>
    </row>
    <row r="2063" spans="15:16" hidden="1" x14ac:dyDescent="0.25">
      <c r="O2063" s="4" t="s">
        <v>2492</v>
      </c>
      <c r="P2063"/>
    </row>
    <row r="2064" spans="15:16" hidden="1" x14ac:dyDescent="0.25">
      <c r="O2064" s="4" t="s">
        <v>2493</v>
      </c>
      <c r="P2064"/>
    </row>
    <row r="2065" spans="15:16" hidden="1" x14ac:dyDescent="0.25">
      <c r="O2065" s="4" t="s">
        <v>2494</v>
      </c>
      <c r="P2065"/>
    </row>
    <row r="2066" spans="15:16" hidden="1" x14ac:dyDescent="0.25">
      <c r="O2066" s="4" t="s">
        <v>2495</v>
      </c>
      <c r="P2066"/>
    </row>
    <row r="2067" spans="15:16" hidden="1" x14ac:dyDescent="0.25">
      <c r="O2067" s="4" t="s">
        <v>2496</v>
      </c>
      <c r="P2067"/>
    </row>
    <row r="2068" spans="15:16" hidden="1" x14ac:dyDescent="0.25">
      <c r="O2068" s="4" t="s">
        <v>2497</v>
      </c>
      <c r="P2068"/>
    </row>
    <row r="2069" spans="15:16" hidden="1" x14ac:dyDescent="0.25">
      <c r="O2069" s="4" t="s">
        <v>2498</v>
      </c>
      <c r="P2069"/>
    </row>
    <row r="2070" spans="15:16" hidden="1" x14ac:dyDescent="0.25">
      <c r="O2070" s="4" t="s">
        <v>2499</v>
      </c>
      <c r="P2070"/>
    </row>
    <row r="2071" spans="15:16" hidden="1" x14ac:dyDescent="0.25">
      <c r="O2071" s="4" t="s">
        <v>2500</v>
      </c>
      <c r="P2071"/>
    </row>
    <row r="2072" spans="15:16" hidden="1" x14ac:dyDescent="0.25">
      <c r="O2072" s="4" t="s">
        <v>2501</v>
      </c>
      <c r="P2072"/>
    </row>
    <row r="2073" spans="15:16" hidden="1" x14ac:dyDescent="0.25">
      <c r="O2073" s="4" t="s">
        <v>2502</v>
      </c>
      <c r="P2073"/>
    </row>
    <row r="2074" spans="15:16" hidden="1" x14ac:dyDescent="0.25">
      <c r="O2074" s="4" t="s">
        <v>2503</v>
      </c>
      <c r="P2074"/>
    </row>
    <row r="2075" spans="15:16" hidden="1" x14ac:dyDescent="0.25">
      <c r="O2075" s="4" t="s">
        <v>2504</v>
      </c>
      <c r="P2075"/>
    </row>
    <row r="2076" spans="15:16" hidden="1" x14ac:dyDescent="0.25">
      <c r="O2076" s="4" t="s">
        <v>2505</v>
      </c>
      <c r="P2076"/>
    </row>
    <row r="2077" spans="15:16" hidden="1" x14ac:dyDescent="0.25">
      <c r="O2077" s="4" t="s">
        <v>2506</v>
      </c>
      <c r="P2077"/>
    </row>
    <row r="2078" spans="15:16" hidden="1" x14ac:dyDescent="0.25">
      <c r="O2078" s="4" t="s">
        <v>2507</v>
      </c>
      <c r="P2078"/>
    </row>
    <row r="2079" spans="15:16" hidden="1" x14ac:dyDescent="0.25">
      <c r="O2079" s="4" t="s">
        <v>2508</v>
      </c>
      <c r="P2079"/>
    </row>
    <row r="2080" spans="15:16" hidden="1" x14ac:dyDescent="0.25">
      <c r="O2080" s="4" t="s">
        <v>2509</v>
      </c>
      <c r="P2080"/>
    </row>
    <row r="2081" spans="15:16" hidden="1" x14ac:dyDescent="0.25">
      <c r="O2081" s="4" t="s">
        <v>2510</v>
      </c>
      <c r="P2081"/>
    </row>
    <row r="2082" spans="15:16" hidden="1" x14ac:dyDescent="0.25">
      <c r="O2082" s="4" t="s">
        <v>2511</v>
      </c>
      <c r="P2082"/>
    </row>
    <row r="2083" spans="15:16" hidden="1" x14ac:dyDescent="0.25">
      <c r="O2083" s="4" t="s">
        <v>2512</v>
      </c>
      <c r="P2083"/>
    </row>
    <row r="2084" spans="15:16" hidden="1" x14ac:dyDescent="0.25">
      <c r="O2084" s="4" t="s">
        <v>2513</v>
      </c>
      <c r="P2084"/>
    </row>
    <row r="2085" spans="15:16" hidden="1" x14ac:dyDescent="0.25">
      <c r="O2085" s="4" t="s">
        <v>2514</v>
      </c>
      <c r="P2085"/>
    </row>
    <row r="2086" spans="15:16" hidden="1" x14ac:dyDescent="0.25">
      <c r="O2086" s="4" t="s">
        <v>2515</v>
      </c>
      <c r="P2086"/>
    </row>
    <row r="2087" spans="15:16" hidden="1" x14ac:dyDescent="0.25">
      <c r="O2087" s="4" t="s">
        <v>2516</v>
      </c>
      <c r="P2087"/>
    </row>
    <row r="2088" spans="15:16" hidden="1" x14ac:dyDescent="0.25">
      <c r="O2088" s="4" t="s">
        <v>2517</v>
      </c>
      <c r="P2088"/>
    </row>
    <row r="2089" spans="15:16" hidden="1" x14ac:dyDescent="0.25">
      <c r="O2089" s="4" t="s">
        <v>2518</v>
      </c>
      <c r="P2089"/>
    </row>
    <row r="2090" spans="15:16" hidden="1" x14ac:dyDescent="0.25">
      <c r="O2090" s="4" t="s">
        <v>2519</v>
      </c>
      <c r="P2090"/>
    </row>
    <row r="2091" spans="15:16" hidden="1" x14ac:dyDescent="0.25">
      <c r="O2091" s="4" t="s">
        <v>2520</v>
      </c>
      <c r="P2091"/>
    </row>
    <row r="2092" spans="15:16" hidden="1" x14ac:dyDescent="0.25">
      <c r="O2092" s="4" t="s">
        <v>2521</v>
      </c>
      <c r="P2092"/>
    </row>
    <row r="2093" spans="15:16" hidden="1" x14ac:dyDescent="0.25">
      <c r="O2093" s="4" t="s">
        <v>2522</v>
      </c>
      <c r="P2093"/>
    </row>
    <row r="2094" spans="15:16" hidden="1" x14ac:dyDescent="0.25">
      <c r="O2094" s="4" t="s">
        <v>2523</v>
      </c>
      <c r="P2094"/>
    </row>
    <row r="2095" spans="15:16" hidden="1" x14ac:dyDescent="0.25">
      <c r="O2095" s="4" t="s">
        <v>2524</v>
      </c>
      <c r="P2095"/>
    </row>
    <row r="2096" spans="15:16" hidden="1" x14ac:dyDescent="0.25">
      <c r="O2096" s="4" t="s">
        <v>2525</v>
      </c>
      <c r="P2096"/>
    </row>
    <row r="2097" spans="15:16" hidden="1" x14ac:dyDescent="0.25">
      <c r="O2097" s="4" t="s">
        <v>2526</v>
      </c>
      <c r="P2097"/>
    </row>
    <row r="2098" spans="15:16" hidden="1" x14ac:dyDescent="0.25">
      <c r="O2098" s="4" t="s">
        <v>2527</v>
      </c>
      <c r="P2098"/>
    </row>
    <row r="2099" spans="15:16" hidden="1" x14ac:dyDescent="0.25">
      <c r="O2099" s="4" t="s">
        <v>2528</v>
      </c>
      <c r="P2099"/>
    </row>
    <row r="2100" spans="15:16" hidden="1" x14ac:dyDescent="0.25">
      <c r="O2100" s="4" t="s">
        <v>2529</v>
      </c>
      <c r="P2100"/>
    </row>
    <row r="2101" spans="15:16" hidden="1" x14ac:dyDescent="0.25">
      <c r="O2101" s="4" t="s">
        <v>2530</v>
      </c>
      <c r="P2101"/>
    </row>
    <row r="2102" spans="15:16" hidden="1" x14ac:dyDescent="0.25">
      <c r="O2102" s="4" t="s">
        <v>2531</v>
      </c>
      <c r="P2102"/>
    </row>
    <row r="2103" spans="15:16" hidden="1" x14ac:dyDescent="0.25">
      <c r="O2103" s="4" t="s">
        <v>2532</v>
      </c>
      <c r="P2103"/>
    </row>
    <row r="2104" spans="15:16" hidden="1" x14ac:dyDescent="0.25">
      <c r="O2104" s="4" t="s">
        <v>2533</v>
      </c>
      <c r="P2104"/>
    </row>
    <row r="2105" spans="15:16" hidden="1" x14ac:dyDescent="0.25">
      <c r="O2105" s="4" t="s">
        <v>2534</v>
      </c>
      <c r="P2105"/>
    </row>
    <row r="2106" spans="15:16" hidden="1" x14ac:dyDescent="0.25">
      <c r="O2106" s="4" t="s">
        <v>2535</v>
      </c>
      <c r="P2106"/>
    </row>
    <row r="2107" spans="15:16" hidden="1" x14ac:dyDescent="0.25">
      <c r="O2107" s="4" t="s">
        <v>2536</v>
      </c>
      <c r="P2107"/>
    </row>
    <row r="2108" spans="15:16" hidden="1" x14ac:dyDescent="0.25">
      <c r="O2108" s="4" t="s">
        <v>2537</v>
      </c>
      <c r="P2108"/>
    </row>
    <row r="2109" spans="15:16" hidden="1" x14ac:dyDescent="0.25">
      <c r="O2109" s="4" t="s">
        <v>2538</v>
      </c>
      <c r="P2109"/>
    </row>
    <row r="2110" spans="15:16" hidden="1" x14ac:dyDescent="0.25">
      <c r="O2110" s="4" t="s">
        <v>2539</v>
      </c>
      <c r="P2110"/>
    </row>
    <row r="2111" spans="15:16" hidden="1" x14ac:dyDescent="0.25">
      <c r="O2111" s="4" t="s">
        <v>2540</v>
      </c>
      <c r="P2111"/>
    </row>
    <row r="2112" spans="15:16" hidden="1" x14ac:dyDescent="0.25">
      <c r="O2112" s="4" t="s">
        <v>2541</v>
      </c>
      <c r="P2112"/>
    </row>
    <row r="2113" spans="15:16" hidden="1" x14ac:dyDescent="0.25">
      <c r="O2113" s="4" t="s">
        <v>2542</v>
      </c>
      <c r="P2113"/>
    </row>
    <row r="2114" spans="15:16" hidden="1" x14ac:dyDescent="0.25">
      <c r="O2114" s="4" t="s">
        <v>29</v>
      </c>
      <c r="P2114"/>
    </row>
    <row r="2115" spans="15:16" hidden="1" x14ac:dyDescent="0.25">
      <c r="O2115" s="4" t="s">
        <v>32</v>
      </c>
      <c r="P2115"/>
    </row>
    <row r="2116" spans="15:16" hidden="1" x14ac:dyDescent="0.25">
      <c r="O2116" s="4" t="s">
        <v>2543</v>
      </c>
      <c r="P2116"/>
    </row>
    <row r="2117" spans="15:16" hidden="1" x14ac:dyDescent="0.25">
      <c r="O2117" s="4" t="s">
        <v>2544</v>
      </c>
      <c r="P2117"/>
    </row>
    <row r="2118" spans="15:16" hidden="1" x14ac:dyDescent="0.25">
      <c r="O2118" s="4" t="s">
        <v>2545</v>
      </c>
      <c r="P2118"/>
    </row>
    <row r="2119" spans="15:16" hidden="1" x14ac:dyDescent="0.25">
      <c r="O2119" s="4" t="s">
        <v>2546</v>
      </c>
      <c r="P2119"/>
    </row>
    <row r="2120" spans="15:16" hidden="1" x14ac:dyDescent="0.25">
      <c r="O2120" s="4" t="s">
        <v>2547</v>
      </c>
      <c r="P2120"/>
    </row>
    <row r="2121" spans="15:16" hidden="1" x14ac:dyDescent="0.25">
      <c r="O2121" s="4" t="s">
        <v>2548</v>
      </c>
      <c r="P2121"/>
    </row>
    <row r="2122" spans="15:16" hidden="1" x14ac:dyDescent="0.25">
      <c r="O2122" s="4" t="s">
        <v>2549</v>
      </c>
      <c r="P2122"/>
    </row>
    <row r="2123" spans="15:16" hidden="1" x14ac:dyDescent="0.25">
      <c r="O2123" s="4" t="s">
        <v>2550</v>
      </c>
      <c r="P2123"/>
    </row>
    <row r="2124" spans="15:16" hidden="1" x14ac:dyDescent="0.25">
      <c r="O2124" s="4" t="s">
        <v>2551</v>
      </c>
      <c r="P2124"/>
    </row>
    <row r="2125" spans="15:16" hidden="1" x14ac:dyDescent="0.25">
      <c r="O2125" s="4" t="s">
        <v>2552</v>
      </c>
      <c r="P2125"/>
    </row>
    <row r="2126" spans="15:16" hidden="1" x14ac:dyDescent="0.25">
      <c r="O2126" s="4" t="s">
        <v>2553</v>
      </c>
      <c r="P2126"/>
    </row>
    <row r="2127" spans="15:16" hidden="1" x14ac:dyDescent="0.25">
      <c r="O2127" s="4" t="s">
        <v>2554</v>
      </c>
      <c r="P2127"/>
    </row>
    <row r="2128" spans="15:16" hidden="1" x14ac:dyDescent="0.25">
      <c r="O2128" s="4" t="s">
        <v>2555</v>
      </c>
      <c r="P2128"/>
    </row>
    <row r="2129" spans="15:16" hidden="1" x14ac:dyDescent="0.25">
      <c r="O2129" s="4" t="s">
        <v>2556</v>
      </c>
      <c r="P2129"/>
    </row>
    <row r="2130" spans="15:16" hidden="1" x14ac:dyDescent="0.25">
      <c r="O2130" s="4" t="s">
        <v>2557</v>
      </c>
      <c r="P2130"/>
    </row>
    <row r="2131" spans="15:16" hidden="1" x14ac:dyDescent="0.25">
      <c r="O2131" s="4" t="s">
        <v>2558</v>
      </c>
      <c r="P2131"/>
    </row>
    <row r="2132" spans="15:16" hidden="1" x14ac:dyDescent="0.25">
      <c r="O2132" s="4" t="s">
        <v>2559</v>
      </c>
      <c r="P2132"/>
    </row>
    <row r="2133" spans="15:16" hidden="1" x14ac:dyDescent="0.25">
      <c r="O2133" s="4" t="s">
        <v>2560</v>
      </c>
      <c r="P2133"/>
    </row>
    <row r="2134" spans="15:16" hidden="1" x14ac:dyDescent="0.25">
      <c r="O2134" s="4" t="s">
        <v>2561</v>
      </c>
      <c r="P2134"/>
    </row>
    <row r="2135" spans="15:16" hidden="1" x14ac:dyDescent="0.25">
      <c r="O2135" s="4" t="s">
        <v>2562</v>
      </c>
      <c r="P2135"/>
    </row>
    <row r="2136" spans="15:16" hidden="1" x14ac:dyDescent="0.25">
      <c r="O2136" s="4" t="s">
        <v>2563</v>
      </c>
      <c r="P2136"/>
    </row>
    <row r="2137" spans="15:16" hidden="1" x14ac:dyDescent="0.25">
      <c r="O2137" s="4" t="s">
        <v>2564</v>
      </c>
      <c r="P2137"/>
    </row>
    <row r="2138" spans="15:16" hidden="1" x14ac:dyDescent="0.25">
      <c r="O2138" s="4" t="s">
        <v>2565</v>
      </c>
      <c r="P2138"/>
    </row>
    <row r="2139" spans="15:16" hidden="1" x14ac:dyDescent="0.25">
      <c r="O2139" s="4" t="s">
        <v>2566</v>
      </c>
      <c r="P2139"/>
    </row>
    <row r="2140" spans="15:16" hidden="1" x14ac:dyDescent="0.25">
      <c r="O2140" s="4" t="s">
        <v>2567</v>
      </c>
      <c r="P2140"/>
    </row>
    <row r="2141" spans="15:16" hidden="1" x14ac:dyDescent="0.25">
      <c r="O2141" s="4" t="s">
        <v>2568</v>
      </c>
      <c r="P2141"/>
    </row>
    <row r="2142" spans="15:16" hidden="1" x14ac:dyDescent="0.25">
      <c r="O2142" s="4" t="s">
        <v>2569</v>
      </c>
      <c r="P2142"/>
    </row>
    <row r="2143" spans="15:16" hidden="1" x14ac:dyDescent="0.25">
      <c r="O2143" s="4" t="s">
        <v>83</v>
      </c>
      <c r="P2143"/>
    </row>
    <row r="2144" spans="15:16" hidden="1" x14ac:dyDescent="0.25">
      <c r="O2144" s="4" t="s">
        <v>2570</v>
      </c>
      <c r="P2144"/>
    </row>
    <row r="2145" spans="15:16" hidden="1" x14ac:dyDescent="0.25">
      <c r="O2145" s="4" t="s">
        <v>2571</v>
      </c>
      <c r="P2145"/>
    </row>
    <row r="2146" spans="15:16" hidden="1" x14ac:dyDescent="0.25">
      <c r="O2146" s="4" t="s">
        <v>2572</v>
      </c>
      <c r="P2146"/>
    </row>
    <row r="2147" spans="15:16" hidden="1" x14ac:dyDescent="0.25">
      <c r="O2147" s="4" t="s">
        <v>2573</v>
      </c>
      <c r="P2147"/>
    </row>
    <row r="2148" spans="15:16" hidden="1" x14ac:dyDescent="0.25">
      <c r="O2148" s="4" t="s">
        <v>2574</v>
      </c>
      <c r="P2148"/>
    </row>
    <row r="2149" spans="15:16" hidden="1" x14ac:dyDescent="0.25">
      <c r="O2149" s="4" t="s">
        <v>2575</v>
      </c>
      <c r="P2149"/>
    </row>
    <row r="2150" spans="15:16" hidden="1" x14ac:dyDescent="0.25">
      <c r="O2150" s="4" t="s">
        <v>2576</v>
      </c>
      <c r="P2150"/>
    </row>
    <row r="2151" spans="15:16" hidden="1" x14ac:dyDescent="0.25">
      <c r="O2151" s="4" t="s">
        <v>2577</v>
      </c>
      <c r="P2151"/>
    </row>
    <row r="2152" spans="15:16" hidden="1" x14ac:dyDescent="0.25">
      <c r="O2152" s="4" t="s">
        <v>2578</v>
      </c>
      <c r="P2152"/>
    </row>
    <row r="2153" spans="15:16" hidden="1" x14ac:dyDescent="0.25">
      <c r="O2153" s="4" t="s">
        <v>2579</v>
      </c>
      <c r="P2153"/>
    </row>
    <row r="2154" spans="15:16" hidden="1" x14ac:dyDescent="0.25">
      <c r="O2154" s="4" t="s">
        <v>2580</v>
      </c>
      <c r="P2154"/>
    </row>
    <row r="2155" spans="15:16" hidden="1" x14ac:dyDescent="0.25">
      <c r="O2155" s="4" t="s">
        <v>2581</v>
      </c>
      <c r="P2155"/>
    </row>
    <row r="2156" spans="15:16" hidden="1" x14ac:dyDescent="0.25">
      <c r="O2156" s="4" t="s">
        <v>2582</v>
      </c>
      <c r="P2156"/>
    </row>
    <row r="2157" spans="15:16" hidden="1" x14ac:dyDescent="0.25">
      <c r="O2157" s="4" t="s">
        <v>2583</v>
      </c>
      <c r="P2157"/>
    </row>
    <row r="2158" spans="15:16" hidden="1" x14ac:dyDescent="0.25">
      <c r="O2158" s="4" t="s">
        <v>2584</v>
      </c>
      <c r="P2158"/>
    </row>
    <row r="2159" spans="15:16" hidden="1" x14ac:dyDescent="0.25">
      <c r="O2159" s="4" t="s">
        <v>2585</v>
      </c>
      <c r="P2159"/>
    </row>
    <row r="2160" spans="15:16" hidden="1" x14ac:dyDescent="0.25">
      <c r="O2160" s="4" t="s">
        <v>2586</v>
      </c>
      <c r="P2160"/>
    </row>
    <row r="2161" spans="15:16" hidden="1" x14ac:dyDescent="0.25">
      <c r="O2161" s="4" t="s">
        <v>2587</v>
      </c>
      <c r="P2161"/>
    </row>
    <row r="2162" spans="15:16" hidden="1" x14ac:dyDescent="0.25">
      <c r="O2162" s="4" t="s">
        <v>2588</v>
      </c>
      <c r="P2162"/>
    </row>
    <row r="2163" spans="15:16" hidden="1" x14ac:dyDescent="0.25">
      <c r="O2163" s="4" t="s">
        <v>2589</v>
      </c>
      <c r="P2163"/>
    </row>
    <row r="2164" spans="15:16" hidden="1" x14ac:dyDescent="0.25">
      <c r="O2164" s="4" t="s">
        <v>2590</v>
      </c>
      <c r="P2164"/>
    </row>
    <row r="2165" spans="15:16" hidden="1" x14ac:dyDescent="0.25">
      <c r="O2165" s="4" t="s">
        <v>2591</v>
      </c>
      <c r="P2165"/>
    </row>
    <row r="2166" spans="15:16" hidden="1" x14ac:dyDescent="0.25">
      <c r="O2166" s="4" t="s">
        <v>2592</v>
      </c>
      <c r="P2166"/>
    </row>
    <row r="2167" spans="15:16" hidden="1" x14ac:dyDescent="0.25">
      <c r="O2167" s="4" t="s">
        <v>2593</v>
      </c>
      <c r="P2167"/>
    </row>
    <row r="2168" spans="15:16" hidden="1" x14ac:dyDescent="0.25">
      <c r="O2168" s="4" t="s">
        <v>2594</v>
      </c>
      <c r="P2168"/>
    </row>
    <row r="2169" spans="15:16" hidden="1" x14ac:dyDescent="0.25">
      <c r="O2169" s="4" t="s">
        <v>115</v>
      </c>
      <c r="P2169"/>
    </row>
    <row r="2170" spans="15:16" hidden="1" x14ac:dyDescent="0.25">
      <c r="O2170" s="4" t="s">
        <v>123</v>
      </c>
      <c r="P2170"/>
    </row>
    <row r="2171" spans="15:16" hidden="1" x14ac:dyDescent="0.25">
      <c r="O2171" s="4" t="s">
        <v>2595</v>
      </c>
      <c r="P2171"/>
    </row>
    <row r="2172" spans="15:16" hidden="1" x14ac:dyDescent="0.25">
      <c r="O2172" s="4" t="s">
        <v>2596</v>
      </c>
      <c r="P2172"/>
    </row>
    <row r="2173" spans="15:16" hidden="1" x14ac:dyDescent="0.25">
      <c r="O2173" s="4" t="s">
        <v>2597</v>
      </c>
      <c r="P2173"/>
    </row>
    <row r="2174" spans="15:16" hidden="1" x14ac:dyDescent="0.25">
      <c r="O2174" s="4" t="s">
        <v>2598</v>
      </c>
      <c r="P2174"/>
    </row>
    <row r="2175" spans="15:16" hidden="1" x14ac:dyDescent="0.25">
      <c r="O2175" s="4" t="s">
        <v>2599</v>
      </c>
      <c r="P2175"/>
    </row>
    <row r="2176" spans="15:16" hidden="1" x14ac:dyDescent="0.25">
      <c r="O2176" s="4" t="s">
        <v>2600</v>
      </c>
      <c r="P2176"/>
    </row>
    <row r="2177" spans="15:16" hidden="1" x14ac:dyDescent="0.25">
      <c r="O2177" s="4" t="s">
        <v>2601</v>
      </c>
      <c r="P2177"/>
    </row>
    <row r="2178" spans="15:16" hidden="1" x14ac:dyDescent="0.25">
      <c r="O2178" s="4" t="s">
        <v>2602</v>
      </c>
      <c r="P2178"/>
    </row>
    <row r="2179" spans="15:16" hidden="1" x14ac:dyDescent="0.25">
      <c r="O2179" s="4" t="s">
        <v>2603</v>
      </c>
      <c r="P2179"/>
    </row>
    <row r="2180" spans="15:16" hidden="1" x14ac:dyDescent="0.25">
      <c r="O2180" s="4" t="s">
        <v>137</v>
      </c>
      <c r="P2180"/>
    </row>
    <row r="2181" spans="15:16" hidden="1" x14ac:dyDescent="0.25">
      <c r="O2181" s="4" t="s">
        <v>2604</v>
      </c>
      <c r="P2181"/>
    </row>
    <row r="2182" spans="15:16" hidden="1" x14ac:dyDescent="0.25">
      <c r="O2182" s="4" t="s">
        <v>2605</v>
      </c>
      <c r="P2182"/>
    </row>
    <row r="2183" spans="15:16" hidden="1" x14ac:dyDescent="0.25">
      <c r="O2183" s="4" t="s">
        <v>2606</v>
      </c>
      <c r="P2183"/>
    </row>
    <row r="2184" spans="15:16" hidden="1" x14ac:dyDescent="0.25">
      <c r="O2184" s="4" t="s">
        <v>2607</v>
      </c>
      <c r="P2184"/>
    </row>
    <row r="2185" spans="15:16" hidden="1" x14ac:dyDescent="0.25">
      <c r="O2185" s="4" t="s">
        <v>2608</v>
      </c>
      <c r="P2185"/>
    </row>
    <row r="2186" spans="15:16" hidden="1" x14ac:dyDescent="0.25">
      <c r="O2186" s="4" t="s">
        <v>2609</v>
      </c>
      <c r="P2186"/>
    </row>
    <row r="2187" spans="15:16" hidden="1" x14ac:dyDescent="0.25">
      <c r="O2187" s="4" t="s">
        <v>2610</v>
      </c>
      <c r="P2187"/>
    </row>
    <row r="2188" spans="15:16" hidden="1" x14ac:dyDescent="0.25">
      <c r="O2188" s="4" t="s">
        <v>2611</v>
      </c>
      <c r="P2188"/>
    </row>
    <row r="2189" spans="15:16" hidden="1" x14ac:dyDescent="0.25">
      <c r="O2189" s="4" t="s">
        <v>2612</v>
      </c>
      <c r="P2189"/>
    </row>
    <row r="2190" spans="15:16" hidden="1" x14ac:dyDescent="0.25">
      <c r="O2190" s="4" t="s">
        <v>2613</v>
      </c>
      <c r="P2190"/>
    </row>
    <row r="2191" spans="15:16" hidden="1" x14ac:dyDescent="0.25">
      <c r="O2191" s="4" t="s">
        <v>2614</v>
      </c>
      <c r="P2191"/>
    </row>
    <row r="2192" spans="15:16" hidden="1" x14ac:dyDescent="0.25">
      <c r="O2192" s="4" t="s">
        <v>2615</v>
      </c>
      <c r="P2192"/>
    </row>
    <row r="2193" spans="15:16" hidden="1" x14ac:dyDescent="0.25">
      <c r="O2193" s="4" t="s">
        <v>2616</v>
      </c>
      <c r="P2193"/>
    </row>
    <row r="2194" spans="15:16" hidden="1" x14ac:dyDescent="0.25">
      <c r="O2194" s="4" t="s">
        <v>2617</v>
      </c>
      <c r="P2194"/>
    </row>
    <row r="2195" spans="15:16" hidden="1" x14ac:dyDescent="0.25">
      <c r="O2195" s="4" t="s">
        <v>2618</v>
      </c>
      <c r="P2195"/>
    </row>
    <row r="2196" spans="15:16" hidden="1" x14ac:dyDescent="0.25">
      <c r="O2196" s="4" t="s">
        <v>2619</v>
      </c>
      <c r="P2196"/>
    </row>
    <row r="2197" spans="15:16" hidden="1" x14ac:dyDescent="0.25">
      <c r="O2197" s="4" t="s">
        <v>2620</v>
      </c>
      <c r="P2197"/>
    </row>
    <row r="2198" spans="15:16" hidden="1" x14ac:dyDescent="0.25">
      <c r="O2198" s="4" t="s">
        <v>2621</v>
      </c>
      <c r="P2198"/>
    </row>
    <row r="2199" spans="15:16" hidden="1" x14ac:dyDescent="0.25">
      <c r="O2199" s="4" t="s">
        <v>2622</v>
      </c>
      <c r="P2199"/>
    </row>
    <row r="2200" spans="15:16" hidden="1" x14ac:dyDescent="0.25">
      <c r="O2200" s="4" t="s">
        <v>2623</v>
      </c>
      <c r="P2200"/>
    </row>
    <row r="2201" spans="15:16" hidden="1" x14ac:dyDescent="0.25">
      <c r="O2201" s="4" t="s">
        <v>2624</v>
      </c>
      <c r="P2201"/>
    </row>
    <row r="2202" spans="15:16" hidden="1" x14ac:dyDescent="0.25">
      <c r="O2202" s="4" t="s">
        <v>2625</v>
      </c>
      <c r="P2202"/>
    </row>
    <row r="2203" spans="15:16" hidden="1" x14ac:dyDescent="0.25">
      <c r="O2203" s="4" t="s">
        <v>2626</v>
      </c>
      <c r="P2203"/>
    </row>
    <row r="2204" spans="15:16" hidden="1" x14ac:dyDescent="0.25">
      <c r="O2204" s="4" t="s">
        <v>2627</v>
      </c>
      <c r="P2204"/>
    </row>
    <row r="2205" spans="15:16" hidden="1" x14ac:dyDescent="0.25">
      <c r="O2205" s="4" t="s">
        <v>2628</v>
      </c>
      <c r="P2205"/>
    </row>
    <row r="2206" spans="15:16" hidden="1" x14ac:dyDescent="0.25">
      <c r="O2206" s="4" t="s">
        <v>2629</v>
      </c>
      <c r="P2206"/>
    </row>
    <row r="2207" spans="15:16" hidden="1" x14ac:dyDescent="0.25">
      <c r="O2207" s="4" t="s">
        <v>2630</v>
      </c>
      <c r="P2207"/>
    </row>
    <row r="2208" spans="15:16" hidden="1" x14ac:dyDescent="0.25">
      <c r="O2208" s="4" t="s">
        <v>2631</v>
      </c>
      <c r="P2208"/>
    </row>
    <row r="2209" spans="15:16" hidden="1" x14ac:dyDescent="0.25">
      <c r="O2209" s="4" t="s">
        <v>2632</v>
      </c>
      <c r="P2209"/>
    </row>
    <row r="2210" spans="15:16" hidden="1" x14ac:dyDescent="0.25">
      <c r="O2210" s="4" t="s">
        <v>2633</v>
      </c>
      <c r="P2210"/>
    </row>
    <row r="2211" spans="15:16" hidden="1" x14ac:dyDescent="0.25">
      <c r="O2211" s="4" t="s">
        <v>2634</v>
      </c>
      <c r="P2211"/>
    </row>
    <row r="2212" spans="15:16" hidden="1" x14ac:dyDescent="0.25">
      <c r="O2212" s="4" t="s">
        <v>2635</v>
      </c>
      <c r="P2212"/>
    </row>
    <row r="2213" spans="15:16" hidden="1" x14ac:dyDescent="0.25">
      <c r="O2213" s="4" t="s">
        <v>2636</v>
      </c>
      <c r="P2213"/>
    </row>
    <row r="2214" spans="15:16" hidden="1" x14ac:dyDescent="0.25">
      <c r="O2214" s="4" t="s">
        <v>2637</v>
      </c>
      <c r="P2214"/>
    </row>
    <row r="2215" spans="15:16" hidden="1" x14ac:dyDescent="0.25">
      <c r="O2215" s="4" t="s">
        <v>2638</v>
      </c>
      <c r="P2215"/>
    </row>
    <row r="2216" spans="15:16" hidden="1" x14ac:dyDescent="0.25">
      <c r="O2216" s="4" t="s">
        <v>2639</v>
      </c>
      <c r="P2216"/>
    </row>
    <row r="2217" spans="15:16" hidden="1" x14ac:dyDescent="0.25">
      <c r="O2217" s="4" t="s">
        <v>2640</v>
      </c>
      <c r="P2217"/>
    </row>
    <row r="2218" spans="15:16" hidden="1" x14ac:dyDescent="0.25">
      <c r="O2218" s="4" t="s">
        <v>2641</v>
      </c>
      <c r="P2218"/>
    </row>
    <row r="2219" spans="15:16" hidden="1" x14ac:dyDescent="0.25">
      <c r="O2219" s="4" t="s">
        <v>2642</v>
      </c>
      <c r="P2219"/>
    </row>
    <row r="2220" spans="15:16" hidden="1" x14ac:dyDescent="0.25">
      <c r="O2220" s="4" t="s">
        <v>2643</v>
      </c>
      <c r="P2220"/>
    </row>
    <row r="2221" spans="15:16" hidden="1" x14ac:dyDescent="0.25">
      <c r="O2221" s="4" t="s">
        <v>167</v>
      </c>
      <c r="P2221"/>
    </row>
    <row r="2222" spans="15:16" hidden="1" x14ac:dyDescent="0.25">
      <c r="O2222" s="4" t="s">
        <v>2644</v>
      </c>
      <c r="P2222"/>
    </row>
    <row r="2223" spans="15:16" hidden="1" x14ac:dyDescent="0.25">
      <c r="O2223" s="4" t="s">
        <v>2645</v>
      </c>
      <c r="P2223"/>
    </row>
    <row r="2224" spans="15:16" hidden="1" x14ac:dyDescent="0.25">
      <c r="O2224" s="4" t="s">
        <v>2646</v>
      </c>
      <c r="P2224"/>
    </row>
    <row r="2225" spans="15:16" hidden="1" x14ac:dyDescent="0.25">
      <c r="O2225" s="4" t="s">
        <v>2647</v>
      </c>
      <c r="P2225"/>
    </row>
    <row r="2226" spans="15:16" hidden="1" x14ac:dyDescent="0.25">
      <c r="O2226" s="4" t="s">
        <v>2648</v>
      </c>
      <c r="P2226"/>
    </row>
    <row r="2227" spans="15:16" hidden="1" x14ac:dyDescent="0.25">
      <c r="O2227" s="4" t="s">
        <v>2649</v>
      </c>
      <c r="P2227"/>
    </row>
    <row r="2228" spans="15:16" hidden="1" x14ac:dyDescent="0.25">
      <c r="O2228" s="4" t="s">
        <v>2650</v>
      </c>
      <c r="P2228"/>
    </row>
    <row r="2229" spans="15:16" hidden="1" x14ac:dyDescent="0.25">
      <c r="O2229" s="4" t="s">
        <v>2651</v>
      </c>
      <c r="P2229"/>
    </row>
    <row r="2230" spans="15:16" hidden="1" x14ac:dyDescent="0.25">
      <c r="O2230" s="4" t="s">
        <v>2652</v>
      </c>
      <c r="P2230"/>
    </row>
    <row r="2231" spans="15:16" hidden="1" x14ac:dyDescent="0.25">
      <c r="O2231" s="4" t="s">
        <v>2653</v>
      </c>
      <c r="P2231"/>
    </row>
    <row r="2232" spans="15:16" hidden="1" x14ac:dyDescent="0.25">
      <c r="O2232" s="4" t="s">
        <v>2654</v>
      </c>
      <c r="P2232"/>
    </row>
    <row r="2233" spans="15:16" hidden="1" x14ac:dyDescent="0.25">
      <c r="O2233" s="4" t="s">
        <v>175</v>
      </c>
      <c r="P2233"/>
    </row>
    <row r="2234" spans="15:16" hidden="1" x14ac:dyDescent="0.25">
      <c r="O2234" s="4" t="s">
        <v>2655</v>
      </c>
      <c r="P2234"/>
    </row>
    <row r="2235" spans="15:16" hidden="1" x14ac:dyDescent="0.25">
      <c r="O2235" s="4" t="s">
        <v>2656</v>
      </c>
      <c r="P2235"/>
    </row>
    <row r="2236" spans="15:16" hidden="1" x14ac:dyDescent="0.25">
      <c r="O2236" s="4" t="s">
        <v>2657</v>
      </c>
      <c r="P2236"/>
    </row>
    <row r="2237" spans="15:16" hidden="1" x14ac:dyDescent="0.25">
      <c r="O2237" s="4" t="s">
        <v>2658</v>
      </c>
      <c r="P2237"/>
    </row>
    <row r="2238" spans="15:16" hidden="1" x14ac:dyDescent="0.25">
      <c r="O2238" s="4" t="s">
        <v>2659</v>
      </c>
      <c r="P2238"/>
    </row>
    <row r="2239" spans="15:16" hidden="1" x14ac:dyDescent="0.25">
      <c r="O2239" s="4" t="s">
        <v>183</v>
      </c>
      <c r="P2239"/>
    </row>
    <row r="2240" spans="15:16" hidden="1" x14ac:dyDescent="0.25">
      <c r="O2240" s="4" t="s">
        <v>185</v>
      </c>
      <c r="P2240"/>
    </row>
    <row r="2241" spans="15:16" hidden="1" x14ac:dyDescent="0.25">
      <c r="O2241" s="4" t="s">
        <v>2660</v>
      </c>
      <c r="P2241"/>
    </row>
    <row r="2242" spans="15:16" hidden="1" x14ac:dyDescent="0.25">
      <c r="O2242" s="4" t="s">
        <v>2661</v>
      </c>
      <c r="P2242"/>
    </row>
    <row r="2243" spans="15:16" hidden="1" x14ac:dyDescent="0.25">
      <c r="O2243" s="4" t="s">
        <v>2662</v>
      </c>
      <c r="P2243"/>
    </row>
    <row r="2244" spans="15:16" hidden="1" x14ac:dyDescent="0.25">
      <c r="O2244" s="4" t="s">
        <v>2663</v>
      </c>
      <c r="P2244"/>
    </row>
    <row r="2245" spans="15:16" hidden="1" x14ac:dyDescent="0.25">
      <c r="O2245" s="4" t="s">
        <v>2664</v>
      </c>
      <c r="P2245"/>
    </row>
    <row r="2246" spans="15:16" hidden="1" x14ac:dyDescent="0.25">
      <c r="O2246" s="4" t="s">
        <v>2665</v>
      </c>
      <c r="P2246"/>
    </row>
    <row r="2247" spans="15:16" hidden="1" x14ac:dyDescent="0.25">
      <c r="O2247" s="4" t="s">
        <v>2666</v>
      </c>
      <c r="P2247"/>
    </row>
    <row r="2248" spans="15:16" hidden="1" x14ac:dyDescent="0.25">
      <c r="O2248" s="4" t="s">
        <v>2667</v>
      </c>
      <c r="P2248"/>
    </row>
    <row r="2249" spans="15:16" hidden="1" x14ac:dyDescent="0.25">
      <c r="O2249" s="4" t="s">
        <v>2668</v>
      </c>
      <c r="P2249"/>
    </row>
    <row r="2250" spans="15:16" hidden="1" x14ac:dyDescent="0.25">
      <c r="O2250" s="4" t="s">
        <v>2669</v>
      </c>
      <c r="P2250"/>
    </row>
    <row r="2251" spans="15:16" hidden="1" x14ac:dyDescent="0.25">
      <c r="O2251" s="4" t="s">
        <v>2670</v>
      </c>
      <c r="P2251"/>
    </row>
    <row r="2252" spans="15:16" hidden="1" x14ac:dyDescent="0.25">
      <c r="O2252" s="4" t="s">
        <v>203</v>
      </c>
      <c r="P2252"/>
    </row>
    <row r="2253" spans="15:16" hidden="1" x14ac:dyDescent="0.25">
      <c r="O2253" s="4" t="s">
        <v>2671</v>
      </c>
      <c r="P2253"/>
    </row>
    <row r="2254" spans="15:16" hidden="1" x14ac:dyDescent="0.25">
      <c r="O2254" s="4" t="s">
        <v>2672</v>
      </c>
      <c r="P2254"/>
    </row>
    <row r="2255" spans="15:16" hidden="1" x14ac:dyDescent="0.25">
      <c r="O2255" s="4" t="s">
        <v>2673</v>
      </c>
      <c r="P2255"/>
    </row>
    <row r="2256" spans="15:16" hidden="1" x14ac:dyDescent="0.25">
      <c r="O2256" s="4" t="s">
        <v>2674</v>
      </c>
      <c r="P2256"/>
    </row>
    <row r="2257" spans="15:16" hidden="1" x14ac:dyDescent="0.25">
      <c r="O2257" s="4" t="s">
        <v>2675</v>
      </c>
      <c r="P2257"/>
    </row>
    <row r="2258" spans="15:16" hidden="1" x14ac:dyDescent="0.25">
      <c r="O2258" s="4" t="s">
        <v>2676</v>
      </c>
      <c r="P2258"/>
    </row>
    <row r="2259" spans="15:16" hidden="1" x14ac:dyDescent="0.25">
      <c r="O2259" s="4" t="s">
        <v>2677</v>
      </c>
      <c r="P2259"/>
    </row>
    <row r="2260" spans="15:16" hidden="1" x14ac:dyDescent="0.25">
      <c r="O2260" s="4" t="s">
        <v>2678</v>
      </c>
      <c r="P2260"/>
    </row>
    <row r="2261" spans="15:16" hidden="1" x14ac:dyDescent="0.25">
      <c r="O2261" s="4" t="s">
        <v>2679</v>
      </c>
      <c r="P2261"/>
    </row>
    <row r="2262" spans="15:16" hidden="1" x14ac:dyDescent="0.25">
      <c r="O2262" s="4" t="s">
        <v>2680</v>
      </c>
      <c r="P2262"/>
    </row>
    <row r="2263" spans="15:16" hidden="1" x14ac:dyDescent="0.25">
      <c r="O2263" s="4" t="s">
        <v>2681</v>
      </c>
      <c r="P2263"/>
    </row>
    <row r="2264" spans="15:16" hidden="1" x14ac:dyDescent="0.25">
      <c r="O2264" s="4" t="s">
        <v>2682</v>
      </c>
      <c r="P2264"/>
    </row>
    <row r="2265" spans="15:16" hidden="1" x14ac:dyDescent="0.25">
      <c r="O2265" s="4" t="s">
        <v>2683</v>
      </c>
      <c r="P2265"/>
    </row>
    <row r="2266" spans="15:16" hidden="1" x14ac:dyDescent="0.25">
      <c r="O2266" s="4" t="s">
        <v>2684</v>
      </c>
      <c r="P2266"/>
    </row>
    <row r="2267" spans="15:16" hidden="1" x14ac:dyDescent="0.25">
      <c r="O2267" s="4" t="s">
        <v>2685</v>
      </c>
      <c r="P2267"/>
    </row>
    <row r="2268" spans="15:16" hidden="1" x14ac:dyDescent="0.25">
      <c r="O2268" s="4" t="s">
        <v>2686</v>
      </c>
      <c r="P2268"/>
    </row>
    <row r="2269" spans="15:16" hidden="1" x14ac:dyDescent="0.25">
      <c r="O2269" s="4" t="s">
        <v>2687</v>
      </c>
      <c r="P2269"/>
    </row>
    <row r="2270" spans="15:16" hidden="1" x14ac:dyDescent="0.25">
      <c r="O2270" s="4" t="s">
        <v>2688</v>
      </c>
      <c r="P2270"/>
    </row>
    <row r="2271" spans="15:16" hidden="1" x14ac:dyDescent="0.25">
      <c r="O2271" s="4" t="s">
        <v>2689</v>
      </c>
      <c r="P2271"/>
    </row>
    <row r="2272" spans="15:16" hidden="1" x14ac:dyDescent="0.25">
      <c r="O2272" s="4" t="s">
        <v>2690</v>
      </c>
      <c r="P2272"/>
    </row>
    <row r="2273" spans="15:16" hidden="1" x14ac:dyDescent="0.25">
      <c r="O2273" s="4" t="s">
        <v>2691</v>
      </c>
      <c r="P2273"/>
    </row>
    <row r="2274" spans="15:16" hidden="1" x14ac:dyDescent="0.25">
      <c r="O2274" s="4" t="s">
        <v>2692</v>
      </c>
      <c r="P2274"/>
    </row>
    <row r="2275" spans="15:16" hidden="1" x14ac:dyDescent="0.25">
      <c r="O2275" s="4" t="s">
        <v>2693</v>
      </c>
      <c r="P2275"/>
    </row>
    <row r="2276" spans="15:16" hidden="1" x14ac:dyDescent="0.25">
      <c r="O2276" s="4" t="s">
        <v>2694</v>
      </c>
      <c r="P2276"/>
    </row>
    <row r="2277" spans="15:16" hidden="1" x14ac:dyDescent="0.25">
      <c r="O2277" s="4" t="s">
        <v>2695</v>
      </c>
      <c r="P2277"/>
    </row>
    <row r="2278" spans="15:16" hidden="1" x14ac:dyDescent="0.25">
      <c r="O2278" s="4" t="s">
        <v>2696</v>
      </c>
      <c r="P2278"/>
    </row>
    <row r="2279" spans="15:16" hidden="1" x14ac:dyDescent="0.25">
      <c r="O2279" s="4" t="s">
        <v>2697</v>
      </c>
      <c r="P2279"/>
    </row>
    <row r="2280" spans="15:16" hidden="1" x14ac:dyDescent="0.25">
      <c r="O2280" s="4" t="s">
        <v>2698</v>
      </c>
      <c r="P2280"/>
    </row>
    <row r="2281" spans="15:16" hidden="1" x14ac:dyDescent="0.25">
      <c r="O2281" s="4" t="s">
        <v>2699</v>
      </c>
      <c r="P2281"/>
    </row>
    <row r="2282" spans="15:16" hidden="1" x14ac:dyDescent="0.25">
      <c r="O2282" s="4" t="s">
        <v>2700</v>
      </c>
      <c r="P2282"/>
    </row>
    <row r="2283" spans="15:16" hidden="1" x14ac:dyDescent="0.25">
      <c r="O2283" s="4" t="s">
        <v>2701</v>
      </c>
      <c r="P2283"/>
    </row>
    <row r="2284" spans="15:16" hidden="1" x14ac:dyDescent="0.25">
      <c r="O2284" s="4" t="s">
        <v>2702</v>
      </c>
      <c r="P2284"/>
    </row>
    <row r="2285" spans="15:16" hidden="1" x14ac:dyDescent="0.25">
      <c r="O2285" s="4" t="s">
        <v>2703</v>
      </c>
      <c r="P2285"/>
    </row>
    <row r="2286" spans="15:16" hidden="1" x14ac:dyDescent="0.25">
      <c r="O2286" s="4" t="s">
        <v>2704</v>
      </c>
      <c r="P2286"/>
    </row>
    <row r="2287" spans="15:16" hidden="1" x14ac:dyDescent="0.25">
      <c r="O2287" s="4" t="s">
        <v>2705</v>
      </c>
      <c r="P2287"/>
    </row>
    <row r="2288" spans="15:16" hidden="1" x14ac:dyDescent="0.25">
      <c r="O2288" s="4" t="s">
        <v>2706</v>
      </c>
      <c r="P2288"/>
    </row>
    <row r="2289" spans="15:16" hidden="1" x14ac:dyDescent="0.25">
      <c r="O2289" s="4" t="s">
        <v>2707</v>
      </c>
      <c r="P2289"/>
    </row>
    <row r="2290" spans="15:16" hidden="1" x14ac:dyDescent="0.25">
      <c r="O2290" s="4" t="s">
        <v>2708</v>
      </c>
      <c r="P2290"/>
    </row>
    <row r="2291" spans="15:16" hidden="1" x14ac:dyDescent="0.25">
      <c r="O2291" s="4" t="s">
        <v>2709</v>
      </c>
      <c r="P2291"/>
    </row>
    <row r="2292" spans="15:16" hidden="1" x14ac:dyDescent="0.25">
      <c r="O2292" s="4" t="s">
        <v>2710</v>
      </c>
      <c r="P2292"/>
    </row>
    <row r="2293" spans="15:16" hidden="1" x14ac:dyDescent="0.25">
      <c r="O2293" s="4" t="s">
        <v>2711</v>
      </c>
      <c r="P2293"/>
    </row>
    <row r="2294" spans="15:16" hidden="1" x14ac:dyDescent="0.25">
      <c r="O2294" s="4" t="s">
        <v>2712</v>
      </c>
      <c r="P2294"/>
    </row>
    <row r="2295" spans="15:16" hidden="1" x14ac:dyDescent="0.25">
      <c r="O2295" s="4" t="s">
        <v>2713</v>
      </c>
      <c r="P2295"/>
    </row>
    <row r="2296" spans="15:16" hidden="1" x14ac:dyDescent="0.25">
      <c r="O2296" s="4" t="s">
        <v>2714</v>
      </c>
      <c r="P2296"/>
    </row>
    <row r="2297" spans="15:16" hidden="1" x14ac:dyDescent="0.25">
      <c r="O2297" s="4" t="s">
        <v>2715</v>
      </c>
      <c r="P2297"/>
    </row>
    <row r="2298" spans="15:16" hidden="1" x14ac:dyDescent="0.25">
      <c r="O2298" s="4" t="s">
        <v>2716</v>
      </c>
      <c r="P2298"/>
    </row>
    <row r="2299" spans="15:16" hidden="1" x14ac:dyDescent="0.25">
      <c r="O2299" s="4" t="s">
        <v>2717</v>
      </c>
      <c r="P2299"/>
    </row>
    <row r="2300" spans="15:16" hidden="1" x14ac:dyDescent="0.25">
      <c r="O2300" s="4" t="s">
        <v>2718</v>
      </c>
      <c r="P2300"/>
    </row>
    <row r="2301" spans="15:16" hidden="1" x14ac:dyDescent="0.25">
      <c r="O2301" s="4" t="s">
        <v>2719</v>
      </c>
      <c r="P2301"/>
    </row>
    <row r="2302" spans="15:16" hidden="1" x14ac:dyDescent="0.25">
      <c r="O2302" s="4" t="s">
        <v>2720</v>
      </c>
      <c r="P2302"/>
    </row>
    <row r="2303" spans="15:16" hidden="1" x14ac:dyDescent="0.25">
      <c r="O2303" s="4" t="s">
        <v>2721</v>
      </c>
      <c r="P2303"/>
    </row>
    <row r="2304" spans="15:16" hidden="1" x14ac:dyDescent="0.25">
      <c r="O2304" s="4" t="s">
        <v>2722</v>
      </c>
      <c r="P2304"/>
    </row>
    <row r="2305" spans="15:16" hidden="1" x14ac:dyDescent="0.25">
      <c r="O2305" s="4" t="s">
        <v>231</v>
      </c>
      <c r="P2305"/>
    </row>
    <row r="2306" spans="15:16" hidden="1" x14ac:dyDescent="0.25">
      <c r="O2306" s="4" t="s">
        <v>2723</v>
      </c>
      <c r="P2306"/>
    </row>
    <row r="2307" spans="15:16" hidden="1" x14ac:dyDescent="0.25">
      <c r="O2307" s="4" t="s">
        <v>2724</v>
      </c>
      <c r="P2307"/>
    </row>
    <row r="2308" spans="15:16" hidden="1" x14ac:dyDescent="0.25">
      <c r="O2308" s="4" t="s">
        <v>2725</v>
      </c>
      <c r="P2308"/>
    </row>
    <row r="2309" spans="15:16" hidden="1" x14ac:dyDescent="0.25">
      <c r="O2309" s="4" t="s">
        <v>2726</v>
      </c>
      <c r="P2309"/>
    </row>
    <row r="2310" spans="15:16" hidden="1" x14ac:dyDescent="0.25">
      <c r="O2310" s="4" t="s">
        <v>2727</v>
      </c>
      <c r="P2310"/>
    </row>
    <row r="2311" spans="15:16" hidden="1" x14ac:dyDescent="0.25">
      <c r="O2311" s="4" t="s">
        <v>2728</v>
      </c>
      <c r="P2311"/>
    </row>
    <row r="2312" spans="15:16" hidden="1" x14ac:dyDescent="0.25">
      <c r="O2312" s="4" t="s">
        <v>2729</v>
      </c>
      <c r="P2312"/>
    </row>
    <row r="2313" spans="15:16" hidden="1" x14ac:dyDescent="0.25">
      <c r="O2313" s="4" t="s">
        <v>2730</v>
      </c>
      <c r="P2313"/>
    </row>
    <row r="2314" spans="15:16" hidden="1" x14ac:dyDescent="0.25">
      <c r="O2314" s="4" t="s">
        <v>2731</v>
      </c>
      <c r="P2314"/>
    </row>
    <row r="2315" spans="15:16" hidden="1" x14ac:dyDescent="0.25">
      <c r="O2315" s="4" t="s">
        <v>2732</v>
      </c>
      <c r="P2315"/>
    </row>
    <row r="2316" spans="15:16" hidden="1" x14ac:dyDescent="0.25">
      <c r="O2316" s="4" t="s">
        <v>2733</v>
      </c>
      <c r="P2316"/>
    </row>
    <row r="2317" spans="15:16" hidden="1" x14ac:dyDescent="0.25">
      <c r="O2317" s="4" t="s">
        <v>2734</v>
      </c>
      <c r="P2317"/>
    </row>
    <row r="2318" spans="15:16" hidden="1" x14ac:dyDescent="0.25">
      <c r="O2318" s="4" t="s">
        <v>2735</v>
      </c>
      <c r="P2318"/>
    </row>
    <row r="2319" spans="15:16" hidden="1" x14ac:dyDescent="0.25">
      <c r="O2319" s="4" t="s">
        <v>2736</v>
      </c>
      <c r="P2319"/>
    </row>
    <row r="2320" spans="15:16" hidden="1" x14ac:dyDescent="0.25">
      <c r="O2320" s="4" t="s">
        <v>2737</v>
      </c>
      <c r="P2320"/>
    </row>
    <row r="2321" spans="15:16" hidden="1" x14ac:dyDescent="0.25">
      <c r="O2321" s="4" t="s">
        <v>2738</v>
      </c>
      <c r="P2321"/>
    </row>
    <row r="2322" spans="15:16" hidden="1" x14ac:dyDescent="0.25">
      <c r="O2322" s="4" t="s">
        <v>2739</v>
      </c>
      <c r="P2322"/>
    </row>
    <row r="2323" spans="15:16" hidden="1" x14ac:dyDescent="0.25">
      <c r="O2323" s="4" t="s">
        <v>2740</v>
      </c>
      <c r="P2323"/>
    </row>
    <row r="2324" spans="15:16" hidden="1" x14ac:dyDescent="0.25">
      <c r="O2324" s="4" t="s">
        <v>2741</v>
      </c>
      <c r="P2324"/>
    </row>
    <row r="2325" spans="15:16" hidden="1" x14ac:dyDescent="0.25">
      <c r="O2325" s="4" t="s">
        <v>2742</v>
      </c>
      <c r="P2325"/>
    </row>
    <row r="2326" spans="15:16" hidden="1" x14ac:dyDescent="0.25">
      <c r="O2326" s="4" t="s">
        <v>2743</v>
      </c>
      <c r="P2326"/>
    </row>
    <row r="2327" spans="15:16" hidden="1" x14ac:dyDescent="0.25">
      <c r="O2327" s="4" t="s">
        <v>2744</v>
      </c>
      <c r="P2327"/>
    </row>
    <row r="2328" spans="15:16" hidden="1" x14ac:dyDescent="0.25">
      <c r="O2328" s="4" t="s">
        <v>2745</v>
      </c>
      <c r="P2328"/>
    </row>
    <row r="2329" spans="15:16" hidden="1" x14ac:dyDescent="0.25">
      <c r="O2329" s="4" t="s">
        <v>2746</v>
      </c>
      <c r="P2329"/>
    </row>
    <row r="2330" spans="15:16" hidden="1" x14ac:dyDescent="0.25">
      <c r="O2330" s="4" t="s">
        <v>2747</v>
      </c>
      <c r="P2330"/>
    </row>
    <row r="2331" spans="15:16" hidden="1" x14ac:dyDescent="0.25">
      <c r="O2331" s="4" t="s">
        <v>2748</v>
      </c>
      <c r="P2331"/>
    </row>
    <row r="2332" spans="15:16" hidden="1" x14ac:dyDescent="0.25">
      <c r="O2332" s="4" t="s">
        <v>2749</v>
      </c>
      <c r="P2332"/>
    </row>
    <row r="2333" spans="15:16" hidden="1" x14ac:dyDescent="0.25">
      <c r="O2333" s="4" t="s">
        <v>2750</v>
      </c>
      <c r="P2333"/>
    </row>
    <row r="2334" spans="15:16" hidden="1" x14ac:dyDescent="0.25">
      <c r="O2334" s="4" t="s">
        <v>2751</v>
      </c>
      <c r="P2334"/>
    </row>
    <row r="2335" spans="15:16" hidden="1" x14ac:dyDescent="0.25">
      <c r="O2335" s="4" t="s">
        <v>2752</v>
      </c>
      <c r="P2335"/>
    </row>
    <row r="2336" spans="15:16" hidden="1" x14ac:dyDescent="0.25">
      <c r="O2336" s="4" t="s">
        <v>2753</v>
      </c>
      <c r="P2336"/>
    </row>
    <row r="2337" spans="15:16" hidden="1" x14ac:dyDescent="0.25">
      <c r="O2337" s="4" t="s">
        <v>265</v>
      </c>
      <c r="P2337"/>
    </row>
    <row r="2338" spans="15:16" hidden="1" x14ac:dyDescent="0.25">
      <c r="O2338" s="4" t="s">
        <v>2754</v>
      </c>
      <c r="P2338"/>
    </row>
    <row r="2339" spans="15:16" hidden="1" x14ac:dyDescent="0.25">
      <c r="O2339" s="4" t="s">
        <v>2755</v>
      </c>
      <c r="P2339"/>
    </row>
    <row r="2340" spans="15:16" hidden="1" x14ac:dyDescent="0.25">
      <c r="O2340" s="4" t="s">
        <v>2756</v>
      </c>
      <c r="P2340"/>
    </row>
    <row r="2341" spans="15:16" hidden="1" x14ac:dyDescent="0.25">
      <c r="O2341" s="4" t="s">
        <v>2757</v>
      </c>
      <c r="P2341"/>
    </row>
    <row r="2342" spans="15:16" hidden="1" x14ac:dyDescent="0.25">
      <c r="O2342" s="4" t="s">
        <v>2758</v>
      </c>
      <c r="P2342"/>
    </row>
    <row r="2343" spans="15:16" hidden="1" x14ac:dyDescent="0.25">
      <c r="O2343" s="4" t="s">
        <v>2759</v>
      </c>
      <c r="P2343"/>
    </row>
    <row r="2344" spans="15:16" hidden="1" x14ac:dyDescent="0.25">
      <c r="O2344" s="4" t="s">
        <v>2760</v>
      </c>
      <c r="P2344"/>
    </row>
    <row r="2345" spans="15:16" hidden="1" x14ac:dyDescent="0.25">
      <c r="O2345" s="4" t="s">
        <v>2761</v>
      </c>
      <c r="P2345"/>
    </row>
    <row r="2346" spans="15:16" hidden="1" x14ac:dyDescent="0.25">
      <c r="O2346" s="4" t="s">
        <v>2762</v>
      </c>
      <c r="P2346"/>
    </row>
    <row r="2347" spans="15:16" hidden="1" x14ac:dyDescent="0.25">
      <c r="O2347" s="4" t="s">
        <v>2763</v>
      </c>
      <c r="P2347"/>
    </row>
    <row r="2348" spans="15:16" hidden="1" x14ac:dyDescent="0.25">
      <c r="O2348" s="4" t="s">
        <v>2764</v>
      </c>
      <c r="P2348"/>
    </row>
    <row r="2349" spans="15:16" hidden="1" x14ac:dyDescent="0.25">
      <c r="O2349" s="4" t="s">
        <v>2765</v>
      </c>
      <c r="P2349"/>
    </row>
    <row r="2350" spans="15:16" hidden="1" x14ac:dyDescent="0.25">
      <c r="O2350" s="4" t="s">
        <v>2766</v>
      </c>
      <c r="P2350"/>
    </row>
    <row r="2351" spans="15:16" hidden="1" x14ac:dyDescent="0.25">
      <c r="O2351" s="4" t="s">
        <v>2767</v>
      </c>
      <c r="P2351"/>
    </row>
    <row r="2352" spans="15:16" hidden="1" x14ac:dyDescent="0.25">
      <c r="O2352" s="4" t="s">
        <v>2768</v>
      </c>
      <c r="P2352"/>
    </row>
    <row r="2353" spans="15:16" hidden="1" x14ac:dyDescent="0.25">
      <c r="O2353" s="4" t="s">
        <v>2769</v>
      </c>
      <c r="P2353"/>
    </row>
    <row r="2354" spans="15:16" hidden="1" x14ac:dyDescent="0.25">
      <c r="O2354" s="4" t="s">
        <v>2770</v>
      </c>
      <c r="P2354"/>
    </row>
    <row r="2355" spans="15:16" hidden="1" x14ac:dyDescent="0.25">
      <c r="O2355" s="4" t="s">
        <v>2771</v>
      </c>
      <c r="P2355"/>
    </row>
    <row r="2356" spans="15:16" hidden="1" x14ac:dyDescent="0.25">
      <c r="O2356" s="4" t="s">
        <v>2772</v>
      </c>
      <c r="P2356"/>
    </row>
    <row r="2357" spans="15:16" hidden="1" x14ac:dyDescent="0.25">
      <c r="O2357" s="4" t="s">
        <v>2773</v>
      </c>
      <c r="P2357"/>
    </row>
    <row r="2358" spans="15:16" hidden="1" x14ac:dyDescent="0.25">
      <c r="O2358" s="4" t="s">
        <v>2774</v>
      </c>
      <c r="P2358"/>
    </row>
    <row r="2359" spans="15:16" hidden="1" x14ac:dyDescent="0.25">
      <c r="O2359" s="4" t="s">
        <v>2775</v>
      </c>
      <c r="P2359"/>
    </row>
    <row r="2360" spans="15:16" hidden="1" x14ac:dyDescent="0.25">
      <c r="O2360" s="4" t="s">
        <v>2776</v>
      </c>
      <c r="P2360"/>
    </row>
    <row r="2361" spans="15:16" hidden="1" x14ac:dyDescent="0.25">
      <c r="O2361" s="4" t="s">
        <v>2777</v>
      </c>
      <c r="P2361"/>
    </row>
    <row r="2362" spans="15:16" hidden="1" x14ac:dyDescent="0.25">
      <c r="O2362" s="4" t="s">
        <v>2778</v>
      </c>
      <c r="P2362"/>
    </row>
    <row r="2363" spans="15:16" hidden="1" x14ac:dyDescent="0.25">
      <c r="O2363" s="4" t="s">
        <v>2779</v>
      </c>
      <c r="P2363"/>
    </row>
    <row r="2364" spans="15:16" hidden="1" x14ac:dyDescent="0.25">
      <c r="O2364" s="4" t="s">
        <v>271</v>
      </c>
      <c r="P2364"/>
    </row>
    <row r="2365" spans="15:16" hidden="1" x14ac:dyDescent="0.25">
      <c r="O2365" s="4" t="s">
        <v>2780</v>
      </c>
      <c r="P2365"/>
    </row>
    <row r="2366" spans="15:16" hidden="1" x14ac:dyDescent="0.25">
      <c r="O2366" s="4" t="s">
        <v>2781</v>
      </c>
      <c r="P2366"/>
    </row>
    <row r="2367" spans="15:16" hidden="1" x14ac:dyDescent="0.25">
      <c r="O2367" s="4" t="s">
        <v>2782</v>
      </c>
      <c r="P2367"/>
    </row>
    <row r="2368" spans="15:16" hidden="1" x14ac:dyDescent="0.25">
      <c r="O2368" s="4" t="s">
        <v>2783</v>
      </c>
      <c r="P2368"/>
    </row>
    <row r="2369" spans="15:16" hidden="1" x14ac:dyDescent="0.25">
      <c r="O2369" s="4" t="s">
        <v>2784</v>
      </c>
      <c r="P2369"/>
    </row>
    <row r="2370" spans="15:16" hidden="1" x14ac:dyDescent="0.25">
      <c r="O2370" s="4" t="s">
        <v>2785</v>
      </c>
      <c r="P2370"/>
    </row>
    <row r="2371" spans="15:16" hidden="1" x14ac:dyDescent="0.25">
      <c r="O2371" s="4" t="s">
        <v>2786</v>
      </c>
      <c r="P2371"/>
    </row>
    <row r="2372" spans="15:16" hidden="1" x14ac:dyDescent="0.25">
      <c r="O2372" s="4" t="s">
        <v>2787</v>
      </c>
      <c r="P2372"/>
    </row>
    <row r="2373" spans="15:16" hidden="1" x14ac:dyDescent="0.25">
      <c r="O2373" s="4" t="s">
        <v>2788</v>
      </c>
      <c r="P2373"/>
    </row>
    <row r="2374" spans="15:16" hidden="1" x14ac:dyDescent="0.25">
      <c r="O2374" s="4" t="s">
        <v>2789</v>
      </c>
      <c r="P2374"/>
    </row>
    <row r="2375" spans="15:16" hidden="1" x14ac:dyDescent="0.25">
      <c r="O2375" s="4" t="s">
        <v>2790</v>
      </c>
      <c r="P2375"/>
    </row>
    <row r="2376" spans="15:16" hidden="1" x14ac:dyDescent="0.25">
      <c r="O2376" s="4" t="s">
        <v>2791</v>
      </c>
      <c r="P2376"/>
    </row>
    <row r="2377" spans="15:16" hidden="1" x14ac:dyDescent="0.25">
      <c r="O2377" s="4" t="s">
        <v>281</v>
      </c>
      <c r="P2377"/>
    </row>
    <row r="2378" spans="15:16" hidden="1" x14ac:dyDescent="0.25">
      <c r="O2378" s="4" t="s">
        <v>2792</v>
      </c>
      <c r="P2378"/>
    </row>
    <row r="2379" spans="15:16" hidden="1" x14ac:dyDescent="0.25">
      <c r="O2379" s="4" t="s">
        <v>2793</v>
      </c>
      <c r="P2379"/>
    </row>
    <row r="2380" spans="15:16" hidden="1" x14ac:dyDescent="0.25">
      <c r="O2380" s="4" t="s">
        <v>2794</v>
      </c>
      <c r="P2380"/>
    </row>
    <row r="2381" spans="15:16" hidden="1" x14ac:dyDescent="0.25">
      <c r="O2381" s="4" t="s">
        <v>2795</v>
      </c>
      <c r="P2381"/>
    </row>
    <row r="2382" spans="15:16" hidden="1" x14ac:dyDescent="0.25">
      <c r="O2382" s="4" t="s">
        <v>2796</v>
      </c>
      <c r="P2382"/>
    </row>
    <row r="2383" spans="15:16" hidden="1" x14ac:dyDescent="0.25">
      <c r="O2383" s="4" t="s">
        <v>2797</v>
      </c>
      <c r="P2383"/>
    </row>
    <row r="2384" spans="15:16" hidden="1" x14ac:dyDescent="0.25">
      <c r="O2384" s="4" t="s">
        <v>2798</v>
      </c>
      <c r="P2384"/>
    </row>
    <row r="2385" spans="15:16" hidden="1" x14ac:dyDescent="0.25">
      <c r="O2385" s="4" t="s">
        <v>2799</v>
      </c>
      <c r="P2385"/>
    </row>
    <row r="2386" spans="15:16" hidden="1" x14ac:dyDescent="0.25">
      <c r="O2386" s="4" t="s">
        <v>2800</v>
      </c>
      <c r="P2386"/>
    </row>
    <row r="2387" spans="15:16" hidden="1" x14ac:dyDescent="0.25">
      <c r="O2387" s="4" t="s">
        <v>2801</v>
      </c>
      <c r="P2387"/>
    </row>
    <row r="2388" spans="15:16" hidden="1" x14ac:dyDescent="0.25">
      <c r="O2388" s="4" t="s">
        <v>283</v>
      </c>
      <c r="P2388"/>
    </row>
    <row r="2389" spans="15:16" hidden="1" x14ac:dyDescent="0.25">
      <c r="O2389" s="4" t="s">
        <v>2802</v>
      </c>
      <c r="P2389"/>
    </row>
    <row r="2390" spans="15:16" hidden="1" x14ac:dyDescent="0.25">
      <c r="O2390" s="4" t="s">
        <v>285</v>
      </c>
      <c r="P2390"/>
    </row>
    <row r="2391" spans="15:16" hidden="1" x14ac:dyDescent="0.25">
      <c r="O2391" s="4" t="s">
        <v>2803</v>
      </c>
      <c r="P2391"/>
    </row>
    <row r="2392" spans="15:16" hidden="1" x14ac:dyDescent="0.25">
      <c r="O2392" s="4" t="s">
        <v>2804</v>
      </c>
      <c r="P2392"/>
    </row>
    <row r="2393" spans="15:16" hidden="1" x14ac:dyDescent="0.25">
      <c r="O2393" s="4" t="s">
        <v>2805</v>
      </c>
      <c r="P2393"/>
    </row>
    <row r="2394" spans="15:16" hidden="1" x14ac:dyDescent="0.25">
      <c r="O2394" s="4" t="s">
        <v>2806</v>
      </c>
      <c r="P2394"/>
    </row>
    <row r="2395" spans="15:16" hidden="1" x14ac:dyDescent="0.25">
      <c r="O2395" s="4" t="s">
        <v>289</v>
      </c>
      <c r="P2395"/>
    </row>
    <row r="2396" spans="15:16" hidden="1" x14ac:dyDescent="0.25">
      <c r="O2396" s="4" t="s">
        <v>2807</v>
      </c>
      <c r="P2396"/>
    </row>
    <row r="2397" spans="15:16" hidden="1" x14ac:dyDescent="0.25">
      <c r="O2397" s="4" t="s">
        <v>2808</v>
      </c>
      <c r="P2397"/>
    </row>
    <row r="2398" spans="15:16" hidden="1" x14ac:dyDescent="0.25">
      <c r="O2398" s="4" t="s">
        <v>2809</v>
      </c>
      <c r="P2398"/>
    </row>
    <row r="2399" spans="15:16" hidden="1" x14ac:dyDescent="0.25">
      <c r="O2399" s="4" t="s">
        <v>2810</v>
      </c>
      <c r="P2399"/>
    </row>
    <row r="2400" spans="15:16" hidden="1" x14ac:dyDescent="0.25">
      <c r="O2400" s="4" t="s">
        <v>2811</v>
      </c>
      <c r="P2400"/>
    </row>
    <row r="2401" spans="15:16" hidden="1" x14ac:dyDescent="0.25">
      <c r="O2401" s="4" t="s">
        <v>2812</v>
      </c>
      <c r="P2401"/>
    </row>
    <row r="2402" spans="15:16" hidden="1" x14ac:dyDescent="0.25">
      <c r="O2402" s="4" t="s">
        <v>2813</v>
      </c>
      <c r="P2402"/>
    </row>
    <row r="2403" spans="15:16" hidden="1" x14ac:dyDescent="0.25">
      <c r="O2403" s="4" t="s">
        <v>2814</v>
      </c>
      <c r="P2403"/>
    </row>
    <row r="2404" spans="15:16" hidden="1" x14ac:dyDescent="0.25">
      <c r="O2404" s="4" t="s">
        <v>2815</v>
      </c>
      <c r="P2404"/>
    </row>
    <row r="2405" spans="15:16" hidden="1" x14ac:dyDescent="0.25">
      <c r="O2405" s="4" t="s">
        <v>2816</v>
      </c>
      <c r="P2405"/>
    </row>
    <row r="2406" spans="15:16" hidden="1" x14ac:dyDescent="0.25">
      <c r="O2406" s="4" t="s">
        <v>2817</v>
      </c>
      <c r="P2406"/>
    </row>
    <row r="2407" spans="15:16" hidden="1" x14ac:dyDescent="0.25">
      <c r="O2407" s="4" t="s">
        <v>2818</v>
      </c>
      <c r="P2407"/>
    </row>
    <row r="2408" spans="15:16" hidden="1" x14ac:dyDescent="0.25">
      <c r="O2408" s="4" t="s">
        <v>2819</v>
      </c>
      <c r="P2408"/>
    </row>
    <row r="2409" spans="15:16" hidden="1" x14ac:dyDescent="0.25">
      <c r="O2409" s="4" t="s">
        <v>2820</v>
      </c>
      <c r="P2409"/>
    </row>
    <row r="2410" spans="15:16" hidden="1" x14ac:dyDescent="0.25">
      <c r="O2410" s="4" t="s">
        <v>2821</v>
      </c>
      <c r="P2410"/>
    </row>
    <row r="2411" spans="15:16" hidden="1" x14ac:dyDescent="0.25">
      <c r="O2411" s="4" t="s">
        <v>295</v>
      </c>
      <c r="P2411"/>
    </row>
    <row r="2412" spans="15:16" hidden="1" x14ac:dyDescent="0.25">
      <c r="O2412" s="4" t="s">
        <v>2822</v>
      </c>
      <c r="P2412"/>
    </row>
    <row r="2413" spans="15:16" hidden="1" x14ac:dyDescent="0.25">
      <c r="O2413" s="4" t="s">
        <v>2823</v>
      </c>
      <c r="P2413"/>
    </row>
    <row r="2414" spans="15:16" hidden="1" x14ac:dyDescent="0.25">
      <c r="O2414" s="4" t="s">
        <v>2824</v>
      </c>
      <c r="P2414"/>
    </row>
    <row r="2415" spans="15:16" hidden="1" x14ac:dyDescent="0.25">
      <c r="O2415" s="4" t="s">
        <v>2825</v>
      </c>
      <c r="P2415"/>
    </row>
    <row r="2416" spans="15:16" hidden="1" x14ac:dyDescent="0.25">
      <c r="O2416" s="4" t="s">
        <v>2826</v>
      </c>
      <c r="P2416"/>
    </row>
    <row r="2417" spans="15:16" hidden="1" x14ac:dyDescent="0.25">
      <c r="O2417" s="4" t="s">
        <v>2827</v>
      </c>
      <c r="P2417"/>
    </row>
    <row r="2418" spans="15:16" hidden="1" x14ac:dyDescent="0.25">
      <c r="O2418" s="4" t="s">
        <v>2828</v>
      </c>
      <c r="P2418"/>
    </row>
    <row r="2419" spans="15:16" hidden="1" x14ac:dyDescent="0.25">
      <c r="O2419" s="4" t="s">
        <v>2829</v>
      </c>
      <c r="P2419"/>
    </row>
    <row r="2420" spans="15:16" hidden="1" x14ac:dyDescent="0.25">
      <c r="O2420" s="4" t="s">
        <v>2830</v>
      </c>
      <c r="P2420"/>
    </row>
    <row r="2421" spans="15:16" hidden="1" x14ac:dyDescent="0.25">
      <c r="O2421" s="4" t="s">
        <v>303</v>
      </c>
      <c r="P2421"/>
    </row>
    <row r="2422" spans="15:16" hidden="1" x14ac:dyDescent="0.25">
      <c r="O2422" s="4" t="s">
        <v>2831</v>
      </c>
      <c r="P2422"/>
    </row>
    <row r="2423" spans="15:16" hidden="1" x14ac:dyDescent="0.25">
      <c r="O2423" s="4" t="s">
        <v>2832</v>
      </c>
      <c r="P2423"/>
    </row>
    <row r="2424" spans="15:16" hidden="1" x14ac:dyDescent="0.25">
      <c r="O2424" s="4" t="s">
        <v>2833</v>
      </c>
      <c r="P2424"/>
    </row>
    <row r="2425" spans="15:16" hidden="1" x14ac:dyDescent="0.25">
      <c r="O2425" s="4" t="s">
        <v>2834</v>
      </c>
      <c r="P2425"/>
    </row>
    <row r="2426" spans="15:16" hidden="1" x14ac:dyDescent="0.25">
      <c r="O2426" s="4" t="s">
        <v>2835</v>
      </c>
      <c r="P2426"/>
    </row>
    <row r="2427" spans="15:16" hidden="1" x14ac:dyDescent="0.25">
      <c r="O2427" s="4" t="s">
        <v>2836</v>
      </c>
      <c r="P2427"/>
    </row>
    <row r="2428" spans="15:16" hidden="1" x14ac:dyDescent="0.25">
      <c r="O2428" s="4" t="s">
        <v>311</v>
      </c>
      <c r="P2428"/>
    </row>
    <row r="2429" spans="15:16" hidden="1" x14ac:dyDescent="0.25">
      <c r="O2429" s="4" t="s">
        <v>2837</v>
      </c>
      <c r="P2429"/>
    </row>
    <row r="2430" spans="15:16" hidden="1" x14ac:dyDescent="0.25">
      <c r="O2430" s="4" t="s">
        <v>2838</v>
      </c>
      <c r="P2430"/>
    </row>
    <row r="2431" spans="15:16" hidden="1" x14ac:dyDescent="0.25">
      <c r="O2431" s="4" t="s">
        <v>2839</v>
      </c>
      <c r="P2431"/>
    </row>
    <row r="2432" spans="15:16" hidden="1" x14ac:dyDescent="0.25">
      <c r="O2432" s="4" t="s">
        <v>2840</v>
      </c>
      <c r="P2432"/>
    </row>
    <row r="2433" spans="15:16" hidden="1" x14ac:dyDescent="0.25">
      <c r="O2433" s="4" t="s">
        <v>2841</v>
      </c>
      <c r="P2433"/>
    </row>
    <row r="2434" spans="15:16" hidden="1" x14ac:dyDescent="0.25">
      <c r="O2434" s="4" t="s">
        <v>2842</v>
      </c>
      <c r="P2434"/>
    </row>
    <row r="2435" spans="15:16" hidden="1" x14ac:dyDescent="0.25">
      <c r="O2435" s="4" t="s">
        <v>2843</v>
      </c>
      <c r="P2435"/>
    </row>
    <row r="2436" spans="15:16" hidden="1" x14ac:dyDescent="0.25">
      <c r="O2436" s="4" t="s">
        <v>2844</v>
      </c>
      <c r="P2436"/>
    </row>
    <row r="2437" spans="15:16" hidden="1" x14ac:dyDescent="0.25">
      <c r="O2437" s="4" t="s">
        <v>2845</v>
      </c>
      <c r="P2437"/>
    </row>
    <row r="2438" spans="15:16" hidden="1" x14ac:dyDescent="0.25">
      <c r="O2438" s="4" t="s">
        <v>2846</v>
      </c>
      <c r="P2438"/>
    </row>
    <row r="2439" spans="15:16" hidden="1" x14ac:dyDescent="0.25">
      <c r="O2439" s="4" t="s">
        <v>2847</v>
      </c>
      <c r="P2439"/>
    </row>
    <row r="2440" spans="15:16" hidden="1" x14ac:dyDescent="0.25">
      <c r="O2440" s="4" t="s">
        <v>2848</v>
      </c>
      <c r="P2440"/>
    </row>
    <row r="2441" spans="15:16" hidden="1" x14ac:dyDescent="0.25">
      <c r="O2441" s="4" t="s">
        <v>2849</v>
      </c>
      <c r="P2441"/>
    </row>
    <row r="2442" spans="15:16" hidden="1" x14ac:dyDescent="0.25">
      <c r="O2442" s="4" t="s">
        <v>2850</v>
      </c>
      <c r="P2442"/>
    </row>
    <row r="2443" spans="15:16" hidden="1" x14ac:dyDescent="0.25">
      <c r="O2443" s="4" t="s">
        <v>321</v>
      </c>
      <c r="P2443"/>
    </row>
    <row r="2444" spans="15:16" hidden="1" x14ac:dyDescent="0.25">
      <c r="O2444" s="4" t="s">
        <v>2851</v>
      </c>
      <c r="P2444"/>
    </row>
    <row r="2445" spans="15:16" hidden="1" x14ac:dyDescent="0.25">
      <c r="O2445" s="4" t="s">
        <v>2852</v>
      </c>
      <c r="P2445"/>
    </row>
    <row r="2446" spans="15:16" hidden="1" x14ac:dyDescent="0.25">
      <c r="O2446" s="4" t="s">
        <v>2853</v>
      </c>
      <c r="P2446"/>
    </row>
    <row r="2447" spans="15:16" hidden="1" x14ac:dyDescent="0.25">
      <c r="O2447" s="4" t="s">
        <v>2854</v>
      </c>
      <c r="P2447"/>
    </row>
    <row r="2448" spans="15:16" hidden="1" x14ac:dyDescent="0.25">
      <c r="O2448" s="4" t="s">
        <v>327</v>
      </c>
      <c r="P2448"/>
    </row>
    <row r="2449" spans="15:16" hidden="1" x14ac:dyDescent="0.25">
      <c r="O2449" s="4" t="s">
        <v>2855</v>
      </c>
      <c r="P2449"/>
    </row>
    <row r="2450" spans="15:16" hidden="1" x14ac:dyDescent="0.25">
      <c r="O2450" s="4" t="s">
        <v>329</v>
      </c>
      <c r="P2450"/>
    </row>
    <row r="2451" spans="15:16" hidden="1" x14ac:dyDescent="0.25">
      <c r="O2451" s="4" t="s">
        <v>2856</v>
      </c>
      <c r="P2451"/>
    </row>
    <row r="2452" spans="15:16" hidden="1" x14ac:dyDescent="0.25">
      <c r="O2452" s="4" t="s">
        <v>2857</v>
      </c>
      <c r="P2452"/>
    </row>
    <row r="2453" spans="15:16" hidden="1" x14ac:dyDescent="0.25">
      <c r="O2453" s="4" t="s">
        <v>2858</v>
      </c>
      <c r="P2453"/>
    </row>
    <row r="2454" spans="15:16" hidden="1" x14ac:dyDescent="0.25">
      <c r="O2454" s="4" t="s">
        <v>2859</v>
      </c>
      <c r="P2454"/>
    </row>
    <row r="2455" spans="15:16" hidden="1" x14ac:dyDescent="0.25">
      <c r="O2455" s="4" t="s">
        <v>2860</v>
      </c>
      <c r="P2455"/>
    </row>
    <row r="2456" spans="15:16" hidden="1" x14ac:dyDescent="0.25">
      <c r="O2456" s="4" t="s">
        <v>2861</v>
      </c>
      <c r="P2456"/>
    </row>
    <row r="2457" spans="15:16" hidden="1" x14ac:dyDescent="0.25">
      <c r="O2457" s="4" t="s">
        <v>2862</v>
      </c>
      <c r="P2457"/>
    </row>
    <row r="2458" spans="15:16" hidden="1" x14ac:dyDescent="0.25">
      <c r="O2458" s="4" t="s">
        <v>2863</v>
      </c>
      <c r="P2458"/>
    </row>
    <row r="2459" spans="15:16" hidden="1" x14ac:dyDescent="0.25">
      <c r="O2459" s="4" t="s">
        <v>2864</v>
      </c>
      <c r="P2459"/>
    </row>
    <row r="2460" spans="15:16" hidden="1" x14ac:dyDescent="0.25">
      <c r="O2460" s="4" t="s">
        <v>2865</v>
      </c>
      <c r="P2460"/>
    </row>
    <row r="2461" spans="15:16" hidden="1" x14ac:dyDescent="0.25">
      <c r="O2461" s="4" t="s">
        <v>2866</v>
      </c>
      <c r="P2461"/>
    </row>
    <row r="2462" spans="15:16" hidden="1" x14ac:dyDescent="0.25">
      <c r="O2462" s="4" t="s">
        <v>331</v>
      </c>
      <c r="P2462"/>
    </row>
    <row r="2463" spans="15:16" hidden="1" x14ac:dyDescent="0.25">
      <c r="O2463" s="4" t="s">
        <v>2867</v>
      </c>
      <c r="P2463"/>
    </row>
    <row r="2464" spans="15:16" hidden="1" x14ac:dyDescent="0.25">
      <c r="O2464" s="4" t="s">
        <v>2868</v>
      </c>
      <c r="P2464"/>
    </row>
    <row r="2465" spans="15:16" hidden="1" x14ac:dyDescent="0.25">
      <c r="O2465" s="4" t="s">
        <v>2869</v>
      </c>
      <c r="P2465"/>
    </row>
    <row r="2466" spans="15:16" hidden="1" x14ac:dyDescent="0.25">
      <c r="O2466" s="4" t="s">
        <v>2870</v>
      </c>
      <c r="P2466"/>
    </row>
    <row r="2467" spans="15:16" hidden="1" x14ac:dyDescent="0.25">
      <c r="O2467" s="4" t="s">
        <v>2871</v>
      </c>
      <c r="P2467"/>
    </row>
    <row r="2468" spans="15:16" hidden="1" x14ac:dyDescent="0.25">
      <c r="O2468" s="4" t="s">
        <v>2872</v>
      </c>
      <c r="P2468"/>
    </row>
    <row r="2469" spans="15:16" hidden="1" x14ac:dyDescent="0.25">
      <c r="O2469" s="4" t="s">
        <v>2873</v>
      </c>
      <c r="P2469"/>
    </row>
    <row r="2470" spans="15:16" hidden="1" x14ac:dyDescent="0.25">
      <c r="O2470" s="4" t="s">
        <v>335</v>
      </c>
      <c r="P2470"/>
    </row>
    <row r="2471" spans="15:16" hidden="1" x14ac:dyDescent="0.25">
      <c r="O2471" s="4" t="s">
        <v>2874</v>
      </c>
      <c r="P2471"/>
    </row>
    <row r="2472" spans="15:16" hidden="1" x14ac:dyDescent="0.25">
      <c r="O2472" s="4" t="s">
        <v>2875</v>
      </c>
      <c r="P2472"/>
    </row>
    <row r="2473" spans="15:16" hidden="1" x14ac:dyDescent="0.25">
      <c r="O2473" s="4" t="s">
        <v>2876</v>
      </c>
      <c r="P2473"/>
    </row>
    <row r="2474" spans="15:16" hidden="1" x14ac:dyDescent="0.25">
      <c r="O2474" s="4" t="s">
        <v>2877</v>
      </c>
      <c r="P2474"/>
    </row>
    <row r="2475" spans="15:16" hidden="1" x14ac:dyDescent="0.25">
      <c r="O2475" s="4" t="s">
        <v>2878</v>
      </c>
      <c r="P2475"/>
    </row>
    <row r="2476" spans="15:16" hidden="1" x14ac:dyDescent="0.25">
      <c r="O2476" s="4" t="s">
        <v>2879</v>
      </c>
      <c r="P2476"/>
    </row>
    <row r="2477" spans="15:16" hidden="1" x14ac:dyDescent="0.25">
      <c r="O2477" s="4" t="s">
        <v>2880</v>
      </c>
      <c r="P2477"/>
    </row>
    <row r="2478" spans="15:16" hidden="1" x14ac:dyDescent="0.25">
      <c r="O2478" s="4" t="s">
        <v>2881</v>
      </c>
      <c r="P2478"/>
    </row>
    <row r="2479" spans="15:16" hidden="1" x14ac:dyDescent="0.25">
      <c r="O2479" s="4" t="s">
        <v>2882</v>
      </c>
      <c r="P2479"/>
    </row>
    <row r="2480" spans="15:16" hidden="1" x14ac:dyDescent="0.25">
      <c r="O2480" s="4" t="s">
        <v>2883</v>
      </c>
      <c r="P2480"/>
    </row>
    <row r="2481" spans="15:16" hidden="1" x14ac:dyDescent="0.25">
      <c r="O2481" s="4" t="s">
        <v>2884</v>
      </c>
      <c r="P2481"/>
    </row>
    <row r="2482" spans="15:16" hidden="1" x14ac:dyDescent="0.25">
      <c r="O2482" s="4" t="s">
        <v>2885</v>
      </c>
      <c r="P2482"/>
    </row>
    <row r="2483" spans="15:16" hidden="1" x14ac:dyDescent="0.25">
      <c r="O2483" s="4" t="s">
        <v>2886</v>
      </c>
      <c r="P2483"/>
    </row>
    <row r="2484" spans="15:16" hidden="1" x14ac:dyDescent="0.25">
      <c r="O2484" s="4" t="s">
        <v>2887</v>
      </c>
      <c r="P2484"/>
    </row>
    <row r="2485" spans="15:16" hidden="1" x14ac:dyDescent="0.25">
      <c r="O2485" s="4" t="s">
        <v>2888</v>
      </c>
      <c r="P2485"/>
    </row>
    <row r="2486" spans="15:16" hidden="1" x14ac:dyDescent="0.25">
      <c r="O2486" s="4" t="s">
        <v>2889</v>
      </c>
      <c r="P2486"/>
    </row>
    <row r="2487" spans="15:16" hidden="1" x14ac:dyDescent="0.25">
      <c r="O2487" s="4" t="s">
        <v>2890</v>
      </c>
      <c r="P2487"/>
    </row>
    <row r="2488" spans="15:16" hidden="1" x14ac:dyDescent="0.25">
      <c r="O2488" s="4" t="s">
        <v>2891</v>
      </c>
      <c r="P2488"/>
    </row>
    <row r="2489" spans="15:16" hidden="1" x14ac:dyDescent="0.25">
      <c r="O2489" s="4" t="s">
        <v>2892</v>
      </c>
      <c r="P2489"/>
    </row>
    <row r="2490" spans="15:16" hidden="1" x14ac:dyDescent="0.25">
      <c r="O2490" s="4" t="s">
        <v>347</v>
      </c>
      <c r="P2490"/>
    </row>
    <row r="2491" spans="15:16" hidden="1" x14ac:dyDescent="0.25">
      <c r="O2491" s="4" t="s">
        <v>2893</v>
      </c>
      <c r="P2491"/>
    </row>
    <row r="2492" spans="15:16" hidden="1" x14ac:dyDescent="0.25">
      <c r="O2492" s="4" t="s">
        <v>2894</v>
      </c>
      <c r="P2492"/>
    </row>
    <row r="2493" spans="15:16" hidden="1" x14ac:dyDescent="0.25">
      <c r="O2493" s="4" t="s">
        <v>2895</v>
      </c>
      <c r="P2493"/>
    </row>
    <row r="2494" spans="15:16" hidden="1" x14ac:dyDescent="0.25">
      <c r="O2494" s="4" t="s">
        <v>353</v>
      </c>
      <c r="P2494"/>
    </row>
    <row r="2495" spans="15:16" hidden="1" x14ac:dyDescent="0.25">
      <c r="O2495" s="4" t="s">
        <v>2896</v>
      </c>
      <c r="P2495"/>
    </row>
    <row r="2496" spans="15:16" hidden="1" x14ac:dyDescent="0.25">
      <c r="O2496" s="4" t="s">
        <v>2897</v>
      </c>
      <c r="P2496"/>
    </row>
    <row r="2497" spans="15:16" hidden="1" x14ac:dyDescent="0.25">
      <c r="O2497" s="4" t="s">
        <v>2898</v>
      </c>
      <c r="P2497"/>
    </row>
    <row r="2498" spans="15:16" hidden="1" x14ac:dyDescent="0.25">
      <c r="O2498" s="4" t="s">
        <v>2899</v>
      </c>
      <c r="P2498"/>
    </row>
    <row r="2499" spans="15:16" hidden="1" x14ac:dyDescent="0.25">
      <c r="O2499" s="4" t="s">
        <v>357</v>
      </c>
      <c r="P2499"/>
    </row>
    <row r="2500" spans="15:16" hidden="1" x14ac:dyDescent="0.25">
      <c r="O2500" s="4" t="s">
        <v>2900</v>
      </c>
      <c r="P2500"/>
    </row>
    <row r="2501" spans="15:16" hidden="1" x14ac:dyDescent="0.25">
      <c r="O2501" s="4" t="s">
        <v>2901</v>
      </c>
      <c r="P2501"/>
    </row>
    <row r="2502" spans="15:16" hidden="1" x14ac:dyDescent="0.25">
      <c r="O2502" s="4" t="s">
        <v>2902</v>
      </c>
      <c r="P2502"/>
    </row>
    <row r="2503" spans="15:16" hidden="1" x14ac:dyDescent="0.25">
      <c r="O2503" s="4" t="s">
        <v>2903</v>
      </c>
      <c r="P2503"/>
    </row>
    <row r="2504" spans="15:16" hidden="1" x14ac:dyDescent="0.25">
      <c r="O2504" s="4" t="s">
        <v>2904</v>
      </c>
      <c r="P2504"/>
    </row>
    <row r="2505" spans="15:16" hidden="1" x14ac:dyDescent="0.25">
      <c r="O2505" s="4" t="s">
        <v>2905</v>
      </c>
      <c r="P2505"/>
    </row>
    <row r="2506" spans="15:16" hidden="1" x14ac:dyDescent="0.25">
      <c r="O2506" s="4" t="s">
        <v>363</v>
      </c>
      <c r="P2506"/>
    </row>
    <row r="2507" spans="15:16" hidden="1" x14ac:dyDescent="0.25">
      <c r="O2507" s="4" t="s">
        <v>2906</v>
      </c>
      <c r="P2507"/>
    </row>
    <row r="2508" spans="15:16" hidden="1" x14ac:dyDescent="0.25">
      <c r="O2508" s="4" t="s">
        <v>2907</v>
      </c>
      <c r="P2508"/>
    </row>
    <row r="2509" spans="15:16" hidden="1" x14ac:dyDescent="0.25">
      <c r="O2509" s="4" t="s">
        <v>2908</v>
      </c>
      <c r="P2509"/>
    </row>
    <row r="2510" spans="15:16" hidden="1" x14ac:dyDescent="0.25">
      <c r="O2510" s="4" t="s">
        <v>2909</v>
      </c>
      <c r="P2510"/>
    </row>
    <row r="2511" spans="15:16" hidden="1" x14ac:dyDescent="0.25">
      <c r="O2511" s="4" t="s">
        <v>2910</v>
      </c>
      <c r="P2511"/>
    </row>
    <row r="2512" spans="15:16" hidden="1" x14ac:dyDescent="0.25">
      <c r="O2512" s="4" t="s">
        <v>365</v>
      </c>
      <c r="P2512"/>
    </row>
    <row r="2513" spans="15:16" hidden="1" x14ac:dyDescent="0.25">
      <c r="O2513" s="4" t="s">
        <v>2911</v>
      </c>
      <c r="P2513"/>
    </row>
    <row r="2514" spans="15:16" hidden="1" x14ac:dyDescent="0.25">
      <c r="O2514" s="4" t="s">
        <v>2912</v>
      </c>
      <c r="P2514"/>
    </row>
    <row r="2515" spans="15:16" hidden="1" x14ac:dyDescent="0.25">
      <c r="O2515" s="4" t="s">
        <v>2913</v>
      </c>
      <c r="P2515"/>
    </row>
    <row r="2516" spans="15:16" hidden="1" x14ac:dyDescent="0.25">
      <c r="O2516" s="4" t="s">
        <v>2914</v>
      </c>
      <c r="P2516"/>
    </row>
    <row r="2517" spans="15:16" hidden="1" x14ac:dyDescent="0.25">
      <c r="O2517" s="4" t="s">
        <v>2915</v>
      </c>
      <c r="P2517"/>
    </row>
    <row r="2518" spans="15:16" hidden="1" x14ac:dyDescent="0.25">
      <c r="O2518" s="4" t="s">
        <v>2916</v>
      </c>
      <c r="P2518"/>
    </row>
    <row r="2519" spans="15:16" hidden="1" x14ac:dyDescent="0.25">
      <c r="O2519" s="4" t="s">
        <v>367</v>
      </c>
      <c r="P2519"/>
    </row>
    <row r="2520" spans="15:16" hidden="1" x14ac:dyDescent="0.25">
      <c r="O2520" s="4" t="s">
        <v>369</v>
      </c>
      <c r="P2520"/>
    </row>
    <row r="2521" spans="15:16" hidden="1" x14ac:dyDescent="0.25">
      <c r="O2521" s="4" t="s">
        <v>2917</v>
      </c>
      <c r="P2521"/>
    </row>
    <row r="2522" spans="15:16" hidden="1" x14ac:dyDescent="0.25">
      <c r="O2522" s="4" t="s">
        <v>2918</v>
      </c>
      <c r="P2522"/>
    </row>
    <row r="2523" spans="15:16" hidden="1" x14ac:dyDescent="0.25">
      <c r="O2523" s="4" t="s">
        <v>371</v>
      </c>
      <c r="P2523"/>
    </row>
    <row r="2524" spans="15:16" hidden="1" x14ac:dyDescent="0.25">
      <c r="O2524" s="4" t="s">
        <v>2919</v>
      </c>
      <c r="P2524"/>
    </row>
    <row r="2525" spans="15:16" hidden="1" x14ac:dyDescent="0.25">
      <c r="O2525" s="4" t="s">
        <v>2920</v>
      </c>
      <c r="P2525"/>
    </row>
    <row r="2526" spans="15:16" hidden="1" x14ac:dyDescent="0.25">
      <c r="O2526" s="4" t="s">
        <v>2921</v>
      </c>
      <c r="P2526"/>
    </row>
    <row r="2527" spans="15:16" hidden="1" x14ac:dyDescent="0.25">
      <c r="O2527" s="4" t="s">
        <v>2922</v>
      </c>
      <c r="P2527"/>
    </row>
    <row r="2528" spans="15:16" hidden="1" x14ac:dyDescent="0.25">
      <c r="O2528" s="4" t="s">
        <v>2923</v>
      </c>
      <c r="P2528"/>
    </row>
    <row r="2529" spans="15:16" hidden="1" x14ac:dyDescent="0.25">
      <c r="O2529" s="4" t="s">
        <v>2924</v>
      </c>
      <c r="P2529"/>
    </row>
    <row r="2530" spans="15:16" hidden="1" x14ac:dyDescent="0.25">
      <c r="O2530" s="4" t="s">
        <v>375</v>
      </c>
      <c r="P2530"/>
    </row>
    <row r="2531" spans="15:16" hidden="1" x14ac:dyDescent="0.25">
      <c r="O2531" s="4" t="s">
        <v>2925</v>
      </c>
      <c r="P2531"/>
    </row>
    <row r="2532" spans="15:16" hidden="1" x14ac:dyDescent="0.25">
      <c r="O2532" s="4" t="s">
        <v>2926</v>
      </c>
      <c r="P2532"/>
    </row>
    <row r="2533" spans="15:16" hidden="1" x14ac:dyDescent="0.25">
      <c r="O2533" s="4" t="s">
        <v>2927</v>
      </c>
      <c r="P2533"/>
    </row>
    <row r="2534" spans="15:16" hidden="1" x14ac:dyDescent="0.25">
      <c r="O2534" s="4" t="s">
        <v>2928</v>
      </c>
      <c r="P2534"/>
    </row>
    <row r="2535" spans="15:16" hidden="1" x14ac:dyDescent="0.25">
      <c r="O2535" s="4" t="s">
        <v>2929</v>
      </c>
      <c r="P2535"/>
    </row>
    <row r="2536" spans="15:16" hidden="1" x14ac:dyDescent="0.25">
      <c r="O2536" s="4" t="s">
        <v>2930</v>
      </c>
      <c r="P2536"/>
    </row>
    <row r="2537" spans="15:16" hidden="1" x14ac:dyDescent="0.25">
      <c r="O2537" s="4" t="s">
        <v>2931</v>
      </c>
      <c r="P2537"/>
    </row>
    <row r="2538" spans="15:16" hidden="1" x14ac:dyDescent="0.25">
      <c r="O2538" s="4" t="s">
        <v>2932</v>
      </c>
      <c r="P2538"/>
    </row>
    <row r="2539" spans="15:16" hidden="1" x14ac:dyDescent="0.25">
      <c r="O2539" s="4" t="s">
        <v>2933</v>
      </c>
      <c r="P2539"/>
    </row>
    <row r="2540" spans="15:16" hidden="1" x14ac:dyDescent="0.25">
      <c r="O2540" s="4" t="s">
        <v>2934</v>
      </c>
      <c r="P2540"/>
    </row>
    <row r="2541" spans="15:16" hidden="1" x14ac:dyDescent="0.25">
      <c r="O2541" s="4" t="s">
        <v>2935</v>
      </c>
      <c r="P2541"/>
    </row>
    <row r="2542" spans="15:16" hidden="1" x14ac:dyDescent="0.25">
      <c r="O2542" s="4" t="s">
        <v>391</v>
      </c>
      <c r="P2542"/>
    </row>
    <row r="2543" spans="15:16" hidden="1" x14ac:dyDescent="0.25">
      <c r="O2543" s="4" t="s">
        <v>2936</v>
      </c>
      <c r="P2543"/>
    </row>
    <row r="2544" spans="15:16" hidden="1" x14ac:dyDescent="0.25">
      <c r="O2544" s="4" t="s">
        <v>2937</v>
      </c>
      <c r="P2544"/>
    </row>
    <row r="2545" spans="15:16" hidden="1" x14ac:dyDescent="0.25">
      <c r="O2545" s="4" t="s">
        <v>2938</v>
      </c>
      <c r="P2545"/>
    </row>
    <row r="2546" spans="15:16" hidden="1" x14ac:dyDescent="0.25">
      <c r="O2546" s="4" t="s">
        <v>2939</v>
      </c>
      <c r="P2546"/>
    </row>
    <row r="2547" spans="15:16" hidden="1" x14ac:dyDescent="0.25">
      <c r="O2547" s="4" t="s">
        <v>2940</v>
      </c>
      <c r="P2547"/>
    </row>
    <row r="2548" spans="15:16" hidden="1" x14ac:dyDescent="0.25">
      <c r="O2548" s="4" t="s">
        <v>2941</v>
      </c>
      <c r="P2548"/>
    </row>
    <row r="2549" spans="15:16" hidden="1" x14ac:dyDescent="0.25">
      <c r="O2549" s="4" t="s">
        <v>2942</v>
      </c>
      <c r="P2549"/>
    </row>
    <row r="2550" spans="15:16" hidden="1" x14ac:dyDescent="0.25">
      <c r="O2550" s="4" t="s">
        <v>2943</v>
      </c>
      <c r="P2550"/>
    </row>
    <row r="2551" spans="15:16" hidden="1" x14ac:dyDescent="0.25">
      <c r="O2551" s="4" t="s">
        <v>2944</v>
      </c>
      <c r="P2551"/>
    </row>
    <row r="2552" spans="15:16" hidden="1" x14ac:dyDescent="0.25">
      <c r="O2552" s="4" t="s">
        <v>2945</v>
      </c>
      <c r="P2552"/>
    </row>
    <row r="2553" spans="15:16" hidden="1" x14ac:dyDescent="0.25">
      <c r="O2553" s="4" t="s">
        <v>2946</v>
      </c>
      <c r="P2553"/>
    </row>
    <row r="2554" spans="15:16" hidden="1" x14ac:dyDescent="0.25">
      <c r="O2554" s="4" t="s">
        <v>2947</v>
      </c>
      <c r="P2554"/>
    </row>
    <row r="2555" spans="15:16" hidden="1" x14ac:dyDescent="0.25">
      <c r="O2555" s="4" t="s">
        <v>2948</v>
      </c>
      <c r="P2555"/>
    </row>
    <row r="2556" spans="15:16" hidden="1" x14ac:dyDescent="0.25">
      <c r="O2556" s="4" t="s">
        <v>2949</v>
      </c>
      <c r="P2556"/>
    </row>
    <row r="2557" spans="15:16" hidden="1" x14ac:dyDescent="0.25">
      <c r="O2557" s="4" t="s">
        <v>2950</v>
      </c>
      <c r="P2557"/>
    </row>
    <row r="2558" spans="15:16" hidden="1" x14ac:dyDescent="0.25">
      <c r="O2558" s="4" t="s">
        <v>2951</v>
      </c>
      <c r="P2558"/>
    </row>
    <row r="2559" spans="15:16" hidden="1" x14ac:dyDescent="0.25">
      <c r="O2559" s="4" t="s">
        <v>2952</v>
      </c>
      <c r="P2559"/>
    </row>
    <row r="2560" spans="15:16" hidden="1" x14ac:dyDescent="0.25">
      <c r="O2560" s="4" t="s">
        <v>2953</v>
      </c>
      <c r="P2560"/>
    </row>
    <row r="2561" spans="15:16" hidden="1" x14ac:dyDescent="0.25">
      <c r="O2561" s="4" t="s">
        <v>2954</v>
      </c>
      <c r="P2561"/>
    </row>
    <row r="2562" spans="15:16" hidden="1" x14ac:dyDescent="0.25">
      <c r="O2562" s="4" t="s">
        <v>2955</v>
      </c>
      <c r="P2562"/>
    </row>
    <row r="2563" spans="15:16" hidden="1" x14ac:dyDescent="0.25">
      <c r="O2563" s="4" t="s">
        <v>2956</v>
      </c>
      <c r="P2563"/>
    </row>
    <row r="2564" spans="15:16" hidden="1" x14ac:dyDescent="0.25">
      <c r="O2564" s="4" t="s">
        <v>2957</v>
      </c>
      <c r="P2564"/>
    </row>
    <row r="2565" spans="15:16" hidden="1" x14ac:dyDescent="0.25">
      <c r="O2565" s="4" t="s">
        <v>2958</v>
      </c>
      <c r="P2565"/>
    </row>
    <row r="2566" spans="15:16" hidden="1" x14ac:dyDescent="0.25">
      <c r="O2566" s="4" t="s">
        <v>405</v>
      </c>
      <c r="P2566"/>
    </row>
    <row r="2567" spans="15:16" hidden="1" x14ac:dyDescent="0.25">
      <c r="O2567" s="4" t="s">
        <v>411</v>
      </c>
      <c r="P2567"/>
    </row>
    <row r="2568" spans="15:16" hidden="1" x14ac:dyDescent="0.25">
      <c r="O2568" s="4" t="s">
        <v>2959</v>
      </c>
      <c r="P2568"/>
    </row>
    <row r="2569" spans="15:16" hidden="1" x14ac:dyDescent="0.25">
      <c r="O2569" s="4" t="s">
        <v>2960</v>
      </c>
      <c r="P2569"/>
    </row>
    <row r="2570" spans="15:16" hidden="1" x14ac:dyDescent="0.25">
      <c r="O2570" s="4" t="s">
        <v>2961</v>
      </c>
      <c r="P2570"/>
    </row>
    <row r="2571" spans="15:16" hidden="1" x14ac:dyDescent="0.25">
      <c r="O2571" s="4" t="s">
        <v>417</v>
      </c>
      <c r="P2571"/>
    </row>
    <row r="2572" spans="15:16" hidden="1" x14ac:dyDescent="0.25">
      <c r="O2572" s="4" t="s">
        <v>419</v>
      </c>
      <c r="P2572"/>
    </row>
    <row r="2573" spans="15:16" hidden="1" x14ac:dyDescent="0.25">
      <c r="O2573" s="4" t="s">
        <v>421</v>
      </c>
      <c r="P2573"/>
    </row>
    <row r="2574" spans="15:16" hidden="1" x14ac:dyDescent="0.25">
      <c r="O2574" s="4" t="s">
        <v>2962</v>
      </c>
      <c r="P2574"/>
    </row>
    <row r="2575" spans="15:16" hidden="1" x14ac:dyDescent="0.25">
      <c r="O2575" s="4" t="s">
        <v>2963</v>
      </c>
      <c r="P2575"/>
    </row>
    <row r="2576" spans="15:16" hidden="1" x14ac:dyDescent="0.25">
      <c r="O2576" s="4" t="s">
        <v>2964</v>
      </c>
      <c r="P2576"/>
    </row>
    <row r="2577" spans="15:16" hidden="1" x14ac:dyDescent="0.25">
      <c r="O2577" s="4" t="s">
        <v>423</v>
      </c>
      <c r="P2577"/>
    </row>
    <row r="2578" spans="15:16" hidden="1" x14ac:dyDescent="0.25">
      <c r="O2578" s="4" t="s">
        <v>2965</v>
      </c>
      <c r="P2578"/>
    </row>
    <row r="2579" spans="15:16" hidden="1" x14ac:dyDescent="0.25">
      <c r="O2579" s="4" t="s">
        <v>2966</v>
      </c>
      <c r="P2579"/>
    </row>
    <row r="2580" spans="15:16" hidden="1" x14ac:dyDescent="0.25">
      <c r="O2580" s="4" t="s">
        <v>2967</v>
      </c>
      <c r="P2580"/>
    </row>
    <row r="2581" spans="15:16" hidden="1" x14ac:dyDescent="0.25">
      <c r="O2581" s="4" t="s">
        <v>2968</v>
      </c>
      <c r="P2581"/>
    </row>
    <row r="2582" spans="15:16" hidden="1" x14ac:dyDescent="0.25">
      <c r="O2582" s="4" t="s">
        <v>2969</v>
      </c>
      <c r="P2582"/>
    </row>
    <row r="2583" spans="15:16" hidden="1" x14ac:dyDescent="0.25">
      <c r="O2583" s="4" t="s">
        <v>2970</v>
      </c>
      <c r="P2583"/>
    </row>
    <row r="2584" spans="15:16" hidden="1" x14ac:dyDescent="0.25">
      <c r="O2584" s="4" t="s">
        <v>2971</v>
      </c>
      <c r="P2584"/>
    </row>
    <row r="2585" spans="15:16" hidden="1" x14ac:dyDescent="0.25">
      <c r="O2585" s="4" t="s">
        <v>2972</v>
      </c>
      <c r="P2585"/>
    </row>
    <row r="2586" spans="15:16" hidden="1" x14ac:dyDescent="0.25">
      <c r="O2586" s="4" t="s">
        <v>2973</v>
      </c>
      <c r="P2586"/>
    </row>
    <row r="2587" spans="15:16" hidden="1" x14ac:dyDescent="0.25">
      <c r="O2587" s="4" t="s">
        <v>427</v>
      </c>
      <c r="P2587"/>
    </row>
    <row r="2588" spans="15:16" hidden="1" x14ac:dyDescent="0.25">
      <c r="O2588" s="4" t="s">
        <v>2974</v>
      </c>
      <c r="P2588"/>
    </row>
    <row r="2589" spans="15:16" hidden="1" x14ac:dyDescent="0.25">
      <c r="O2589" s="4" t="s">
        <v>2975</v>
      </c>
      <c r="P2589"/>
    </row>
    <row r="2590" spans="15:16" hidden="1" x14ac:dyDescent="0.25">
      <c r="O2590" s="4" t="s">
        <v>2976</v>
      </c>
      <c r="P2590"/>
    </row>
    <row r="2591" spans="15:16" hidden="1" x14ac:dyDescent="0.25">
      <c r="O2591" s="4" t="s">
        <v>2977</v>
      </c>
      <c r="P2591"/>
    </row>
    <row r="2592" spans="15:16" hidden="1" x14ac:dyDescent="0.25">
      <c r="O2592" s="4" t="s">
        <v>2978</v>
      </c>
      <c r="P2592"/>
    </row>
    <row r="2593" spans="15:16" hidden="1" x14ac:dyDescent="0.25">
      <c r="O2593" s="4" t="s">
        <v>2979</v>
      </c>
      <c r="P2593"/>
    </row>
    <row r="2594" spans="15:16" hidden="1" x14ac:dyDescent="0.25">
      <c r="O2594" s="4" t="s">
        <v>2980</v>
      </c>
      <c r="P2594"/>
    </row>
    <row r="2595" spans="15:16" hidden="1" x14ac:dyDescent="0.25">
      <c r="O2595" s="4" t="s">
        <v>2981</v>
      </c>
      <c r="P2595"/>
    </row>
    <row r="2596" spans="15:16" hidden="1" x14ac:dyDescent="0.25">
      <c r="O2596" s="4" t="s">
        <v>2982</v>
      </c>
      <c r="P2596"/>
    </row>
    <row r="2597" spans="15:16" hidden="1" x14ac:dyDescent="0.25">
      <c r="O2597" s="4" t="s">
        <v>2983</v>
      </c>
      <c r="P2597"/>
    </row>
    <row r="2598" spans="15:16" hidden="1" x14ac:dyDescent="0.25">
      <c r="O2598" s="4" t="s">
        <v>431</v>
      </c>
      <c r="P2598"/>
    </row>
    <row r="2599" spans="15:16" hidden="1" x14ac:dyDescent="0.25">
      <c r="O2599" s="4" t="s">
        <v>435</v>
      </c>
      <c r="P2599"/>
    </row>
    <row r="2600" spans="15:16" hidden="1" x14ac:dyDescent="0.25">
      <c r="O2600" s="4" t="s">
        <v>2984</v>
      </c>
      <c r="P2600"/>
    </row>
    <row r="2601" spans="15:16" hidden="1" x14ac:dyDescent="0.25">
      <c r="O2601" s="4" t="s">
        <v>2985</v>
      </c>
      <c r="P2601"/>
    </row>
    <row r="2602" spans="15:16" hidden="1" x14ac:dyDescent="0.25">
      <c r="O2602" s="4" t="s">
        <v>2986</v>
      </c>
      <c r="P2602"/>
    </row>
    <row r="2603" spans="15:16" hidden="1" x14ac:dyDescent="0.25">
      <c r="O2603" s="4" t="s">
        <v>441</v>
      </c>
      <c r="P2603"/>
    </row>
    <row r="2604" spans="15:16" hidden="1" x14ac:dyDescent="0.25">
      <c r="O2604" s="4" t="s">
        <v>2987</v>
      </c>
      <c r="P2604"/>
    </row>
    <row r="2605" spans="15:16" hidden="1" x14ac:dyDescent="0.25">
      <c r="O2605" s="4" t="s">
        <v>2988</v>
      </c>
      <c r="P2605"/>
    </row>
    <row r="2606" spans="15:16" hidden="1" x14ac:dyDescent="0.25">
      <c r="O2606" s="4" t="s">
        <v>2989</v>
      </c>
      <c r="P2606"/>
    </row>
    <row r="2607" spans="15:16" hidden="1" x14ac:dyDescent="0.25">
      <c r="O2607" s="4" t="s">
        <v>2990</v>
      </c>
      <c r="P2607"/>
    </row>
    <row r="2608" spans="15:16" hidden="1" x14ac:dyDescent="0.25">
      <c r="O2608" s="4" t="s">
        <v>2991</v>
      </c>
      <c r="P2608"/>
    </row>
    <row r="2609" spans="15:16" hidden="1" x14ac:dyDescent="0.25">
      <c r="O2609" s="4" t="s">
        <v>2992</v>
      </c>
      <c r="P2609"/>
    </row>
    <row r="2610" spans="15:16" hidden="1" x14ac:dyDescent="0.25">
      <c r="O2610" s="4" t="s">
        <v>2993</v>
      </c>
      <c r="P2610"/>
    </row>
    <row r="2611" spans="15:16" hidden="1" x14ac:dyDescent="0.25">
      <c r="O2611" s="4" t="s">
        <v>2994</v>
      </c>
      <c r="P2611"/>
    </row>
    <row r="2612" spans="15:16" hidden="1" x14ac:dyDescent="0.25">
      <c r="O2612" s="4" t="s">
        <v>2995</v>
      </c>
      <c r="P2612"/>
    </row>
    <row r="2613" spans="15:16" hidden="1" x14ac:dyDescent="0.25">
      <c r="O2613" s="4" t="s">
        <v>467</v>
      </c>
      <c r="P2613"/>
    </row>
    <row r="2614" spans="15:16" hidden="1" x14ac:dyDescent="0.25">
      <c r="O2614" s="4" t="s">
        <v>2996</v>
      </c>
      <c r="P2614"/>
    </row>
    <row r="2615" spans="15:16" hidden="1" x14ac:dyDescent="0.25">
      <c r="O2615" s="4" t="s">
        <v>2997</v>
      </c>
      <c r="P2615"/>
    </row>
    <row r="2616" spans="15:16" hidden="1" x14ac:dyDescent="0.25">
      <c r="O2616" s="4" t="s">
        <v>469</v>
      </c>
      <c r="P2616"/>
    </row>
    <row r="2617" spans="15:16" hidden="1" x14ac:dyDescent="0.25">
      <c r="O2617" s="4" t="s">
        <v>2998</v>
      </c>
      <c r="P2617"/>
    </row>
    <row r="2618" spans="15:16" hidden="1" x14ac:dyDescent="0.25">
      <c r="O2618" s="4" t="s">
        <v>2999</v>
      </c>
      <c r="P2618"/>
    </row>
    <row r="2619" spans="15:16" hidden="1" x14ac:dyDescent="0.25">
      <c r="O2619" s="4" t="s">
        <v>3000</v>
      </c>
      <c r="P2619"/>
    </row>
    <row r="2620" spans="15:16" hidden="1" x14ac:dyDescent="0.25">
      <c r="O2620" s="4" t="s">
        <v>3001</v>
      </c>
      <c r="P2620"/>
    </row>
    <row r="2621" spans="15:16" hidden="1" x14ac:dyDescent="0.25">
      <c r="O2621" s="4" t="s">
        <v>3002</v>
      </c>
      <c r="P2621"/>
    </row>
    <row r="2622" spans="15:16" hidden="1" x14ac:dyDescent="0.25">
      <c r="O2622" s="4" t="s">
        <v>3003</v>
      </c>
      <c r="P2622"/>
    </row>
    <row r="2623" spans="15:16" hidden="1" x14ac:dyDescent="0.25">
      <c r="O2623" s="4" t="s">
        <v>3004</v>
      </c>
      <c r="P2623"/>
    </row>
    <row r="2624" spans="15:16" hidden="1" x14ac:dyDescent="0.25">
      <c r="O2624" s="4" t="s">
        <v>3005</v>
      </c>
      <c r="P2624"/>
    </row>
    <row r="2625" spans="15:16" hidden="1" x14ac:dyDescent="0.25">
      <c r="O2625" s="4" t="s">
        <v>3006</v>
      </c>
      <c r="P2625"/>
    </row>
    <row r="2626" spans="15:16" hidden="1" x14ac:dyDescent="0.25">
      <c r="O2626" s="4" t="s">
        <v>3007</v>
      </c>
      <c r="P2626"/>
    </row>
    <row r="2627" spans="15:16" hidden="1" x14ac:dyDescent="0.25">
      <c r="O2627" s="4" t="s">
        <v>3008</v>
      </c>
      <c r="P2627"/>
    </row>
    <row r="2628" spans="15:16" hidden="1" x14ac:dyDescent="0.25">
      <c r="O2628" s="4" t="s">
        <v>3009</v>
      </c>
      <c r="P2628"/>
    </row>
    <row r="2629" spans="15:16" hidden="1" x14ac:dyDescent="0.25">
      <c r="O2629" s="4" t="s">
        <v>3010</v>
      </c>
      <c r="P2629"/>
    </row>
    <row r="2630" spans="15:16" hidden="1" x14ac:dyDescent="0.25">
      <c r="O2630" s="4" t="s">
        <v>3011</v>
      </c>
      <c r="P2630"/>
    </row>
    <row r="2631" spans="15:16" hidden="1" x14ac:dyDescent="0.25">
      <c r="O2631" s="4" t="s">
        <v>3012</v>
      </c>
      <c r="P2631"/>
    </row>
    <row r="2632" spans="15:16" hidden="1" x14ac:dyDescent="0.25">
      <c r="O2632" s="4" t="s">
        <v>3013</v>
      </c>
      <c r="P2632"/>
    </row>
    <row r="2633" spans="15:16" hidden="1" x14ac:dyDescent="0.25">
      <c r="O2633" s="4" t="s">
        <v>3014</v>
      </c>
      <c r="P2633"/>
    </row>
    <row r="2634" spans="15:16" hidden="1" x14ac:dyDescent="0.25">
      <c r="O2634" s="4" t="s">
        <v>3015</v>
      </c>
      <c r="P2634"/>
    </row>
    <row r="2635" spans="15:16" hidden="1" x14ac:dyDescent="0.25">
      <c r="O2635" s="4" t="s">
        <v>3016</v>
      </c>
      <c r="P2635"/>
    </row>
    <row r="2636" spans="15:16" hidden="1" x14ac:dyDescent="0.25">
      <c r="O2636" s="4" t="s">
        <v>3017</v>
      </c>
      <c r="P2636"/>
    </row>
    <row r="2637" spans="15:16" hidden="1" x14ac:dyDescent="0.25">
      <c r="O2637" s="4" t="s">
        <v>471</v>
      </c>
      <c r="P2637"/>
    </row>
    <row r="2638" spans="15:16" hidden="1" x14ac:dyDescent="0.25">
      <c r="O2638" s="4" t="s">
        <v>3018</v>
      </c>
      <c r="P2638"/>
    </row>
    <row r="2639" spans="15:16" hidden="1" x14ac:dyDescent="0.25">
      <c r="O2639" s="4" t="s">
        <v>3019</v>
      </c>
      <c r="P2639"/>
    </row>
    <row r="2640" spans="15:16" hidden="1" x14ac:dyDescent="0.25">
      <c r="O2640" s="4" t="s">
        <v>3020</v>
      </c>
      <c r="P2640"/>
    </row>
    <row r="2641" spans="15:16" hidden="1" x14ac:dyDescent="0.25">
      <c r="O2641" s="4" t="s">
        <v>3021</v>
      </c>
      <c r="P2641"/>
    </row>
    <row r="2642" spans="15:16" hidden="1" x14ac:dyDescent="0.25">
      <c r="O2642" s="4" t="s">
        <v>3022</v>
      </c>
      <c r="P2642"/>
    </row>
    <row r="2643" spans="15:16" hidden="1" x14ac:dyDescent="0.25">
      <c r="O2643" s="4" t="s">
        <v>3023</v>
      </c>
      <c r="P2643"/>
    </row>
    <row r="2644" spans="15:16" hidden="1" x14ac:dyDescent="0.25">
      <c r="O2644" s="4" t="s">
        <v>3024</v>
      </c>
      <c r="P2644"/>
    </row>
    <row r="2645" spans="15:16" hidden="1" x14ac:dyDescent="0.25">
      <c r="O2645" s="4" t="s">
        <v>473</v>
      </c>
      <c r="P2645"/>
    </row>
    <row r="2646" spans="15:16" hidden="1" x14ac:dyDescent="0.25">
      <c r="O2646" s="4" t="s">
        <v>3025</v>
      </c>
      <c r="P2646"/>
    </row>
    <row r="2647" spans="15:16" hidden="1" x14ac:dyDescent="0.25">
      <c r="O2647" s="4" t="s">
        <v>3026</v>
      </c>
      <c r="P2647"/>
    </row>
    <row r="2648" spans="15:16" hidden="1" x14ac:dyDescent="0.25">
      <c r="O2648" s="4" t="s">
        <v>3027</v>
      </c>
      <c r="P2648"/>
    </row>
    <row r="2649" spans="15:16" hidden="1" x14ac:dyDescent="0.25">
      <c r="O2649" s="4" t="s">
        <v>3028</v>
      </c>
      <c r="P2649"/>
    </row>
    <row r="2650" spans="15:16" hidden="1" x14ac:dyDescent="0.25">
      <c r="O2650" s="4" t="s">
        <v>3029</v>
      </c>
      <c r="P2650"/>
    </row>
    <row r="2651" spans="15:16" hidden="1" x14ac:dyDescent="0.25">
      <c r="O2651" s="4" t="s">
        <v>3030</v>
      </c>
      <c r="P2651"/>
    </row>
    <row r="2652" spans="15:16" hidden="1" x14ac:dyDescent="0.25">
      <c r="O2652" s="4" t="s">
        <v>3031</v>
      </c>
      <c r="P2652"/>
    </row>
    <row r="2653" spans="15:16" hidden="1" x14ac:dyDescent="0.25">
      <c r="O2653" s="4" t="s">
        <v>485</v>
      </c>
      <c r="P2653"/>
    </row>
    <row r="2654" spans="15:16" hidden="1" x14ac:dyDescent="0.25">
      <c r="O2654" s="4" t="s">
        <v>487</v>
      </c>
      <c r="P2654"/>
    </row>
    <row r="2655" spans="15:16" hidden="1" x14ac:dyDescent="0.25">
      <c r="O2655" s="4" t="s">
        <v>3032</v>
      </c>
      <c r="P2655"/>
    </row>
    <row r="2656" spans="15:16" hidden="1" x14ac:dyDescent="0.25">
      <c r="O2656" s="4" t="s">
        <v>3033</v>
      </c>
      <c r="P2656"/>
    </row>
    <row r="2657" spans="15:16" hidden="1" x14ac:dyDescent="0.25">
      <c r="O2657" s="4" t="s">
        <v>3034</v>
      </c>
      <c r="P2657"/>
    </row>
    <row r="2658" spans="15:16" hidden="1" x14ac:dyDescent="0.25">
      <c r="O2658" s="4" t="s">
        <v>3035</v>
      </c>
      <c r="P2658"/>
    </row>
    <row r="2659" spans="15:16" hidden="1" x14ac:dyDescent="0.25">
      <c r="O2659" s="4" t="s">
        <v>3036</v>
      </c>
      <c r="P2659"/>
    </row>
    <row r="2660" spans="15:16" hidden="1" x14ac:dyDescent="0.25">
      <c r="O2660" s="4" t="s">
        <v>3037</v>
      </c>
      <c r="P2660"/>
    </row>
    <row r="2661" spans="15:16" hidden="1" x14ac:dyDescent="0.25">
      <c r="O2661" s="4" t="s">
        <v>3038</v>
      </c>
      <c r="P2661"/>
    </row>
    <row r="2662" spans="15:16" hidden="1" x14ac:dyDescent="0.25">
      <c r="O2662" s="4" t="s">
        <v>491</v>
      </c>
      <c r="P2662"/>
    </row>
    <row r="2663" spans="15:16" hidden="1" x14ac:dyDescent="0.25">
      <c r="O2663" s="4" t="s">
        <v>3039</v>
      </c>
      <c r="P2663"/>
    </row>
    <row r="2664" spans="15:16" hidden="1" x14ac:dyDescent="0.25">
      <c r="O2664" s="4" t="s">
        <v>495</v>
      </c>
      <c r="P2664"/>
    </row>
    <row r="2665" spans="15:16" hidden="1" x14ac:dyDescent="0.25">
      <c r="O2665" s="4" t="s">
        <v>3040</v>
      </c>
      <c r="P2665"/>
    </row>
    <row r="2666" spans="15:16" hidden="1" x14ac:dyDescent="0.25">
      <c r="O2666" s="4" t="s">
        <v>3041</v>
      </c>
      <c r="P2666"/>
    </row>
    <row r="2667" spans="15:16" hidden="1" x14ac:dyDescent="0.25">
      <c r="O2667" s="4" t="s">
        <v>3042</v>
      </c>
      <c r="P2667"/>
    </row>
    <row r="2668" spans="15:16" hidden="1" x14ac:dyDescent="0.25">
      <c r="O2668" s="4" t="s">
        <v>499</v>
      </c>
      <c r="P2668"/>
    </row>
    <row r="2669" spans="15:16" hidden="1" x14ac:dyDescent="0.25">
      <c r="O2669" s="4" t="s">
        <v>3043</v>
      </c>
      <c r="P2669"/>
    </row>
    <row r="2670" spans="15:16" hidden="1" x14ac:dyDescent="0.25">
      <c r="O2670" s="4" t="s">
        <v>3044</v>
      </c>
      <c r="P2670"/>
    </row>
    <row r="2671" spans="15:16" hidden="1" x14ac:dyDescent="0.25">
      <c r="O2671" s="4" t="s">
        <v>3045</v>
      </c>
      <c r="P2671"/>
    </row>
    <row r="2672" spans="15:16" hidden="1" x14ac:dyDescent="0.25">
      <c r="O2672" s="4" t="s">
        <v>3046</v>
      </c>
      <c r="P2672"/>
    </row>
    <row r="2673" spans="15:16" hidden="1" x14ac:dyDescent="0.25">
      <c r="O2673" s="4" t="s">
        <v>3047</v>
      </c>
      <c r="P2673"/>
    </row>
    <row r="2674" spans="15:16" hidden="1" x14ac:dyDescent="0.25">
      <c r="O2674" s="4" t="s">
        <v>3048</v>
      </c>
      <c r="P2674"/>
    </row>
    <row r="2675" spans="15:16" hidden="1" x14ac:dyDescent="0.25">
      <c r="O2675" s="4" t="s">
        <v>3049</v>
      </c>
      <c r="P2675"/>
    </row>
    <row r="2676" spans="15:16" hidden="1" x14ac:dyDescent="0.25">
      <c r="O2676" s="4" t="s">
        <v>3050</v>
      </c>
      <c r="P2676"/>
    </row>
    <row r="2677" spans="15:16" hidden="1" x14ac:dyDescent="0.25">
      <c r="O2677" s="4" t="s">
        <v>3051</v>
      </c>
      <c r="P2677"/>
    </row>
    <row r="2678" spans="15:16" hidden="1" x14ac:dyDescent="0.25">
      <c r="O2678" s="4" t="s">
        <v>3052</v>
      </c>
      <c r="P2678"/>
    </row>
    <row r="2679" spans="15:16" hidden="1" x14ac:dyDescent="0.25">
      <c r="O2679" s="4" t="s">
        <v>3053</v>
      </c>
      <c r="P2679"/>
    </row>
    <row r="2680" spans="15:16" hidden="1" x14ac:dyDescent="0.25">
      <c r="O2680" s="4" t="s">
        <v>505</v>
      </c>
      <c r="P2680"/>
    </row>
    <row r="2681" spans="15:16" hidden="1" x14ac:dyDescent="0.25">
      <c r="O2681" s="4" t="s">
        <v>3054</v>
      </c>
      <c r="P2681"/>
    </row>
    <row r="2682" spans="15:16" hidden="1" x14ac:dyDescent="0.25">
      <c r="O2682" s="4" t="s">
        <v>3055</v>
      </c>
      <c r="P2682"/>
    </row>
    <row r="2683" spans="15:16" hidden="1" x14ac:dyDescent="0.25">
      <c r="O2683" s="4" t="s">
        <v>3056</v>
      </c>
      <c r="P2683"/>
    </row>
    <row r="2684" spans="15:16" hidden="1" x14ac:dyDescent="0.25">
      <c r="O2684" s="4" t="s">
        <v>513</v>
      </c>
      <c r="P2684"/>
    </row>
    <row r="2685" spans="15:16" hidden="1" x14ac:dyDescent="0.25">
      <c r="O2685" s="4" t="s">
        <v>3057</v>
      </c>
      <c r="P2685"/>
    </row>
    <row r="2686" spans="15:16" hidden="1" x14ac:dyDescent="0.25">
      <c r="O2686" s="4" t="s">
        <v>3058</v>
      </c>
      <c r="P2686"/>
    </row>
    <row r="2687" spans="15:16" hidden="1" x14ac:dyDescent="0.25">
      <c r="O2687" s="4" t="s">
        <v>3059</v>
      </c>
      <c r="P2687"/>
    </row>
    <row r="2688" spans="15:16" hidden="1" x14ac:dyDescent="0.25">
      <c r="O2688" s="4" t="s">
        <v>3060</v>
      </c>
      <c r="P2688"/>
    </row>
    <row r="2689" spans="15:16" hidden="1" x14ac:dyDescent="0.25">
      <c r="O2689" s="4" t="s">
        <v>3061</v>
      </c>
      <c r="P2689"/>
    </row>
    <row r="2690" spans="15:16" hidden="1" x14ac:dyDescent="0.25">
      <c r="O2690" s="4" t="s">
        <v>3062</v>
      </c>
      <c r="P2690"/>
    </row>
    <row r="2691" spans="15:16" hidden="1" x14ac:dyDescent="0.25">
      <c r="O2691" s="4" t="s">
        <v>3063</v>
      </c>
      <c r="P2691"/>
    </row>
    <row r="2692" spans="15:16" hidden="1" x14ac:dyDescent="0.25">
      <c r="O2692" s="4" t="s">
        <v>3064</v>
      </c>
      <c r="P2692"/>
    </row>
    <row r="2693" spans="15:16" hidden="1" x14ac:dyDescent="0.25">
      <c r="O2693" s="4" t="s">
        <v>3065</v>
      </c>
      <c r="P2693"/>
    </row>
    <row r="2694" spans="15:16" hidden="1" x14ac:dyDescent="0.25">
      <c r="O2694" s="4" t="s">
        <v>3066</v>
      </c>
      <c r="P2694"/>
    </row>
    <row r="2695" spans="15:16" hidden="1" x14ac:dyDescent="0.25">
      <c r="O2695" s="4" t="s">
        <v>3067</v>
      </c>
      <c r="P2695"/>
    </row>
    <row r="2696" spans="15:16" hidden="1" x14ac:dyDescent="0.25">
      <c r="O2696" s="4" t="s">
        <v>3068</v>
      </c>
      <c r="P2696"/>
    </row>
    <row r="2697" spans="15:16" hidden="1" x14ac:dyDescent="0.25">
      <c r="O2697" s="4" t="s">
        <v>3069</v>
      </c>
      <c r="P2697"/>
    </row>
    <row r="2698" spans="15:16" hidden="1" x14ac:dyDescent="0.25">
      <c r="O2698" s="4" t="s">
        <v>3070</v>
      </c>
      <c r="P2698"/>
    </row>
    <row r="2699" spans="15:16" hidden="1" x14ac:dyDescent="0.25">
      <c r="O2699" s="4" t="s">
        <v>3071</v>
      </c>
      <c r="P2699"/>
    </row>
    <row r="2700" spans="15:16" hidden="1" x14ac:dyDescent="0.25">
      <c r="O2700" s="4" t="s">
        <v>3072</v>
      </c>
      <c r="P2700"/>
    </row>
    <row r="2701" spans="15:16" hidden="1" x14ac:dyDescent="0.25">
      <c r="O2701" s="4" t="s">
        <v>3073</v>
      </c>
      <c r="P2701"/>
    </row>
    <row r="2702" spans="15:16" hidden="1" x14ac:dyDescent="0.25">
      <c r="O2702" s="4" t="s">
        <v>3074</v>
      </c>
      <c r="P2702"/>
    </row>
    <row r="2703" spans="15:16" hidden="1" x14ac:dyDescent="0.25">
      <c r="O2703" s="4" t="s">
        <v>3075</v>
      </c>
      <c r="P2703"/>
    </row>
    <row r="2704" spans="15:16" hidden="1" x14ac:dyDescent="0.25">
      <c r="O2704" s="4" t="s">
        <v>529</v>
      </c>
      <c r="P2704"/>
    </row>
    <row r="2705" spans="15:16" hidden="1" x14ac:dyDescent="0.25">
      <c r="O2705" s="4" t="s">
        <v>531</v>
      </c>
      <c r="P2705"/>
    </row>
    <row r="2706" spans="15:16" hidden="1" x14ac:dyDescent="0.25">
      <c r="O2706" s="4" t="s">
        <v>3076</v>
      </c>
      <c r="P2706"/>
    </row>
    <row r="2707" spans="15:16" hidden="1" x14ac:dyDescent="0.25">
      <c r="O2707" s="4" t="s">
        <v>3077</v>
      </c>
      <c r="P2707"/>
    </row>
    <row r="2708" spans="15:16" hidden="1" x14ac:dyDescent="0.25">
      <c r="O2708" s="4" t="s">
        <v>3078</v>
      </c>
      <c r="P2708"/>
    </row>
    <row r="2709" spans="15:16" hidden="1" x14ac:dyDescent="0.25">
      <c r="O2709" s="4" t="s">
        <v>3079</v>
      </c>
      <c r="P2709"/>
    </row>
    <row r="2710" spans="15:16" hidden="1" x14ac:dyDescent="0.25">
      <c r="O2710" s="4" t="s">
        <v>3080</v>
      </c>
      <c r="P2710"/>
    </row>
    <row r="2711" spans="15:16" hidden="1" x14ac:dyDescent="0.25">
      <c r="O2711" s="4" t="s">
        <v>3081</v>
      </c>
      <c r="P2711"/>
    </row>
    <row r="2712" spans="15:16" hidden="1" x14ac:dyDescent="0.25">
      <c r="O2712" s="4" t="s">
        <v>3082</v>
      </c>
      <c r="P2712"/>
    </row>
    <row r="2713" spans="15:16" hidden="1" x14ac:dyDescent="0.25">
      <c r="O2713" s="4" t="s">
        <v>3083</v>
      </c>
      <c r="P2713"/>
    </row>
    <row r="2714" spans="15:16" hidden="1" x14ac:dyDescent="0.25">
      <c r="O2714" s="4" t="s">
        <v>3084</v>
      </c>
      <c r="P2714"/>
    </row>
    <row r="2715" spans="15:16" hidden="1" x14ac:dyDescent="0.25">
      <c r="O2715" s="4" t="s">
        <v>3085</v>
      </c>
      <c r="P2715"/>
    </row>
    <row r="2716" spans="15:16" hidden="1" x14ac:dyDescent="0.25">
      <c r="O2716" s="4" t="s">
        <v>3086</v>
      </c>
      <c r="P2716"/>
    </row>
    <row r="2717" spans="15:16" hidden="1" x14ac:dyDescent="0.25">
      <c r="O2717" s="4" t="s">
        <v>3087</v>
      </c>
      <c r="P2717"/>
    </row>
    <row r="2718" spans="15:16" hidden="1" x14ac:dyDescent="0.25">
      <c r="O2718" s="4" t="s">
        <v>3088</v>
      </c>
      <c r="P2718"/>
    </row>
    <row r="2719" spans="15:16" hidden="1" x14ac:dyDescent="0.25">
      <c r="O2719" s="4" t="s">
        <v>3089</v>
      </c>
      <c r="P2719"/>
    </row>
    <row r="2720" spans="15:16" hidden="1" x14ac:dyDescent="0.25">
      <c r="O2720" s="4" t="s">
        <v>3090</v>
      </c>
      <c r="P2720"/>
    </row>
    <row r="2721" spans="15:16" hidden="1" x14ac:dyDescent="0.25">
      <c r="O2721" s="4" t="s">
        <v>3091</v>
      </c>
      <c r="P2721"/>
    </row>
    <row r="2722" spans="15:16" hidden="1" x14ac:dyDescent="0.25">
      <c r="O2722" s="4" t="s">
        <v>3092</v>
      </c>
      <c r="P2722"/>
    </row>
    <row r="2723" spans="15:16" hidden="1" x14ac:dyDescent="0.25">
      <c r="O2723" s="4" t="s">
        <v>3093</v>
      </c>
      <c r="P2723"/>
    </row>
    <row r="2724" spans="15:16" hidden="1" x14ac:dyDescent="0.25">
      <c r="O2724" s="4" t="s">
        <v>3094</v>
      </c>
      <c r="P2724"/>
    </row>
    <row r="2725" spans="15:16" hidden="1" x14ac:dyDescent="0.25">
      <c r="O2725" s="4" t="s">
        <v>533</v>
      </c>
      <c r="P2725"/>
    </row>
    <row r="2726" spans="15:16" hidden="1" x14ac:dyDescent="0.25">
      <c r="O2726" s="4" t="s">
        <v>535</v>
      </c>
      <c r="P2726"/>
    </row>
    <row r="2727" spans="15:16" hidden="1" x14ac:dyDescent="0.25">
      <c r="O2727" s="4" t="s">
        <v>3095</v>
      </c>
      <c r="P2727"/>
    </row>
    <row r="2728" spans="15:16" hidden="1" x14ac:dyDescent="0.25">
      <c r="O2728" s="4" t="s">
        <v>539</v>
      </c>
      <c r="P2728"/>
    </row>
    <row r="2729" spans="15:16" hidden="1" x14ac:dyDescent="0.25">
      <c r="O2729" s="4" t="s">
        <v>3096</v>
      </c>
      <c r="P2729"/>
    </row>
    <row r="2730" spans="15:16" hidden="1" x14ac:dyDescent="0.25">
      <c r="O2730" s="4" t="s">
        <v>3097</v>
      </c>
      <c r="P2730"/>
    </row>
    <row r="2731" spans="15:16" hidden="1" x14ac:dyDescent="0.25">
      <c r="O2731" s="4" t="s">
        <v>3098</v>
      </c>
      <c r="P2731"/>
    </row>
    <row r="2732" spans="15:16" hidden="1" x14ac:dyDescent="0.25">
      <c r="O2732" s="4" t="s">
        <v>3099</v>
      </c>
      <c r="P2732"/>
    </row>
    <row r="2733" spans="15:16" hidden="1" x14ac:dyDescent="0.25">
      <c r="O2733" s="4" t="s">
        <v>3100</v>
      </c>
      <c r="P2733"/>
    </row>
    <row r="2734" spans="15:16" hidden="1" x14ac:dyDescent="0.25">
      <c r="O2734" s="4" t="s">
        <v>3101</v>
      </c>
      <c r="P2734"/>
    </row>
    <row r="2735" spans="15:16" hidden="1" x14ac:dyDescent="0.25">
      <c r="O2735" s="4" t="s">
        <v>3102</v>
      </c>
      <c r="P2735"/>
    </row>
    <row r="2736" spans="15:16" hidden="1" x14ac:dyDescent="0.25">
      <c r="O2736" s="4" t="s">
        <v>3103</v>
      </c>
      <c r="P2736"/>
    </row>
    <row r="2737" spans="15:16" hidden="1" x14ac:dyDescent="0.25">
      <c r="O2737" s="4" t="s">
        <v>3104</v>
      </c>
      <c r="P2737"/>
    </row>
    <row r="2738" spans="15:16" hidden="1" x14ac:dyDescent="0.25">
      <c r="O2738" s="4" t="s">
        <v>3105</v>
      </c>
      <c r="P2738"/>
    </row>
    <row r="2739" spans="15:16" hidden="1" x14ac:dyDescent="0.25">
      <c r="O2739" s="4" t="s">
        <v>3106</v>
      </c>
      <c r="P2739"/>
    </row>
    <row r="2740" spans="15:16" hidden="1" x14ac:dyDescent="0.25">
      <c r="O2740" s="4" t="s">
        <v>3107</v>
      </c>
      <c r="P2740"/>
    </row>
    <row r="2741" spans="15:16" hidden="1" x14ac:dyDescent="0.25">
      <c r="O2741" s="4" t="s">
        <v>549</v>
      </c>
      <c r="P2741"/>
    </row>
    <row r="2742" spans="15:16" hidden="1" x14ac:dyDescent="0.25">
      <c r="O2742" s="4" t="s">
        <v>551</v>
      </c>
      <c r="P2742"/>
    </row>
    <row r="2743" spans="15:16" hidden="1" x14ac:dyDescent="0.25">
      <c r="O2743" s="4" t="s">
        <v>3108</v>
      </c>
      <c r="P2743"/>
    </row>
    <row r="2744" spans="15:16" hidden="1" x14ac:dyDescent="0.25">
      <c r="O2744" s="4" t="s">
        <v>3109</v>
      </c>
      <c r="P2744"/>
    </row>
    <row r="2745" spans="15:16" hidden="1" x14ac:dyDescent="0.25">
      <c r="O2745" s="4" t="s">
        <v>553</v>
      </c>
      <c r="P2745"/>
    </row>
    <row r="2746" spans="15:16" hidden="1" x14ac:dyDescent="0.25">
      <c r="O2746" s="4" t="s">
        <v>3110</v>
      </c>
      <c r="P2746"/>
    </row>
    <row r="2747" spans="15:16" hidden="1" x14ac:dyDescent="0.25">
      <c r="O2747" s="4" t="s">
        <v>3111</v>
      </c>
      <c r="P2747"/>
    </row>
    <row r="2748" spans="15:16" hidden="1" x14ac:dyDescent="0.25">
      <c r="O2748" s="4" t="s">
        <v>3112</v>
      </c>
      <c r="P2748"/>
    </row>
    <row r="2749" spans="15:16" hidden="1" x14ac:dyDescent="0.25">
      <c r="O2749" s="4" t="s">
        <v>3113</v>
      </c>
      <c r="P2749"/>
    </row>
    <row r="2750" spans="15:16" hidden="1" x14ac:dyDescent="0.25">
      <c r="O2750" s="4" t="s">
        <v>3114</v>
      </c>
      <c r="P2750"/>
    </row>
    <row r="2751" spans="15:16" hidden="1" x14ac:dyDescent="0.25">
      <c r="O2751" s="4" t="s">
        <v>3115</v>
      </c>
      <c r="P2751"/>
    </row>
    <row r="2752" spans="15:16" hidden="1" x14ac:dyDescent="0.25">
      <c r="O2752" s="4" t="s">
        <v>3116</v>
      </c>
      <c r="P2752"/>
    </row>
    <row r="2753" spans="15:16" hidden="1" x14ac:dyDescent="0.25">
      <c r="O2753" s="4" t="s">
        <v>3117</v>
      </c>
      <c r="P2753"/>
    </row>
    <row r="2754" spans="15:16" hidden="1" x14ac:dyDescent="0.25">
      <c r="O2754" s="4" t="s">
        <v>3118</v>
      </c>
      <c r="P2754"/>
    </row>
    <row r="2755" spans="15:16" hidden="1" x14ac:dyDescent="0.25">
      <c r="O2755" s="4" t="s">
        <v>3119</v>
      </c>
      <c r="P2755"/>
    </row>
    <row r="2756" spans="15:16" hidden="1" x14ac:dyDescent="0.25">
      <c r="O2756" s="4" t="s">
        <v>3120</v>
      </c>
      <c r="P2756"/>
    </row>
    <row r="2757" spans="15:16" hidden="1" x14ac:dyDescent="0.25">
      <c r="O2757" s="4" t="s">
        <v>3121</v>
      </c>
      <c r="P2757"/>
    </row>
    <row r="2758" spans="15:16" hidden="1" x14ac:dyDescent="0.25">
      <c r="O2758" s="4" t="s">
        <v>3122</v>
      </c>
      <c r="P2758"/>
    </row>
    <row r="2759" spans="15:16" hidden="1" x14ac:dyDescent="0.25">
      <c r="O2759" s="4" t="s">
        <v>565</v>
      </c>
      <c r="P2759"/>
    </row>
    <row r="2760" spans="15:16" hidden="1" x14ac:dyDescent="0.25">
      <c r="O2760" s="4" t="s">
        <v>3123</v>
      </c>
      <c r="P2760"/>
    </row>
    <row r="2761" spans="15:16" hidden="1" x14ac:dyDescent="0.25">
      <c r="O2761" s="4" t="s">
        <v>567</v>
      </c>
      <c r="P2761"/>
    </row>
    <row r="2762" spans="15:16" hidden="1" x14ac:dyDescent="0.25">
      <c r="O2762" s="4" t="s">
        <v>3124</v>
      </c>
      <c r="P2762"/>
    </row>
    <row r="2763" spans="15:16" hidden="1" x14ac:dyDescent="0.25">
      <c r="O2763" s="4" t="s">
        <v>3125</v>
      </c>
      <c r="P2763"/>
    </row>
    <row r="2764" spans="15:16" hidden="1" x14ac:dyDescent="0.25">
      <c r="O2764" s="4" t="s">
        <v>569</v>
      </c>
      <c r="P2764"/>
    </row>
    <row r="2765" spans="15:16" hidden="1" x14ac:dyDescent="0.25">
      <c r="O2765" s="4" t="s">
        <v>3126</v>
      </c>
      <c r="P2765"/>
    </row>
    <row r="2766" spans="15:16" hidden="1" x14ac:dyDescent="0.25">
      <c r="O2766" s="4" t="s">
        <v>573</v>
      </c>
      <c r="P2766"/>
    </row>
    <row r="2767" spans="15:16" hidden="1" x14ac:dyDescent="0.25">
      <c r="O2767" s="4" t="s">
        <v>575</v>
      </c>
      <c r="P2767"/>
    </row>
    <row r="2768" spans="15:16" hidden="1" x14ac:dyDescent="0.25">
      <c r="O2768" s="4" t="s">
        <v>3127</v>
      </c>
      <c r="P2768"/>
    </row>
    <row r="2769" spans="15:16" hidden="1" x14ac:dyDescent="0.25">
      <c r="O2769" s="4" t="s">
        <v>3128</v>
      </c>
      <c r="P2769"/>
    </row>
    <row r="2770" spans="15:16" hidden="1" x14ac:dyDescent="0.25">
      <c r="O2770" s="4" t="s">
        <v>3129</v>
      </c>
      <c r="P2770"/>
    </row>
    <row r="2771" spans="15:16" hidden="1" x14ac:dyDescent="0.25">
      <c r="O2771" s="4" t="s">
        <v>3130</v>
      </c>
      <c r="P2771"/>
    </row>
    <row r="2772" spans="15:16" hidden="1" x14ac:dyDescent="0.25">
      <c r="O2772" s="4" t="s">
        <v>3131</v>
      </c>
      <c r="P2772"/>
    </row>
    <row r="2773" spans="15:16" hidden="1" x14ac:dyDescent="0.25">
      <c r="O2773" s="4" t="s">
        <v>3132</v>
      </c>
      <c r="P2773"/>
    </row>
    <row r="2774" spans="15:16" hidden="1" x14ac:dyDescent="0.25">
      <c r="O2774" s="4" t="s">
        <v>585</v>
      </c>
      <c r="P2774"/>
    </row>
    <row r="2775" spans="15:16" hidden="1" x14ac:dyDescent="0.25">
      <c r="O2775" s="4" t="s">
        <v>3133</v>
      </c>
      <c r="P2775"/>
    </row>
    <row r="2776" spans="15:16" hidden="1" x14ac:dyDescent="0.25">
      <c r="O2776" s="4" t="s">
        <v>587</v>
      </c>
      <c r="P2776"/>
    </row>
    <row r="2777" spans="15:16" hidden="1" x14ac:dyDescent="0.25">
      <c r="O2777" s="4" t="s">
        <v>3134</v>
      </c>
      <c r="P2777"/>
    </row>
    <row r="2778" spans="15:16" hidden="1" x14ac:dyDescent="0.25">
      <c r="O2778" s="4" t="s">
        <v>3135</v>
      </c>
      <c r="P2778"/>
    </row>
    <row r="2779" spans="15:16" hidden="1" x14ac:dyDescent="0.25">
      <c r="O2779" s="4" t="s">
        <v>3136</v>
      </c>
      <c r="P2779"/>
    </row>
    <row r="2780" spans="15:16" hidden="1" x14ac:dyDescent="0.25">
      <c r="O2780" s="4" t="s">
        <v>3137</v>
      </c>
      <c r="P2780"/>
    </row>
    <row r="2781" spans="15:16" hidden="1" x14ac:dyDescent="0.25">
      <c r="O2781" s="4" t="s">
        <v>3138</v>
      </c>
      <c r="P2781"/>
    </row>
    <row r="2782" spans="15:16" hidden="1" x14ac:dyDescent="0.25">
      <c r="O2782" s="4" t="s">
        <v>3139</v>
      </c>
      <c r="P2782"/>
    </row>
    <row r="2783" spans="15:16" hidden="1" x14ac:dyDescent="0.25">
      <c r="O2783" s="4" t="s">
        <v>3140</v>
      </c>
      <c r="P2783"/>
    </row>
    <row r="2784" spans="15:16" hidden="1" x14ac:dyDescent="0.25">
      <c r="O2784" s="4" t="s">
        <v>3141</v>
      </c>
      <c r="P2784"/>
    </row>
    <row r="2785" spans="15:16" hidden="1" x14ac:dyDescent="0.25">
      <c r="O2785" s="4" t="s">
        <v>3142</v>
      </c>
      <c r="P2785"/>
    </row>
    <row r="2786" spans="15:16" hidden="1" x14ac:dyDescent="0.25">
      <c r="O2786" s="4" t="s">
        <v>595</v>
      </c>
      <c r="P2786"/>
    </row>
    <row r="2787" spans="15:16" hidden="1" x14ac:dyDescent="0.25">
      <c r="O2787" s="4" t="s">
        <v>3143</v>
      </c>
      <c r="P2787"/>
    </row>
    <row r="2788" spans="15:16" hidden="1" x14ac:dyDescent="0.25">
      <c r="O2788" s="4" t="s">
        <v>3144</v>
      </c>
      <c r="P2788"/>
    </row>
    <row r="2789" spans="15:16" hidden="1" x14ac:dyDescent="0.25">
      <c r="O2789" s="4" t="s">
        <v>3145</v>
      </c>
      <c r="P2789"/>
    </row>
    <row r="2790" spans="15:16" hidden="1" x14ac:dyDescent="0.25">
      <c r="O2790" s="4" t="s">
        <v>3146</v>
      </c>
      <c r="P2790"/>
    </row>
    <row r="2791" spans="15:16" hidden="1" x14ac:dyDescent="0.25">
      <c r="O2791" s="4" t="s">
        <v>607</v>
      </c>
      <c r="P2791"/>
    </row>
    <row r="2792" spans="15:16" hidden="1" x14ac:dyDescent="0.25">
      <c r="O2792" s="4" t="s">
        <v>3147</v>
      </c>
      <c r="P2792"/>
    </row>
    <row r="2793" spans="15:16" hidden="1" x14ac:dyDescent="0.25">
      <c r="O2793" s="4" t="s">
        <v>3148</v>
      </c>
      <c r="P2793"/>
    </row>
    <row r="2794" spans="15:16" hidden="1" x14ac:dyDescent="0.25">
      <c r="O2794" s="4" t="s">
        <v>611</v>
      </c>
      <c r="P2794"/>
    </row>
    <row r="2795" spans="15:16" hidden="1" x14ac:dyDescent="0.25">
      <c r="O2795" s="4" t="s">
        <v>613</v>
      </c>
      <c r="P2795"/>
    </row>
    <row r="2796" spans="15:16" hidden="1" x14ac:dyDescent="0.25">
      <c r="O2796" s="4" t="s">
        <v>3149</v>
      </c>
      <c r="P2796"/>
    </row>
    <row r="2797" spans="15:16" hidden="1" x14ac:dyDescent="0.25">
      <c r="O2797" s="4" t="s">
        <v>3150</v>
      </c>
      <c r="P2797"/>
    </row>
    <row r="2798" spans="15:16" hidden="1" x14ac:dyDescent="0.25">
      <c r="O2798" s="4" t="s">
        <v>615</v>
      </c>
      <c r="P2798"/>
    </row>
    <row r="2799" spans="15:16" hidden="1" x14ac:dyDescent="0.25">
      <c r="O2799" s="4" t="s">
        <v>3151</v>
      </c>
      <c r="P2799"/>
    </row>
    <row r="2800" spans="15:16" hidden="1" x14ac:dyDescent="0.25">
      <c r="O2800" s="4" t="s">
        <v>3152</v>
      </c>
      <c r="P2800"/>
    </row>
    <row r="2801" spans="15:16" hidden="1" x14ac:dyDescent="0.25">
      <c r="O2801" s="4" t="s">
        <v>617</v>
      </c>
      <c r="P2801"/>
    </row>
    <row r="2802" spans="15:16" hidden="1" x14ac:dyDescent="0.25">
      <c r="O2802" s="4" t="s">
        <v>619</v>
      </c>
      <c r="P2802"/>
    </row>
    <row r="2803" spans="15:16" hidden="1" x14ac:dyDescent="0.25">
      <c r="O2803" s="4" t="s">
        <v>3153</v>
      </c>
      <c r="P2803"/>
    </row>
    <row r="2804" spans="15:16" hidden="1" x14ac:dyDescent="0.25">
      <c r="O2804" s="4" t="s">
        <v>3154</v>
      </c>
      <c r="P2804"/>
    </row>
    <row r="2805" spans="15:16" hidden="1" x14ac:dyDescent="0.25">
      <c r="O2805" s="4" t="s">
        <v>3155</v>
      </c>
      <c r="P2805"/>
    </row>
    <row r="2806" spans="15:16" hidden="1" x14ac:dyDescent="0.25">
      <c r="O2806" s="4" t="s">
        <v>3156</v>
      </c>
      <c r="P2806"/>
    </row>
    <row r="2807" spans="15:16" hidden="1" x14ac:dyDescent="0.25">
      <c r="O2807" s="4" t="s">
        <v>3157</v>
      </c>
      <c r="P2807"/>
    </row>
    <row r="2808" spans="15:16" hidden="1" x14ac:dyDescent="0.25">
      <c r="O2808" s="4" t="s">
        <v>3158</v>
      </c>
      <c r="P2808"/>
    </row>
    <row r="2809" spans="15:16" hidden="1" x14ac:dyDescent="0.25">
      <c r="O2809" s="4" t="s">
        <v>3159</v>
      </c>
      <c r="P2809"/>
    </row>
    <row r="2810" spans="15:16" hidden="1" x14ac:dyDescent="0.25">
      <c r="O2810" s="4" t="s">
        <v>3160</v>
      </c>
      <c r="P2810"/>
    </row>
    <row r="2811" spans="15:16" hidden="1" x14ac:dyDescent="0.25">
      <c r="O2811" s="4" t="s">
        <v>3161</v>
      </c>
      <c r="P2811"/>
    </row>
    <row r="2812" spans="15:16" hidden="1" x14ac:dyDescent="0.25">
      <c r="O2812" s="4" t="s">
        <v>623</v>
      </c>
      <c r="P2812"/>
    </row>
    <row r="2813" spans="15:16" hidden="1" x14ac:dyDescent="0.25">
      <c r="O2813" s="4" t="s">
        <v>3162</v>
      </c>
      <c r="P2813"/>
    </row>
    <row r="2814" spans="15:16" hidden="1" x14ac:dyDescent="0.25">
      <c r="O2814" s="4" t="s">
        <v>625</v>
      </c>
      <c r="P2814"/>
    </row>
    <row r="2815" spans="15:16" hidden="1" x14ac:dyDescent="0.25">
      <c r="O2815" s="4" t="s">
        <v>3163</v>
      </c>
      <c r="P2815"/>
    </row>
    <row r="2816" spans="15:16" hidden="1" x14ac:dyDescent="0.25">
      <c r="O2816" s="4" t="s">
        <v>3164</v>
      </c>
      <c r="P2816"/>
    </row>
    <row r="2817" spans="15:16" hidden="1" x14ac:dyDescent="0.25">
      <c r="O2817" s="4" t="s">
        <v>3165</v>
      </c>
      <c r="P2817"/>
    </row>
    <row r="2818" spans="15:16" hidden="1" x14ac:dyDescent="0.25">
      <c r="O2818" s="4" t="s">
        <v>3166</v>
      </c>
      <c r="P2818"/>
    </row>
    <row r="2819" spans="15:16" hidden="1" x14ac:dyDescent="0.25">
      <c r="O2819" s="4" t="s">
        <v>3167</v>
      </c>
      <c r="P2819"/>
    </row>
    <row r="2820" spans="15:16" hidden="1" x14ac:dyDescent="0.25">
      <c r="O2820" s="4" t="s">
        <v>3168</v>
      </c>
      <c r="P2820"/>
    </row>
    <row r="2821" spans="15:16" hidden="1" x14ac:dyDescent="0.25">
      <c r="O2821" s="4" t="s">
        <v>3169</v>
      </c>
      <c r="P2821"/>
    </row>
    <row r="2822" spans="15:16" hidden="1" x14ac:dyDescent="0.25">
      <c r="O2822" s="4" t="s">
        <v>3170</v>
      </c>
      <c r="P2822"/>
    </row>
    <row r="2823" spans="15:16" hidden="1" x14ac:dyDescent="0.25">
      <c r="O2823" s="4" t="s">
        <v>3171</v>
      </c>
      <c r="P2823"/>
    </row>
    <row r="2824" spans="15:16" hidden="1" x14ac:dyDescent="0.25">
      <c r="O2824" s="4" t="s">
        <v>3172</v>
      </c>
      <c r="P2824"/>
    </row>
    <row r="2825" spans="15:16" hidden="1" x14ac:dyDescent="0.25">
      <c r="O2825" s="4" t="s">
        <v>3173</v>
      </c>
      <c r="P2825"/>
    </row>
    <row r="2826" spans="15:16" hidden="1" x14ac:dyDescent="0.25">
      <c r="O2826" s="4" t="s">
        <v>629</v>
      </c>
      <c r="P2826"/>
    </row>
    <row r="2827" spans="15:16" hidden="1" x14ac:dyDescent="0.25">
      <c r="O2827" s="4" t="s">
        <v>3174</v>
      </c>
      <c r="P2827"/>
    </row>
    <row r="2828" spans="15:16" hidden="1" x14ac:dyDescent="0.25">
      <c r="O2828" s="4" t="s">
        <v>631</v>
      </c>
      <c r="P2828"/>
    </row>
    <row r="2829" spans="15:16" hidden="1" x14ac:dyDescent="0.25">
      <c r="O2829" s="4" t="s">
        <v>3175</v>
      </c>
      <c r="P2829"/>
    </row>
    <row r="2830" spans="15:16" hidden="1" x14ac:dyDescent="0.25">
      <c r="O2830" s="4" t="s">
        <v>3176</v>
      </c>
      <c r="P2830"/>
    </row>
    <row r="2831" spans="15:16" hidden="1" x14ac:dyDescent="0.25">
      <c r="O2831" s="4" t="s">
        <v>3177</v>
      </c>
      <c r="P2831"/>
    </row>
    <row r="2832" spans="15:16" hidden="1" x14ac:dyDescent="0.25">
      <c r="O2832" s="4" t="s">
        <v>3178</v>
      </c>
      <c r="P2832"/>
    </row>
    <row r="2833" spans="15:16" hidden="1" x14ac:dyDescent="0.25">
      <c r="O2833" s="4" t="s">
        <v>3179</v>
      </c>
      <c r="P2833"/>
    </row>
    <row r="2834" spans="15:16" hidden="1" x14ac:dyDescent="0.25">
      <c r="O2834" s="4" t="s">
        <v>3180</v>
      </c>
      <c r="P2834"/>
    </row>
    <row r="2835" spans="15:16" hidden="1" x14ac:dyDescent="0.25">
      <c r="O2835" s="4" t="s">
        <v>635</v>
      </c>
      <c r="P2835"/>
    </row>
    <row r="2836" spans="15:16" hidden="1" x14ac:dyDescent="0.25">
      <c r="O2836" s="4" t="s">
        <v>639</v>
      </c>
      <c r="P2836"/>
    </row>
    <row r="2837" spans="15:16" hidden="1" x14ac:dyDescent="0.25">
      <c r="O2837" s="4" t="s">
        <v>3181</v>
      </c>
      <c r="P2837"/>
    </row>
    <row r="2838" spans="15:16" hidden="1" x14ac:dyDescent="0.25">
      <c r="O2838" s="4" t="s">
        <v>3182</v>
      </c>
      <c r="P2838"/>
    </row>
    <row r="2839" spans="15:16" hidden="1" x14ac:dyDescent="0.25">
      <c r="O2839" s="4" t="s">
        <v>645</v>
      </c>
      <c r="P2839"/>
    </row>
    <row r="2840" spans="15:16" hidden="1" x14ac:dyDescent="0.25">
      <c r="O2840" s="4" t="s">
        <v>649</v>
      </c>
      <c r="P2840"/>
    </row>
    <row r="2841" spans="15:16" hidden="1" x14ac:dyDescent="0.25">
      <c r="O2841" s="4" t="s">
        <v>3183</v>
      </c>
      <c r="P2841"/>
    </row>
    <row r="2842" spans="15:16" hidden="1" x14ac:dyDescent="0.25">
      <c r="O2842" s="4" t="s">
        <v>3184</v>
      </c>
      <c r="P2842"/>
    </row>
    <row r="2843" spans="15:16" hidden="1" x14ac:dyDescent="0.25">
      <c r="O2843" s="4" t="s">
        <v>3185</v>
      </c>
      <c r="P2843"/>
    </row>
    <row r="2844" spans="15:16" hidden="1" x14ac:dyDescent="0.25">
      <c r="O2844" s="4" t="s">
        <v>3186</v>
      </c>
      <c r="P2844"/>
    </row>
    <row r="2845" spans="15:16" hidden="1" x14ac:dyDescent="0.25">
      <c r="O2845" s="4" t="s">
        <v>3187</v>
      </c>
      <c r="P2845"/>
    </row>
    <row r="2846" spans="15:16" hidden="1" x14ac:dyDescent="0.25">
      <c r="O2846" s="4" t="s">
        <v>3188</v>
      </c>
      <c r="P2846"/>
    </row>
    <row r="2847" spans="15:16" hidden="1" x14ac:dyDescent="0.25">
      <c r="O2847" s="4" t="s">
        <v>671</v>
      </c>
      <c r="P2847"/>
    </row>
    <row r="2848" spans="15:16" hidden="1" x14ac:dyDescent="0.25">
      <c r="O2848" s="4" t="s">
        <v>3189</v>
      </c>
      <c r="P2848"/>
    </row>
    <row r="2849" spans="15:16" hidden="1" x14ac:dyDescent="0.25">
      <c r="O2849" s="4" t="s">
        <v>3190</v>
      </c>
      <c r="P2849"/>
    </row>
    <row r="2850" spans="15:16" hidden="1" x14ac:dyDescent="0.25">
      <c r="O2850" s="4" t="s">
        <v>3191</v>
      </c>
      <c r="P2850"/>
    </row>
    <row r="2851" spans="15:16" hidden="1" x14ac:dyDescent="0.25">
      <c r="O2851" s="4" t="s">
        <v>3192</v>
      </c>
      <c r="P2851"/>
    </row>
    <row r="2852" spans="15:16" hidden="1" x14ac:dyDescent="0.25">
      <c r="O2852" s="4" t="s">
        <v>679</v>
      </c>
      <c r="P2852"/>
    </row>
    <row r="2853" spans="15:16" hidden="1" x14ac:dyDescent="0.25">
      <c r="O2853" s="4" t="s">
        <v>3193</v>
      </c>
      <c r="P2853"/>
    </row>
    <row r="2854" spans="15:16" hidden="1" x14ac:dyDescent="0.25">
      <c r="O2854" s="4" t="s">
        <v>3194</v>
      </c>
      <c r="P2854"/>
    </row>
    <row r="2855" spans="15:16" hidden="1" x14ac:dyDescent="0.25">
      <c r="O2855" s="4" t="s">
        <v>3195</v>
      </c>
      <c r="P2855"/>
    </row>
    <row r="2856" spans="15:16" hidden="1" x14ac:dyDescent="0.25">
      <c r="O2856" s="4" t="s">
        <v>3196</v>
      </c>
      <c r="P2856"/>
    </row>
    <row r="2857" spans="15:16" hidden="1" x14ac:dyDescent="0.25">
      <c r="O2857" s="4" t="s">
        <v>3197</v>
      </c>
      <c r="P2857"/>
    </row>
    <row r="2858" spans="15:16" hidden="1" x14ac:dyDescent="0.25">
      <c r="O2858" s="4" t="s">
        <v>3198</v>
      </c>
      <c r="P2858"/>
    </row>
    <row r="2859" spans="15:16" hidden="1" x14ac:dyDescent="0.25">
      <c r="O2859" s="4" t="s">
        <v>3199</v>
      </c>
      <c r="P2859"/>
    </row>
    <row r="2860" spans="15:16" hidden="1" x14ac:dyDescent="0.25">
      <c r="O2860" s="4" t="s">
        <v>3200</v>
      </c>
      <c r="P2860"/>
    </row>
    <row r="2861" spans="15:16" hidden="1" x14ac:dyDescent="0.25">
      <c r="O2861" s="4" t="s">
        <v>3201</v>
      </c>
      <c r="P2861"/>
    </row>
    <row r="2862" spans="15:16" hidden="1" x14ac:dyDescent="0.25">
      <c r="O2862" s="4" t="s">
        <v>3202</v>
      </c>
      <c r="P2862"/>
    </row>
    <row r="2863" spans="15:16" hidden="1" x14ac:dyDescent="0.25">
      <c r="O2863" s="4" t="s">
        <v>687</v>
      </c>
      <c r="P2863"/>
    </row>
    <row r="2864" spans="15:16" hidden="1" x14ac:dyDescent="0.25">
      <c r="O2864" s="4" t="s">
        <v>3203</v>
      </c>
      <c r="P2864"/>
    </row>
    <row r="2865" spans="15:16" hidden="1" x14ac:dyDescent="0.25">
      <c r="O2865" s="4" t="s">
        <v>3204</v>
      </c>
      <c r="P2865"/>
    </row>
    <row r="2866" spans="15:16" hidden="1" x14ac:dyDescent="0.25">
      <c r="O2866" s="4" t="s">
        <v>3205</v>
      </c>
      <c r="P2866"/>
    </row>
    <row r="2867" spans="15:16" hidden="1" x14ac:dyDescent="0.25">
      <c r="O2867" s="4" t="s">
        <v>689</v>
      </c>
      <c r="P2867"/>
    </row>
    <row r="2868" spans="15:16" hidden="1" x14ac:dyDescent="0.25">
      <c r="O2868" s="4" t="s">
        <v>691</v>
      </c>
      <c r="P2868"/>
    </row>
    <row r="2869" spans="15:16" hidden="1" x14ac:dyDescent="0.25">
      <c r="O2869" s="4" t="s">
        <v>3206</v>
      </c>
      <c r="P2869"/>
    </row>
    <row r="2870" spans="15:16" hidden="1" x14ac:dyDescent="0.25">
      <c r="O2870" s="4" t="s">
        <v>3207</v>
      </c>
      <c r="P2870"/>
    </row>
    <row r="2871" spans="15:16" hidden="1" x14ac:dyDescent="0.25">
      <c r="O2871" s="4" t="s">
        <v>3208</v>
      </c>
      <c r="P2871"/>
    </row>
    <row r="2872" spans="15:16" hidden="1" x14ac:dyDescent="0.25">
      <c r="O2872" s="4" t="s">
        <v>693</v>
      </c>
      <c r="P2872"/>
    </row>
    <row r="2873" spans="15:16" hidden="1" x14ac:dyDescent="0.25">
      <c r="O2873" s="4" t="s">
        <v>3209</v>
      </c>
      <c r="P2873"/>
    </row>
    <row r="2874" spans="15:16" hidden="1" x14ac:dyDescent="0.25">
      <c r="O2874" s="4" t="s">
        <v>3210</v>
      </c>
      <c r="P2874"/>
    </row>
    <row r="2875" spans="15:16" hidden="1" x14ac:dyDescent="0.25">
      <c r="O2875" s="4" t="s">
        <v>3211</v>
      </c>
      <c r="P2875"/>
    </row>
    <row r="2876" spans="15:16" hidden="1" x14ac:dyDescent="0.25">
      <c r="O2876" s="4" t="s">
        <v>3212</v>
      </c>
      <c r="P2876"/>
    </row>
    <row r="2877" spans="15:16" hidden="1" x14ac:dyDescent="0.25">
      <c r="O2877" s="4" t="s">
        <v>3213</v>
      </c>
      <c r="P2877"/>
    </row>
    <row r="2878" spans="15:16" hidden="1" x14ac:dyDescent="0.25">
      <c r="O2878" s="4" t="s">
        <v>3214</v>
      </c>
      <c r="P2878"/>
    </row>
    <row r="2879" spans="15:16" hidden="1" x14ac:dyDescent="0.25">
      <c r="O2879" s="4" t="s">
        <v>695</v>
      </c>
      <c r="P2879"/>
    </row>
    <row r="2880" spans="15:16" hidden="1" x14ac:dyDescent="0.25">
      <c r="O2880" s="4" t="s">
        <v>697</v>
      </c>
      <c r="P2880"/>
    </row>
    <row r="2881" spans="15:16" hidden="1" x14ac:dyDescent="0.25">
      <c r="O2881" s="4" t="s">
        <v>3215</v>
      </c>
      <c r="P2881"/>
    </row>
    <row r="2882" spans="15:16" hidden="1" x14ac:dyDescent="0.25">
      <c r="O2882" s="4" t="s">
        <v>3216</v>
      </c>
      <c r="P2882"/>
    </row>
    <row r="2883" spans="15:16" hidden="1" x14ac:dyDescent="0.25">
      <c r="O2883" s="4" t="s">
        <v>3217</v>
      </c>
      <c r="P2883"/>
    </row>
    <row r="2884" spans="15:16" hidden="1" x14ac:dyDescent="0.25">
      <c r="O2884" s="4" t="s">
        <v>3218</v>
      </c>
      <c r="P2884"/>
    </row>
    <row r="2885" spans="15:16" hidden="1" x14ac:dyDescent="0.25">
      <c r="O2885" s="4" t="s">
        <v>3219</v>
      </c>
      <c r="P2885"/>
    </row>
    <row r="2886" spans="15:16" hidden="1" x14ac:dyDescent="0.25">
      <c r="O2886" s="4" t="s">
        <v>699</v>
      </c>
      <c r="P2886"/>
    </row>
    <row r="2887" spans="15:16" hidden="1" x14ac:dyDescent="0.25">
      <c r="O2887" s="4" t="s">
        <v>3220</v>
      </c>
      <c r="P2887"/>
    </row>
    <row r="2888" spans="15:16" hidden="1" x14ac:dyDescent="0.25">
      <c r="O2888" s="4" t="s">
        <v>3221</v>
      </c>
      <c r="P2888"/>
    </row>
    <row r="2889" spans="15:16" hidden="1" x14ac:dyDescent="0.25">
      <c r="O2889" s="4" t="s">
        <v>3222</v>
      </c>
      <c r="P2889"/>
    </row>
    <row r="2890" spans="15:16" hidden="1" x14ac:dyDescent="0.25">
      <c r="O2890" s="4" t="s">
        <v>3223</v>
      </c>
      <c r="P2890"/>
    </row>
    <row r="2891" spans="15:16" hidden="1" x14ac:dyDescent="0.25">
      <c r="O2891" s="4" t="s">
        <v>3224</v>
      </c>
      <c r="P2891"/>
    </row>
    <row r="2892" spans="15:16" hidden="1" x14ac:dyDescent="0.25">
      <c r="O2892" s="4" t="s">
        <v>3225</v>
      </c>
      <c r="P2892"/>
    </row>
    <row r="2893" spans="15:16" hidden="1" x14ac:dyDescent="0.25">
      <c r="O2893" s="4" t="s">
        <v>3226</v>
      </c>
      <c r="P2893"/>
    </row>
    <row r="2894" spans="15:16" hidden="1" x14ac:dyDescent="0.25">
      <c r="O2894" s="4" t="s">
        <v>3227</v>
      </c>
      <c r="P2894"/>
    </row>
    <row r="2895" spans="15:16" hidden="1" x14ac:dyDescent="0.25">
      <c r="O2895" s="4" t="s">
        <v>3228</v>
      </c>
      <c r="P2895"/>
    </row>
    <row r="2896" spans="15:16" hidden="1" x14ac:dyDescent="0.25">
      <c r="O2896" s="4" t="s">
        <v>3229</v>
      </c>
      <c r="P2896"/>
    </row>
    <row r="2897" spans="15:16" hidden="1" x14ac:dyDescent="0.25">
      <c r="O2897" s="4" t="s">
        <v>3230</v>
      </c>
      <c r="P2897"/>
    </row>
    <row r="2898" spans="15:16" hidden="1" x14ac:dyDescent="0.25">
      <c r="O2898" s="4" t="s">
        <v>3231</v>
      </c>
      <c r="P2898"/>
    </row>
    <row r="2899" spans="15:16" hidden="1" x14ac:dyDescent="0.25">
      <c r="O2899" s="4" t="s">
        <v>3232</v>
      </c>
      <c r="P2899"/>
    </row>
    <row r="2900" spans="15:16" hidden="1" x14ac:dyDescent="0.25">
      <c r="O2900" s="4" t="s">
        <v>703</v>
      </c>
      <c r="P2900"/>
    </row>
    <row r="2901" spans="15:16" hidden="1" x14ac:dyDescent="0.25">
      <c r="O2901" s="4" t="s">
        <v>3233</v>
      </c>
      <c r="P2901"/>
    </row>
    <row r="2902" spans="15:16" hidden="1" x14ac:dyDescent="0.25">
      <c r="O2902" s="4" t="s">
        <v>3234</v>
      </c>
      <c r="P2902"/>
    </row>
    <row r="2903" spans="15:16" hidden="1" x14ac:dyDescent="0.25">
      <c r="O2903" s="4" t="s">
        <v>3235</v>
      </c>
      <c r="P2903"/>
    </row>
    <row r="2904" spans="15:16" hidden="1" x14ac:dyDescent="0.25">
      <c r="O2904" s="4" t="s">
        <v>3236</v>
      </c>
      <c r="P2904"/>
    </row>
    <row r="2905" spans="15:16" hidden="1" x14ac:dyDescent="0.25">
      <c r="O2905" s="4" t="s">
        <v>3237</v>
      </c>
      <c r="P2905"/>
    </row>
    <row r="2906" spans="15:16" hidden="1" x14ac:dyDescent="0.25">
      <c r="O2906" s="4" t="s">
        <v>3238</v>
      </c>
      <c r="P2906"/>
    </row>
    <row r="2907" spans="15:16" hidden="1" x14ac:dyDescent="0.25">
      <c r="O2907" s="4" t="s">
        <v>3239</v>
      </c>
      <c r="P2907"/>
    </row>
    <row r="2908" spans="15:16" hidden="1" x14ac:dyDescent="0.25">
      <c r="O2908" s="4" t="s">
        <v>3240</v>
      </c>
      <c r="P2908"/>
    </row>
    <row r="2909" spans="15:16" hidden="1" x14ac:dyDescent="0.25">
      <c r="O2909" s="4" t="s">
        <v>3241</v>
      </c>
      <c r="P2909"/>
    </row>
    <row r="2910" spans="15:16" hidden="1" x14ac:dyDescent="0.25">
      <c r="O2910" s="4" t="s">
        <v>3242</v>
      </c>
      <c r="P2910"/>
    </row>
    <row r="2911" spans="15:16" hidden="1" x14ac:dyDescent="0.25">
      <c r="O2911" s="4" t="s">
        <v>3243</v>
      </c>
      <c r="P2911"/>
    </row>
    <row r="2912" spans="15:16" hidden="1" x14ac:dyDescent="0.25">
      <c r="O2912" s="4" t="s">
        <v>3244</v>
      </c>
      <c r="P2912"/>
    </row>
    <row r="2913" spans="15:16" hidden="1" x14ac:dyDescent="0.25">
      <c r="O2913" s="4" t="s">
        <v>3245</v>
      </c>
      <c r="P2913"/>
    </row>
    <row r="2914" spans="15:16" hidden="1" x14ac:dyDescent="0.25">
      <c r="O2914" s="4" t="s">
        <v>3246</v>
      </c>
      <c r="P2914"/>
    </row>
    <row r="2915" spans="15:16" hidden="1" x14ac:dyDescent="0.25">
      <c r="O2915" s="4" t="s">
        <v>3247</v>
      </c>
      <c r="P2915"/>
    </row>
    <row r="2916" spans="15:16" hidden="1" x14ac:dyDescent="0.25">
      <c r="O2916" s="4" t="s">
        <v>3248</v>
      </c>
      <c r="P2916"/>
    </row>
    <row r="2917" spans="15:16" hidden="1" x14ac:dyDescent="0.25">
      <c r="O2917" s="4" t="s">
        <v>705</v>
      </c>
      <c r="P2917"/>
    </row>
    <row r="2918" spans="15:16" hidden="1" x14ac:dyDescent="0.25">
      <c r="O2918" s="4" t="s">
        <v>3249</v>
      </c>
      <c r="P2918"/>
    </row>
    <row r="2919" spans="15:16" hidden="1" x14ac:dyDescent="0.25">
      <c r="O2919" s="4" t="s">
        <v>3250</v>
      </c>
      <c r="P2919"/>
    </row>
    <row r="2920" spans="15:16" hidden="1" x14ac:dyDescent="0.25">
      <c r="O2920" s="4" t="s">
        <v>3251</v>
      </c>
      <c r="P2920"/>
    </row>
    <row r="2921" spans="15:16" hidden="1" x14ac:dyDescent="0.25">
      <c r="O2921" s="4" t="s">
        <v>3252</v>
      </c>
      <c r="P2921"/>
    </row>
    <row r="2922" spans="15:16" hidden="1" x14ac:dyDescent="0.25">
      <c r="O2922" s="4" t="s">
        <v>3253</v>
      </c>
      <c r="P2922"/>
    </row>
    <row r="2923" spans="15:16" hidden="1" x14ac:dyDescent="0.25">
      <c r="O2923" s="4" t="s">
        <v>3254</v>
      </c>
      <c r="P2923"/>
    </row>
    <row r="2924" spans="15:16" hidden="1" x14ac:dyDescent="0.25">
      <c r="O2924" s="4" t="s">
        <v>3255</v>
      </c>
      <c r="P2924"/>
    </row>
    <row r="2925" spans="15:16" hidden="1" x14ac:dyDescent="0.25">
      <c r="O2925" s="4" t="s">
        <v>3256</v>
      </c>
      <c r="P2925"/>
    </row>
    <row r="2926" spans="15:16" hidden="1" x14ac:dyDescent="0.25">
      <c r="O2926" s="4" t="s">
        <v>3257</v>
      </c>
      <c r="P2926"/>
    </row>
    <row r="2927" spans="15:16" hidden="1" x14ac:dyDescent="0.25">
      <c r="O2927" s="4" t="s">
        <v>3258</v>
      </c>
      <c r="P2927"/>
    </row>
    <row r="2928" spans="15:16" hidden="1" x14ac:dyDescent="0.25">
      <c r="O2928" s="4" t="s">
        <v>3259</v>
      </c>
      <c r="P2928"/>
    </row>
    <row r="2929" spans="15:16" hidden="1" x14ac:dyDescent="0.25">
      <c r="O2929" s="4" t="s">
        <v>3260</v>
      </c>
      <c r="P2929"/>
    </row>
    <row r="2930" spans="15:16" hidden="1" x14ac:dyDescent="0.25">
      <c r="O2930" s="4" t="s">
        <v>3261</v>
      </c>
      <c r="P2930"/>
    </row>
    <row r="2931" spans="15:16" hidden="1" x14ac:dyDescent="0.25">
      <c r="O2931" s="4" t="s">
        <v>3262</v>
      </c>
      <c r="P2931"/>
    </row>
    <row r="2932" spans="15:16" hidden="1" x14ac:dyDescent="0.25">
      <c r="O2932" s="4" t="s">
        <v>3263</v>
      </c>
      <c r="P2932"/>
    </row>
    <row r="2933" spans="15:16" hidden="1" x14ac:dyDescent="0.25">
      <c r="O2933" s="4" t="s">
        <v>3264</v>
      </c>
      <c r="P2933"/>
    </row>
    <row r="2934" spans="15:16" hidden="1" x14ac:dyDescent="0.25">
      <c r="O2934" s="4" t="s">
        <v>3265</v>
      </c>
      <c r="P2934"/>
    </row>
    <row r="2935" spans="15:16" hidden="1" x14ac:dyDescent="0.25">
      <c r="O2935" s="4" t="s">
        <v>3266</v>
      </c>
      <c r="P2935"/>
    </row>
    <row r="2936" spans="15:16" hidden="1" x14ac:dyDescent="0.25">
      <c r="O2936" s="4" t="s">
        <v>3267</v>
      </c>
      <c r="P2936"/>
    </row>
    <row r="2937" spans="15:16" hidden="1" x14ac:dyDescent="0.25">
      <c r="O2937" s="4" t="s">
        <v>719</v>
      </c>
      <c r="P2937"/>
    </row>
    <row r="2938" spans="15:16" hidden="1" x14ac:dyDescent="0.25">
      <c r="O2938" s="4" t="s">
        <v>3268</v>
      </c>
      <c r="P2938"/>
    </row>
    <row r="2939" spans="15:16" hidden="1" x14ac:dyDescent="0.25">
      <c r="O2939" s="4" t="s">
        <v>3269</v>
      </c>
      <c r="P2939"/>
    </row>
    <row r="2940" spans="15:16" hidden="1" x14ac:dyDescent="0.25">
      <c r="O2940" s="4" t="s">
        <v>3270</v>
      </c>
      <c r="P2940"/>
    </row>
    <row r="2941" spans="15:16" hidden="1" x14ac:dyDescent="0.25">
      <c r="O2941" s="4" t="s">
        <v>3271</v>
      </c>
      <c r="P2941"/>
    </row>
    <row r="2942" spans="15:16" hidden="1" x14ac:dyDescent="0.25">
      <c r="O2942" s="4" t="s">
        <v>3272</v>
      </c>
      <c r="P2942"/>
    </row>
    <row r="2943" spans="15:16" hidden="1" x14ac:dyDescent="0.25">
      <c r="O2943" s="4" t="s">
        <v>3273</v>
      </c>
      <c r="P2943"/>
    </row>
    <row r="2944" spans="15:16" hidden="1" x14ac:dyDescent="0.25">
      <c r="O2944" s="4" t="s">
        <v>3274</v>
      </c>
      <c r="P2944"/>
    </row>
    <row r="2945" spans="15:16" hidden="1" x14ac:dyDescent="0.25">
      <c r="O2945" s="4" t="s">
        <v>3275</v>
      </c>
      <c r="P2945"/>
    </row>
    <row r="2946" spans="15:16" hidden="1" x14ac:dyDescent="0.25">
      <c r="O2946" s="4" t="s">
        <v>3276</v>
      </c>
      <c r="P2946"/>
    </row>
    <row r="2947" spans="15:16" hidden="1" x14ac:dyDescent="0.25">
      <c r="O2947" s="4" t="s">
        <v>3277</v>
      </c>
      <c r="P2947"/>
    </row>
    <row r="2948" spans="15:16" hidden="1" x14ac:dyDescent="0.25">
      <c r="O2948" s="4" t="s">
        <v>721</v>
      </c>
      <c r="P2948"/>
    </row>
    <row r="2949" spans="15:16" hidden="1" x14ac:dyDescent="0.25">
      <c r="O2949" s="4" t="s">
        <v>3278</v>
      </c>
      <c r="P2949"/>
    </row>
    <row r="2950" spans="15:16" hidden="1" x14ac:dyDescent="0.25">
      <c r="O2950" s="4" t="s">
        <v>3279</v>
      </c>
      <c r="P2950"/>
    </row>
    <row r="2951" spans="15:16" hidden="1" x14ac:dyDescent="0.25">
      <c r="O2951" s="4" t="s">
        <v>3280</v>
      </c>
      <c r="P2951"/>
    </row>
    <row r="2952" spans="15:16" hidden="1" x14ac:dyDescent="0.25">
      <c r="O2952" s="4" t="s">
        <v>3281</v>
      </c>
      <c r="P2952"/>
    </row>
    <row r="2953" spans="15:16" hidden="1" x14ac:dyDescent="0.25">
      <c r="O2953" s="4" t="s">
        <v>3282</v>
      </c>
      <c r="P2953"/>
    </row>
    <row r="2954" spans="15:16" hidden="1" x14ac:dyDescent="0.25">
      <c r="O2954" s="4" t="s">
        <v>3283</v>
      </c>
      <c r="P2954"/>
    </row>
    <row r="2955" spans="15:16" hidden="1" x14ac:dyDescent="0.25">
      <c r="O2955" s="4" t="s">
        <v>723</v>
      </c>
      <c r="P2955"/>
    </row>
    <row r="2956" spans="15:16" hidden="1" x14ac:dyDescent="0.25">
      <c r="O2956" s="4" t="s">
        <v>725</v>
      </c>
      <c r="P2956"/>
    </row>
    <row r="2957" spans="15:16" hidden="1" x14ac:dyDescent="0.25">
      <c r="O2957" s="4" t="s">
        <v>727</v>
      </c>
      <c r="P2957"/>
    </row>
    <row r="2958" spans="15:16" hidden="1" x14ac:dyDescent="0.25">
      <c r="O2958" s="4" t="s">
        <v>3284</v>
      </c>
      <c r="P2958"/>
    </row>
    <row r="2959" spans="15:16" hidden="1" x14ac:dyDescent="0.25">
      <c r="O2959" s="4" t="s">
        <v>729</v>
      </c>
      <c r="P2959"/>
    </row>
    <row r="2960" spans="15:16" hidden="1" x14ac:dyDescent="0.25">
      <c r="O2960" s="4" t="s">
        <v>3285</v>
      </c>
      <c r="P2960"/>
    </row>
    <row r="2961" spans="15:16" hidden="1" x14ac:dyDescent="0.25">
      <c r="O2961" s="4" t="s">
        <v>731</v>
      </c>
      <c r="P2961"/>
    </row>
    <row r="2962" spans="15:16" hidden="1" x14ac:dyDescent="0.25">
      <c r="O2962" s="4" t="s">
        <v>733</v>
      </c>
      <c r="P2962"/>
    </row>
    <row r="2963" spans="15:16" hidden="1" x14ac:dyDescent="0.25">
      <c r="O2963" s="4" t="s">
        <v>3286</v>
      </c>
      <c r="P2963"/>
    </row>
    <row r="2964" spans="15:16" hidden="1" x14ac:dyDescent="0.25">
      <c r="O2964" s="4" t="s">
        <v>735</v>
      </c>
      <c r="P2964"/>
    </row>
    <row r="2965" spans="15:16" hidden="1" x14ac:dyDescent="0.25">
      <c r="O2965" s="4" t="s">
        <v>3287</v>
      </c>
      <c r="P2965"/>
    </row>
    <row r="2966" spans="15:16" hidden="1" x14ac:dyDescent="0.25">
      <c r="O2966" s="4" t="s">
        <v>3288</v>
      </c>
      <c r="P2966"/>
    </row>
    <row r="2967" spans="15:16" hidden="1" x14ac:dyDescent="0.25">
      <c r="O2967" s="4" t="s">
        <v>3289</v>
      </c>
      <c r="P2967"/>
    </row>
    <row r="2968" spans="15:16" hidden="1" x14ac:dyDescent="0.25">
      <c r="O2968" s="4" t="s">
        <v>3290</v>
      </c>
      <c r="P2968"/>
    </row>
    <row r="2969" spans="15:16" hidden="1" x14ac:dyDescent="0.25">
      <c r="O2969" s="4" t="s">
        <v>739</v>
      </c>
      <c r="P2969"/>
    </row>
    <row r="2970" spans="15:16" hidden="1" x14ac:dyDescent="0.25">
      <c r="O2970" s="4" t="s">
        <v>741</v>
      </c>
      <c r="P2970"/>
    </row>
    <row r="2971" spans="15:16" hidden="1" x14ac:dyDescent="0.25">
      <c r="O2971" s="4" t="s">
        <v>743</v>
      </c>
      <c r="P2971"/>
    </row>
    <row r="2972" spans="15:16" hidden="1" x14ac:dyDescent="0.25">
      <c r="O2972" s="4" t="s">
        <v>3291</v>
      </c>
      <c r="P2972"/>
    </row>
    <row r="2973" spans="15:16" hidden="1" x14ac:dyDescent="0.25">
      <c r="O2973" s="4" t="s">
        <v>745</v>
      </c>
      <c r="P2973"/>
    </row>
    <row r="2974" spans="15:16" hidden="1" x14ac:dyDescent="0.25">
      <c r="O2974" s="4" t="s">
        <v>3292</v>
      </c>
      <c r="P2974"/>
    </row>
    <row r="2975" spans="15:16" hidden="1" x14ac:dyDescent="0.25">
      <c r="O2975" s="4" t="s">
        <v>747</v>
      </c>
      <c r="P2975"/>
    </row>
    <row r="2976" spans="15:16" hidden="1" x14ac:dyDescent="0.25">
      <c r="O2976" s="4" t="s">
        <v>3293</v>
      </c>
      <c r="P2976"/>
    </row>
    <row r="2977" spans="15:16" hidden="1" x14ac:dyDescent="0.25">
      <c r="O2977" s="4" t="s">
        <v>3294</v>
      </c>
      <c r="P2977"/>
    </row>
    <row r="2978" spans="15:16" hidden="1" x14ac:dyDescent="0.25">
      <c r="O2978" s="4" t="s">
        <v>3295</v>
      </c>
      <c r="P2978"/>
    </row>
    <row r="2979" spans="15:16" hidden="1" x14ac:dyDescent="0.25">
      <c r="O2979" s="4" t="s">
        <v>3296</v>
      </c>
      <c r="P2979"/>
    </row>
    <row r="2980" spans="15:16" hidden="1" x14ac:dyDescent="0.25">
      <c r="O2980" s="4" t="s">
        <v>749</v>
      </c>
      <c r="P2980"/>
    </row>
    <row r="2981" spans="15:16" hidden="1" x14ac:dyDescent="0.25">
      <c r="O2981" s="4" t="s">
        <v>3297</v>
      </c>
      <c r="P2981"/>
    </row>
    <row r="2982" spans="15:16" hidden="1" x14ac:dyDescent="0.25">
      <c r="O2982" s="4" t="s">
        <v>3298</v>
      </c>
      <c r="P2982"/>
    </row>
    <row r="2983" spans="15:16" hidden="1" x14ac:dyDescent="0.25">
      <c r="O2983" s="4" t="s">
        <v>3299</v>
      </c>
      <c r="P2983"/>
    </row>
    <row r="2984" spans="15:16" hidden="1" x14ac:dyDescent="0.25">
      <c r="O2984" s="4" t="s">
        <v>3300</v>
      </c>
      <c r="P2984"/>
    </row>
    <row r="2985" spans="15:16" hidden="1" x14ac:dyDescent="0.25">
      <c r="O2985" s="4" t="s">
        <v>3301</v>
      </c>
      <c r="P2985"/>
    </row>
    <row r="2986" spans="15:16" hidden="1" x14ac:dyDescent="0.25">
      <c r="O2986" s="4" t="s">
        <v>3302</v>
      </c>
      <c r="P2986"/>
    </row>
    <row r="2987" spans="15:16" hidden="1" x14ac:dyDescent="0.25">
      <c r="O2987" s="4" t="s">
        <v>3303</v>
      </c>
      <c r="P2987"/>
    </row>
    <row r="2988" spans="15:16" hidden="1" x14ac:dyDescent="0.25">
      <c r="O2988" s="4" t="s">
        <v>3304</v>
      </c>
      <c r="P2988"/>
    </row>
    <row r="2989" spans="15:16" hidden="1" x14ac:dyDescent="0.25">
      <c r="O2989" s="4" t="s">
        <v>3305</v>
      </c>
      <c r="P2989"/>
    </row>
    <row r="2990" spans="15:16" hidden="1" x14ac:dyDescent="0.25">
      <c r="O2990" s="4" t="s">
        <v>751</v>
      </c>
      <c r="P2990"/>
    </row>
    <row r="2991" spans="15:16" hidden="1" x14ac:dyDescent="0.25">
      <c r="O2991" s="4" t="s">
        <v>753</v>
      </c>
      <c r="P2991"/>
    </row>
    <row r="2992" spans="15:16" hidden="1" x14ac:dyDescent="0.25">
      <c r="O2992" s="4" t="s">
        <v>3306</v>
      </c>
      <c r="P2992"/>
    </row>
    <row r="2993" spans="15:16" hidden="1" x14ac:dyDescent="0.25">
      <c r="O2993" s="4" t="s">
        <v>3307</v>
      </c>
      <c r="P2993"/>
    </row>
    <row r="2994" spans="15:16" hidden="1" x14ac:dyDescent="0.25">
      <c r="O2994" s="4" t="s">
        <v>755</v>
      </c>
      <c r="P2994"/>
    </row>
    <row r="2995" spans="15:16" hidden="1" x14ac:dyDescent="0.25">
      <c r="O2995" s="4" t="s">
        <v>3308</v>
      </c>
      <c r="P2995"/>
    </row>
    <row r="2996" spans="15:16" hidden="1" x14ac:dyDescent="0.25">
      <c r="O2996" s="4" t="s">
        <v>3309</v>
      </c>
      <c r="P2996"/>
    </row>
    <row r="2997" spans="15:16" hidden="1" x14ac:dyDescent="0.25">
      <c r="O2997" s="4" t="s">
        <v>3310</v>
      </c>
      <c r="P2997"/>
    </row>
    <row r="2998" spans="15:16" hidden="1" x14ac:dyDescent="0.25">
      <c r="O2998" s="4" t="s">
        <v>3311</v>
      </c>
      <c r="P2998"/>
    </row>
    <row r="2999" spans="15:16" hidden="1" x14ac:dyDescent="0.25">
      <c r="O2999" s="4" t="s">
        <v>3312</v>
      </c>
      <c r="P2999"/>
    </row>
    <row r="3000" spans="15:16" hidden="1" x14ac:dyDescent="0.25">
      <c r="O3000" s="4" t="s">
        <v>3313</v>
      </c>
      <c r="P3000"/>
    </row>
    <row r="3001" spans="15:16" hidden="1" x14ac:dyDescent="0.25">
      <c r="O3001" s="4" t="s">
        <v>3314</v>
      </c>
      <c r="P3001"/>
    </row>
    <row r="3002" spans="15:16" hidden="1" x14ac:dyDescent="0.25">
      <c r="O3002" s="4" t="s">
        <v>3315</v>
      </c>
      <c r="P3002"/>
    </row>
    <row r="3003" spans="15:16" hidden="1" x14ac:dyDescent="0.25">
      <c r="O3003" s="4" t="s">
        <v>3316</v>
      </c>
      <c r="P3003"/>
    </row>
    <row r="3004" spans="15:16" hidden="1" x14ac:dyDescent="0.25">
      <c r="O3004" s="4" t="s">
        <v>3317</v>
      </c>
      <c r="P3004"/>
    </row>
    <row r="3005" spans="15:16" hidden="1" x14ac:dyDescent="0.25">
      <c r="O3005" s="4" t="s">
        <v>3318</v>
      </c>
      <c r="P3005"/>
    </row>
    <row r="3006" spans="15:16" hidden="1" x14ac:dyDescent="0.25">
      <c r="O3006" s="4" t="s">
        <v>3319</v>
      </c>
      <c r="P3006"/>
    </row>
    <row r="3007" spans="15:16" hidden="1" x14ac:dyDescent="0.25">
      <c r="O3007" s="4" t="s">
        <v>3320</v>
      </c>
      <c r="P3007"/>
    </row>
    <row r="3008" spans="15:16" hidden="1" x14ac:dyDescent="0.25">
      <c r="O3008" s="4" t="s">
        <v>3321</v>
      </c>
      <c r="P3008"/>
    </row>
    <row r="3009" spans="15:16" hidden="1" x14ac:dyDescent="0.25">
      <c r="O3009" s="4" t="s">
        <v>3322</v>
      </c>
      <c r="P3009"/>
    </row>
    <row r="3010" spans="15:16" hidden="1" x14ac:dyDescent="0.25">
      <c r="O3010" s="4" t="s">
        <v>3323</v>
      </c>
      <c r="P3010"/>
    </row>
    <row r="3011" spans="15:16" hidden="1" x14ac:dyDescent="0.25">
      <c r="O3011" s="4" t="s">
        <v>759</v>
      </c>
      <c r="P3011"/>
    </row>
    <row r="3012" spans="15:16" hidden="1" x14ac:dyDescent="0.25">
      <c r="O3012" s="4" t="s">
        <v>3324</v>
      </c>
      <c r="P3012"/>
    </row>
    <row r="3013" spans="15:16" hidden="1" x14ac:dyDescent="0.25">
      <c r="O3013" s="4" t="s">
        <v>761</v>
      </c>
      <c r="P3013"/>
    </row>
    <row r="3014" spans="15:16" hidden="1" x14ac:dyDescent="0.25">
      <c r="O3014" s="4" t="s">
        <v>3325</v>
      </c>
      <c r="P3014"/>
    </row>
    <row r="3015" spans="15:16" hidden="1" x14ac:dyDescent="0.25">
      <c r="O3015" s="4" t="s">
        <v>3326</v>
      </c>
      <c r="P3015"/>
    </row>
    <row r="3016" spans="15:16" hidden="1" x14ac:dyDescent="0.25">
      <c r="O3016" s="4" t="s">
        <v>3327</v>
      </c>
      <c r="P3016"/>
    </row>
    <row r="3017" spans="15:16" hidden="1" x14ac:dyDescent="0.25">
      <c r="O3017" s="4" t="s">
        <v>3328</v>
      </c>
      <c r="P3017"/>
    </row>
    <row r="3018" spans="15:16" hidden="1" x14ac:dyDescent="0.25">
      <c r="O3018" s="4" t="s">
        <v>3329</v>
      </c>
      <c r="P3018"/>
    </row>
    <row r="3019" spans="15:16" hidden="1" x14ac:dyDescent="0.25">
      <c r="O3019" s="4" t="s">
        <v>3330</v>
      </c>
      <c r="P3019"/>
    </row>
    <row r="3020" spans="15:16" hidden="1" x14ac:dyDescent="0.25">
      <c r="O3020" s="4" t="s">
        <v>763</v>
      </c>
      <c r="P3020"/>
    </row>
    <row r="3021" spans="15:16" hidden="1" x14ac:dyDescent="0.25">
      <c r="O3021" s="4" t="s">
        <v>3331</v>
      </c>
      <c r="P3021"/>
    </row>
    <row r="3022" spans="15:16" hidden="1" x14ac:dyDescent="0.25">
      <c r="O3022" s="4" t="s">
        <v>3332</v>
      </c>
      <c r="P3022"/>
    </row>
    <row r="3023" spans="15:16" hidden="1" x14ac:dyDescent="0.25">
      <c r="O3023" s="4" t="s">
        <v>3333</v>
      </c>
      <c r="P3023"/>
    </row>
    <row r="3024" spans="15:16" hidden="1" x14ac:dyDescent="0.25">
      <c r="O3024" s="4" t="s">
        <v>3334</v>
      </c>
      <c r="P3024"/>
    </row>
    <row r="3025" spans="15:16" hidden="1" x14ac:dyDescent="0.25">
      <c r="O3025" s="4" t="s">
        <v>3335</v>
      </c>
      <c r="P3025"/>
    </row>
    <row r="3026" spans="15:16" hidden="1" x14ac:dyDescent="0.25">
      <c r="O3026" s="4" t="s">
        <v>3336</v>
      </c>
      <c r="P3026"/>
    </row>
    <row r="3027" spans="15:16" hidden="1" x14ac:dyDescent="0.25">
      <c r="O3027" s="4" t="s">
        <v>3337</v>
      </c>
      <c r="P3027"/>
    </row>
    <row r="3028" spans="15:16" hidden="1" x14ac:dyDescent="0.25">
      <c r="O3028" s="4" t="s">
        <v>3338</v>
      </c>
      <c r="P3028"/>
    </row>
    <row r="3029" spans="15:16" hidden="1" x14ac:dyDescent="0.25">
      <c r="O3029" s="4" t="s">
        <v>3339</v>
      </c>
      <c r="P3029"/>
    </row>
    <row r="3030" spans="15:16" hidden="1" x14ac:dyDescent="0.25">
      <c r="O3030" s="4" t="s">
        <v>3340</v>
      </c>
      <c r="P3030"/>
    </row>
    <row r="3031" spans="15:16" hidden="1" x14ac:dyDescent="0.25">
      <c r="O3031" s="4" t="s">
        <v>3341</v>
      </c>
      <c r="P3031"/>
    </row>
    <row r="3032" spans="15:16" hidden="1" x14ac:dyDescent="0.25">
      <c r="O3032" s="4" t="s">
        <v>3342</v>
      </c>
      <c r="P3032"/>
    </row>
    <row r="3033" spans="15:16" hidden="1" x14ac:dyDescent="0.25">
      <c r="O3033" s="4" t="s">
        <v>3343</v>
      </c>
      <c r="P3033"/>
    </row>
    <row r="3034" spans="15:16" hidden="1" x14ac:dyDescent="0.25">
      <c r="O3034" s="4" t="s">
        <v>789</v>
      </c>
      <c r="P3034"/>
    </row>
    <row r="3035" spans="15:16" hidden="1" x14ac:dyDescent="0.25">
      <c r="O3035" s="4" t="s">
        <v>791</v>
      </c>
      <c r="P3035"/>
    </row>
    <row r="3036" spans="15:16" hidden="1" x14ac:dyDescent="0.25">
      <c r="O3036" s="4" t="s">
        <v>3344</v>
      </c>
      <c r="P3036"/>
    </row>
    <row r="3037" spans="15:16" hidden="1" x14ac:dyDescent="0.25">
      <c r="O3037" s="4" t="s">
        <v>3345</v>
      </c>
      <c r="P3037"/>
    </row>
    <row r="3038" spans="15:16" hidden="1" x14ac:dyDescent="0.25">
      <c r="O3038" s="4" t="s">
        <v>3346</v>
      </c>
      <c r="P3038"/>
    </row>
    <row r="3039" spans="15:16" hidden="1" x14ac:dyDescent="0.25">
      <c r="O3039" s="4" t="s">
        <v>3347</v>
      </c>
      <c r="P3039"/>
    </row>
    <row r="3040" spans="15:16" hidden="1" x14ac:dyDescent="0.25">
      <c r="O3040" s="4" t="s">
        <v>3348</v>
      </c>
      <c r="P3040"/>
    </row>
    <row r="3041" spans="15:16" hidden="1" x14ac:dyDescent="0.25">
      <c r="O3041" s="4" t="s">
        <v>3349</v>
      </c>
      <c r="P3041"/>
    </row>
    <row r="3042" spans="15:16" hidden="1" x14ac:dyDescent="0.25">
      <c r="O3042" s="4" t="s">
        <v>3350</v>
      </c>
      <c r="P3042"/>
    </row>
    <row r="3043" spans="15:16" hidden="1" x14ac:dyDescent="0.25">
      <c r="O3043" s="4" t="s">
        <v>3351</v>
      </c>
      <c r="P3043"/>
    </row>
    <row r="3044" spans="15:16" hidden="1" x14ac:dyDescent="0.25">
      <c r="O3044" s="4" t="s">
        <v>3352</v>
      </c>
      <c r="P3044"/>
    </row>
    <row r="3045" spans="15:16" hidden="1" x14ac:dyDescent="0.25">
      <c r="O3045" s="4" t="s">
        <v>3353</v>
      </c>
      <c r="P3045"/>
    </row>
    <row r="3046" spans="15:16" hidden="1" x14ac:dyDescent="0.25">
      <c r="O3046" s="4" t="s">
        <v>3354</v>
      </c>
      <c r="P3046"/>
    </row>
    <row r="3047" spans="15:16" hidden="1" x14ac:dyDescent="0.25">
      <c r="O3047" s="4" t="s">
        <v>3355</v>
      </c>
      <c r="P3047"/>
    </row>
    <row r="3048" spans="15:16" hidden="1" x14ac:dyDescent="0.25">
      <c r="O3048" s="4" t="s">
        <v>3356</v>
      </c>
      <c r="P3048"/>
    </row>
    <row r="3049" spans="15:16" hidden="1" x14ac:dyDescent="0.25">
      <c r="O3049" s="4" t="s">
        <v>3357</v>
      </c>
      <c r="P3049"/>
    </row>
    <row r="3050" spans="15:16" hidden="1" x14ac:dyDescent="0.25">
      <c r="O3050" s="4" t="s">
        <v>3358</v>
      </c>
      <c r="P3050"/>
    </row>
    <row r="3051" spans="15:16" hidden="1" x14ac:dyDescent="0.25">
      <c r="O3051" s="4" t="s">
        <v>3359</v>
      </c>
      <c r="P3051"/>
    </row>
    <row r="3052" spans="15:16" hidden="1" x14ac:dyDescent="0.25">
      <c r="O3052" s="4" t="s">
        <v>3360</v>
      </c>
      <c r="P3052"/>
    </row>
    <row r="3053" spans="15:16" hidden="1" x14ac:dyDescent="0.25">
      <c r="O3053" s="4" t="s">
        <v>3361</v>
      </c>
      <c r="P3053"/>
    </row>
    <row r="3054" spans="15:16" hidden="1" x14ac:dyDescent="0.25">
      <c r="O3054" s="4" t="s">
        <v>3362</v>
      </c>
      <c r="P3054"/>
    </row>
    <row r="3055" spans="15:16" hidden="1" x14ac:dyDescent="0.25">
      <c r="O3055" s="4" t="s">
        <v>3363</v>
      </c>
      <c r="P3055"/>
    </row>
    <row r="3056" spans="15:16" hidden="1" x14ac:dyDescent="0.25">
      <c r="O3056" s="4" t="s">
        <v>3364</v>
      </c>
      <c r="P3056"/>
    </row>
    <row r="3057" spans="15:16" hidden="1" x14ac:dyDescent="0.25">
      <c r="O3057" s="4" t="s">
        <v>3365</v>
      </c>
      <c r="P3057"/>
    </row>
    <row r="3058" spans="15:16" hidden="1" x14ac:dyDescent="0.25">
      <c r="O3058" s="4" t="s">
        <v>3366</v>
      </c>
      <c r="P3058"/>
    </row>
    <row r="3059" spans="15:16" hidden="1" x14ac:dyDescent="0.25">
      <c r="O3059" s="4" t="s">
        <v>3367</v>
      </c>
      <c r="P3059"/>
    </row>
    <row r="3060" spans="15:16" hidden="1" x14ac:dyDescent="0.25">
      <c r="O3060" s="4" t="s">
        <v>3368</v>
      </c>
      <c r="P3060"/>
    </row>
    <row r="3061" spans="15:16" hidden="1" x14ac:dyDescent="0.25">
      <c r="O3061" s="4" t="s">
        <v>3369</v>
      </c>
      <c r="P3061"/>
    </row>
    <row r="3062" spans="15:16" hidden="1" x14ac:dyDescent="0.25">
      <c r="O3062" s="4" t="s">
        <v>3370</v>
      </c>
      <c r="P3062"/>
    </row>
    <row r="3063" spans="15:16" hidden="1" x14ac:dyDescent="0.25">
      <c r="O3063" s="4" t="s">
        <v>3371</v>
      </c>
      <c r="P3063"/>
    </row>
    <row r="3064" spans="15:16" hidden="1" x14ac:dyDescent="0.25">
      <c r="O3064" s="4" t="s">
        <v>3372</v>
      </c>
      <c r="P3064"/>
    </row>
    <row r="3065" spans="15:16" hidden="1" x14ac:dyDescent="0.25">
      <c r="O3065" s="4" t="s">
        <v>3373</v>
      </c>
      <c r="P3065"/>
    </row>
    <row r="3066" spans="15:16" hidden="1" x14ac:dyDescent="0.25">
      <c r="O3066" s="4" t="s">
        <v>3374</v>
      </c>
      <c r="P3066"/>
    </row>
    <row r="3067" spans="15:16" hidden="1" x14ac:dyDescent="0.25">
      <c r="O3067" s="4" t="s">
        <v>3375</v>
      </c>
      <c r="P3067"/>
    </row>
    <row r="3068" spans="15:16" hidden="1" x14ac:dyDescent="0.25">
      <c r="O3068" s="4" t="s">
        <v>3376</v>
      </c>
      <c r="P3068"/>
    </row>
    <row r="3069" spans="15:16" hidden="1" x14ac:dyDescent="0.25">
      <c r="O3069" s="4" t="s">
        <v>3377</v>
      </c>
      <c r="P3069"/>
    </row>
    <row r="3070" spans="15:16" hidden="1" x14ac:dyDescent="0.25">
      <c r="O3070" s="4" t="s">
        <v>3378</v>
      </c>
      <c r="P3070"/>
    </row>
    <row r="3071" spans="15:16" hidden="1" x14ac:dyDescent="0.25">
      <c r="O3071" s="4" t="s">
        <v>3379</v>
      </c>
      <c r="P3071"/>
    </row>
    <row r="3072" spans="15:16" hidden="1" x14ac:dyDescent="0.25">
      <c r="O3072" s="4" t="s">
        <v>3380</v>
      </c>
      <c r="P3072"/>
    </row>
    <row r="3073" spans="15:16" hidden="1" x14ac:dyDescent="0.25">
      <c r="O3073" s="4" t="s">
        <v>797</v>
      </c>
      <c r="P3073"/>
    </row>
    <row r="3074" spans="15:16" hidden="1" x14ac:dyDescent="0.25">
      <c r="O3074" s="4" t="s">
        <v>3381</v>
      </c>
      <c r="P3074"/>
    </row>
    <row r="3075" spans="15:16" hidden="1" x14ac:dyDescent="0.25">
      <c r="O3075" s="4" t="s">
        <v>3382</v>
      </c>
      <c r="P3075"/>
    </row>
    <row r="3076" spans="15:16" hidden="1" x14ac:dyDescent="0.25">
      <c r="O3076" s="4" t="s">
        <v>3383</v>
      </c>
      <c r="P3076"/>
    </row>
    <row r="3077" spans="15:16" hidden="1" x14ac:dyDescent="0.25">
      <c r="O3077" s="4" t="s">
        <v>3384</v>
      </c>
      <c r="P3077"/>
    </row>
    <row r="3078" spans="15:16" hidden="1" x14ac:dyDescent="0.25">
      <c r="O3078" s="4" t="s">
        <v>3385</v>
      </c>
      <c r="P3078"/>
    </row>
    <row r="3079" spans="15:16" hidden="1" x14ac:dyDescent="0.25">
      <c r="O3079" s="4" t="s">
        <v>3386</v>
      </c>
      <c r="P3079"/>
    </row>
    <row r="3080" spans="15:16" hidden="1" x14ac:dyDescent="0.25">
      <c r="O3080" s="4" t="s">
        <v>3387</v>
      </c>
      <c r="P3080"/>
    </row>
    <row r="3081" spans="15:16" hidden="1" x14ac:dyDescent="0.25">
      <c r="O3081" s="4" t="s">
        <v>3388</v>
      </c>
      <c r="P3081"/>
    </row>
    <row r="3082" spans="15:16" hidden="1" x14ac:dyDescent="0.25">
      <c r="O3082" s="4" t="s">
        <v>3389</v>
      </c>
      <c r="P3082"/>
    </row>
    <row r="3083" spans="15:16" hidden="1" x14ac:dyDescent="0.25">
      <c r="O3083" s="4" t="s">
        <v>3390</v>
      </c>
      <c r="P3083"/>
    </row>
    <row r="3084" spans="15:16" hidden="1" x14ac:dyDescent="0.25">
      <c r="O3084" s="4" t="s">
        <v>3391</v>
      </c>
      <c r="P3084"/>
    </row>
    <row r="3085" spans="15:16" hidden="1" x14ac:dyDescent="0.25">
      <c r="O3085" s="4" t="s">
        <v>3392</v>
      </c>
      <c r="P3085"/>
    </row>
    <row r="3086" spans="15:16" hidden="1" x14ac:dyDescent="0.25">
      <c r="O3086" s="4" t="s">
        <v>803</v>
      </c>
      <c r="P3086"/>
    </row>
    <row r="3087" spans="15:16" hidden="1" x14ac:dyDescent="0.25">
      <c r="O3087" s="4" t="s">
        <v>3393</v>
      </c>
      <c r="P3087"/>
    </row>
    <row r="3088" spans="15:16" hidden="1" x14ac:dyDescent="0.25">
      <c r="O3088" s="4" t="s">
        <v>3394</v>
      </c>
      <c r="P3088"/>
    </row>
    <row r="3089" spans="15:16" hidden="1" x14ac:dyDescent="0.25">
      <c r="O3089" s="4" t="s">
        <v>3395</v>
      </c>
      <c r="P3089"/>
    </row>
    <row r="3090" spans="15:16" hidden="1" x14ac:dyDescent="0.25">
      <c r="O3090" s="4" t="s">
        <v>805</v>
      </c>
      <c r="P3090"/>
    </row>
    <row r="3091" spans="15:16" hidden="1" x14ac:dyDescent="0.25">
      <c r="O3091" s="4" t="s">
        <v>3396</v>
      </c>
      <c r="P3091"/>
    </row>
    <row r="3092" spans="15:16" hidden="1" x14ac:dyDescent="0.25">
      <c r="O3092" s="4" t="s">
        <v>3397</v>
      </c>
      <c r="P3092"/>
    </row>
    <row r="3093" spans="15:16" hidden="1" x14ac:dyDescent="0.25">
      <c r="O3093" s="4" t="s">
        <v>3398</v>
      </c>
      <c r="P3093"/>
    </row>
    <row r="3094" spans="15:16" hidden="1" x14ac:dyDescent="0.25">
      <c r="O3094" s="4" t="s">
        <v>3399</v>
      </c>
      <c r="P3094"/>
    </row>
    <row r="3095" spans="15:16" hidden="1" x14ac:dyDescent="0.25">
      <c r="O3095" s="4" t="s">
        <v>815</v>
      </c>
      <c r="P3095"/>
    </row>
    <row r="3096" spans="15:16" hidden="1" x14ac:dyDescent="0.25">
      <c r="O3096" s="4" t="s">
        <v>3400</v>
      </c>
      <c r="P3096"/>
    </row>
    <row r="3097" spans="15:16" hidden="1" x14ac:dyDescent="0.25">
      <c r="O3097" s="4" t="s">
        <v>3401</v>
      </c>
      <c r="P3097"/>
    </row>
    <row r="3098" spans="15:16" hidden="1" x14ac:dyDescent="0.25">
      <c r="O3098" s="4" t="s">
        <v>3402</v>
      </c>
      <c r="P3098"/>
    </row>
    <row r="3099" spans="15:16" hidden="1" x14ac:dyDescent="0.25">
      <c r="O3099" s="4" t="s">
        <v>817</v>
      </c>
      <c r="P3099"/>
    </row>
    <row r="3100" spans="15:16" hidden="1" x14ac:dyDescent="0.25">
      <c r="O3100" s="4" t="s">
        <v>3403</v>
      </c>
      <c r="P3100"/>
    </row>
    <row r="3101" spans="15:16" hidden="1" x14ac:dyDescent="0.25">
      <c r="O3101" s="4" t="s">
        <v>3404</v>
      </c>
      <c r="P3101"/>
    </row>
    <row r="3102" spans="15:16" hidden="1" x14ac:dyDescent="0.25">
      <c r="O3102" s="4" t="s">
        <v>3405</v>
      </c>
      <c r="P3102"/>
    </row>
    <row r="3103" spans="15:16" hidden="1" x14ac:dyDescent="0.25">
      <c r="O3103" s="4" t="s">
        <v>3406</v>
      </c>
      <c r="P3103"/>
    </row>
    <row r="3104" spans="15:16" hidden="1" x14ac:dyDescent="0.25">
      <c r="O3104" s="4" t="s">
        <v>3407</v>
      </c>
      <c r="P3104"/>
    </row>
    <row r="3105" spans="15:16" hidden="1" x14ac:dyDescent="0.25">
      <c r="O3105" s="4" t="s">
        <v>3408</v>
      </c>
      <c r="P3105"/>
    </row>
    <row r="3106" spans="15:16" hidden="1" x14ac:dyDescent="0.25">
      <c r="O3106" s="4" t="s">
        <v>3409</v>
      </c>
      <c r="P3106"/>
    </row>
    <row r="3107" spans="15:16" hidden="1" x14ac:dyDescent="0.25">
      <c r="O3107" s="4" t="s">
        <v>3410</v>
      </c>
      <c r="P3107"/>
    </row>
    <row r="3108" spans="15:16" hidden="1" x14ac:dyDescent="0.25">
      <c r="O3108" s="4" t="s">
        <v>3411</v>
      </c>
      <c r="P3108"/>
    </row>
    <row r="3109" spans="15:16" hidden="1" x14ac:dyDescent="0.25">
      <c r="O3109" s="4" t="s">
        <v>3412</v>
      </c>
      <c r="P3109"/>
    </row>
    <row r="3110" spans="15:16" hidden="1" x14ac:dyDescent="0.25">
      <c r="O3110" s="4" t="s">
        <v>819</v>
      </c>
      <c r="P3110"/>
    </row>
    <row r="3111" spans="15:16" hidden="1" x14ac:dyDescent="0.25">
      <c r="O3111" s="4" t="s">
        <v>3413</v>
      </c>
      <c r="P3111"/>
    </row>
    <row r="3112" spans="15:16" hidden="1" x14ac:dyDescent="0.25">
      <c r="O3112" s="4" t="s">
        <v>3414</v>
      </c>
      <c r="P3112"/>
    </row>
    <row r="3113" spans="15:16" hidden="1" x14ac:dyDescent="0.25">
      <c r="O3113" s="4" t="s">
        <v>3415</v>
      </c>
      <c r="P3113"/>
    </row>
    <row r="3114" spans="15:16" hidden="1" x14ac:dyDescent="0.25">
      <c r="O3114" s="4" t="s">
        <v>3416</v>
      </c>
      <c r="P3114"/>
    </row>
    <row r="3115" spans="15:16" hidden="1" x14ac:dyDescent="0.25">
      <c r="O3115" s="4" t="s">
        <v>3417</v>
      </c>
      <c r="P3115"/>
    </row>
    <row r="3116" spans="15:16" hidden="1" x14ac:dyDescent="0.25">
      <c r="O3116" s="4" t="s">
        <v>3418</v>
      </c>
      <c r="P3116"/>
    </row>
    <row r="3117" spans="15:16" hidden="1" x14ac:dyDescent="0.25">
      <c r="O3117" s="4" t="s">
        <v>3419</v>
      </c>
      <c r="P3117"/>
    </row>
    <row r="3118" spans="15:16" hidden="1" x14ac:dyDescent="0.25">
      <c r="O3118" s="4" t="s">
        <v>3420</v>
      </c>
      <c r="P3118"/>
    </row>
    <row r="3119" spans="15:16" hidden="1" x14ac:dyDescent="0.25">
      <c r="O3119" s="4" t="s">
        <v>3421</v>
      </c>
      <c r="P3119"/>
    </row>
    <row r="3120" spans="15:16" hidden="1" x14ac:dyDescent="0.25">
      <c r="O3120" s="4" t="s">
        <v>3422</v>
      </c>
      <c r="P3120"/>
    </row>
    <row r="3121" spans="15:16" hidden="1" x14ac:dyDescent="0.25">
      <c r="O3121" s="4" t="s">
        <v>821</v>
      </c>
      <c r="P3121"/>
    </row>
    <row r="3122" spans="15:16" hidden="1" x14ac:dyDescent="0.25">
      <c r="O3122" s="4" t="s">
        <v>3423</v>
      </c>
      <c r="P3122"/>
    </row>
    <row r="3123" spans="15:16" hidden="1" x14ac:dyDescent="0.25">
      <c r="O3123" s="4" t="s">
        <v>3424</v>
      </c>
      <c r="P3123"/>
    </row>
    <row r="3124" spans="15:16" hidden="1" x14ac:dyDescent="0.25">
      <c r="O3124" s="4" t="s">
        <v>3425</v>
      </c>
      <c r="P3124"/>
    </row>
    <row r="3125" spans="15:16" hidden="1" x14ac:dyDescent="0.25">
      <c r="O3125" s="4" t="s">
        <v>3426</v>
      </c>
      <c r="P3125"/>
    </row>
    <row r="3126" spans="15:16" hidden="1" x14ac:dyDescent="0.25">
      <c r="O3126" s="4" t="s">
        <v>3427</v>
      </c>
      <c r="P3126"/>
    </row>
    <row r="3127" spans="15:16" hidden="1" x14ac:dyDescent="0.25">
      <c r="O3127" s="4" t="s">
        <v>3428</v>
      </c>
      <c r="P3127"/>
    </row>
    <row r="3128" spans="15:16" hidden="1" x14ac:dyDescent="0.25">
      <c r="O3128" s="4" t="s">
        <v>3429</v>
      </c>
      <c r="P3128"/>
    </row>
    <row r="3129" spans="15:16" hidden="1" x14ac:dyDescent="0.25">
      <c r="O3129" s="4" t="s">
        <v>3430</v>
      </c>
      <c r="P3129"/>
    </row>
    <row r="3130" spans="15:16" hidden="1" x14ac:dyDescent="0.25">
      <c r="O3130" s="4" t="s">
        <v>3431</v>
      </c>
      <c r="P3130"/>
    </row>
    <row r="3131" spans="15:16" hidden="1" x14ac:dyDescent="0.25">
      <c r="O3131" s="4" t="s">
        <v>3432</v>
      </c>
      <c r="P3131"/>
    </row>
    <row r="3132" spans="15:16" hidden="1" x14ac:dyDescent="0.25">
      <c r="O3132" s="4" t="s">
        <v>3433</v>
      </c>
      <c r="P3132"/>
    </row>
    <row r="3133" spans="15:16" hidden="1" x14ac:dyDescent="0.25">
      <c r="O3133" s="4" t="s">
        <v>3434</v>
      </c>
      <c r="P3133"/>
    </row>
    <row r="3134" spans="15:16" hidden="1" x14ac:dyDescent="0.25">
      <c r="O3134" s="4" t="s">
        <v>3435</v>
      </c>
      <c r="P3134"/>
    </row>
    <row r="3135" spans="15:16" hidden="1" x14ac:dyDescent="0.25">
      <c r="O3135" s="4" t="s">
        <v>3436</v>
      </c>
      <c r="P3135"/>
    </row>
    <row r="3136" spans="15:16" hidden="1" x14ac:dyDescent="0.25">
      <c r="O3136" s="4" t="s">
        <v>3437</v>
      </c>
      <c r="P3136"/>
    </row>
    <row r="3137" spans="15:16" hidden="1" x14ac:dyDescent="0.25">
      <c r="O3137" s="4" t="s">
        <v>3438</v>
      </c>
      <c r="P3137"/>
    </row>
    <row r="3138" spans="15:16" hidden="1" x14ac:dyDescent="0.25">
      <c r="O3138" s="4" t="s">
        <v>3439</v>
      </c>
      <c r="P3138"/>
    </row>
    <row r="3139" spans="15:16" hidden="1" x14ac:dyDescent="0.25">
      <c r="O3139" s="4" t="s">
        <v>3440</v>
      </c>
      <c r="P3139"/>
    </row>
    <row r="3140" spans="15:16" hidden="1" x14ac:dyDescent="0.25">
      <c r="O3140" s="4" t="s">
        <v>3441</v>
      </c>
      <c r="P3140"/>
    </row>
    <row r="3141" spans="15:16" hidden="1" x14ac:dyDescent="0.25">
      <c r="O3141" s="4" t="s">
        <v>3442</v>
      </c>
      <c r="P3141"/>
    </row>
    <row r="3142" spans="15:16" hidden="1" x14ac:dyDescent="0.25">
      <c r="O3142" s="4" t="s">
        <v>3443</v>
      </c>
      <c r="P3142"/>
    </row>
    <row r="3143" spans="15:16" hidden="1" x14ac:dyDescent="0.25">
      <c r="O3143" s="4" t="s">
        <v>3444</v>
      </c>
      <c r="P3143"/>
    </row>
    <row r="3144" spans="15:16" hidden="1" x14ac:dyDescent="0.25">
      <c r="O3144" s="4" t="s">
        <v>3445</v>
      </c>
      <c r="P3144"/>
    </row>
    <row r="3145" spans="15:16" hidden="1" x14ac:dyDescent="0.25">
      <c r="O3145" s="4" t="s">
        <v>3446</v>
      </c>
      <c r="P3145"/>
    </row>
    <row r="3146" spans="15:16" hidden="1" x14ac:dyDescent="0.25">
      <c r="O3146" s="4" t="s">
        <v>3447</v>
      </c>
      <c r="P3146"/>
    </row>
    <row r="3147" spans="15:16" hidden="1" x14ac:dyDescent="0.25">
      <c r="O3147" s="4" t="s">
        <v>3448</v>
      </c>
      <c r="P3147"/>
    </row>
    <row r="3148" spans="15:16" hidden="1" x14ac:dyDescent="0.25">
      <c r="O3148" s="4" t="s">
        <v>3449</v>
      </c>
      <c r="P3148"/>
    </row>
    <row r="3149" spans="15:16" hidden="1" x14ac:dyDescent="0.25">
      <c r="O3149" s="4" t="s">
        <v>3450</v>
      </c>
      <c r="P3149"/>
    </row>
    <row r="3150" spans="15:16" hidden="1" x14ac:dyDescent="0.25">
      <c r="O3150" s="4" t="s">
        <v>3451</v>
      </c>
      <c r="P3150"/>
    </row>
    <row r="3151" spans="15:16" hidden="1" x14ac:dyDescent="0.25">
      <c r="O3151" s="4" t="s">
        <v>3452</v>
      </c>
      <c r="P3151"/>
    </row>
    <row r="3152" spans="15:16" hidden="1" x14ac:dyDescent="0.25">
      <c r="O3152" s="4" t="s">
        <v>3453</v>
      </c>
      <c r="P3152"/>
    </row>
    <row r="3153" spans="15:16" hidden="1" x14ac:dyDescent="0.25">
      <c r="O3153" s="4" t="s">
        <v>3454</v>
      </c>
      <c r="P3153"/>
    </row>
    <row r="3154" spans="15:16" hidden="1" x14ac:dyDescent="0.25">
      <c r="O3154" s="4" t="s">
        <v>3455</v>
      </c>
      <c r="P3154"/>
    </row>
    <row r="3155" spans="15:16" hidden="1" x14ac:dyDescent="0.25">
      <c r="O3155" s="4" t="s">
        <v>3456</v>
      </c>
      <c r="P3155"/>
    </row>
    <row r="3156" spans="15:16" hidden="1" x14ac:dyDescent="0.25">
      <c r="O3156" s="4" t="s">
        <v>3457</v>
      </c>
      <c r="P3156"/>
    </row>
    <row r="3157" spans="15:16" hidden="1" x14ac:dyDescent="0.25">
      <c r="O3157" s="4" t="s">
        <v>3458</v>
      </c>
      <c r="P3157"/>
    </row>
    <row r="3158" spans="15:16" hidden="1" x14ac:dyDescent="0.25">
      <c r="O3158" s="4" t="s">
        <v>3459</v>
      </c>
      <c r="P3158"/>
    </row>
    <row r="3159" spans="15:16" hidden="1" x14ac:dyDescent="0.25">
      <c r="O3159" s="4" t="s">
        <v>3460</v>
      </c>
      <c r="P3159"/>
    </row>
    <row r="3160" spans="15:16" hidden="1" x14ac:dyDescent="0.25">
      <c r="O3160" s="4" t="s">
        <v>3461</v>
      </c>
      <c r="P3160"/>
    </row>
    <row r="3161" spans="15:16" hidden="1" x14ac:dyDescent="0.25">
      <c r="O3161" s="4" t="s">
        <v>3462</v>
      </c>
      <c r="P3161"/>
    </row>
    <row r="3162" spans="15:16" hidden="1" x14ac:dyDescent="0.25">
      <c r="O3162" s="4" t="s">
        <v>3463</v>
      </c>
      <c r="P3162"/>
    </row>
    <row r="3163" spans="15:16" hidden="1" x14ac:dyDescent="0.25">
      <c r="O3163" s="4" t="s">
        <v>3464</v>
      </c>
      <c r="P3163"/>
    </row>
    <row r="3164" spans="15:16" hidden="1" x14ac:dyDescent="0.25">
      <c r="O3164" s="4" t="s">
        <v>3465</v>
      </c>
      <c r="P3164"/>
    </row>
    <row r="3165" spans="15:16" hidden="1" x14ac:dyDescent="0.25">
      <c r="O3165" s="4" t="s">
        <v>3466</v>
      </c>
      <c r="P3165"/>
    </row>
    <row r="3166" spans="15:16" hidden="1" x14ac:dyDescent="0.25">
      <c r="O3166" s="4" t="s">
        <v>3467</v>
      </c>
      <c r="P3166"/>
    </row>
    <row r="3167" spans="15:16" hidden="1" x14ac:dyDescent="0.25">
      <c r="O3167" s="4" t="s">
        <v>3468</v>
      </c>
      <c r="P3167"/>
    </row>
    <row r="3168" spans="15:16" hidden="1" x14ac:dyDescent="0.25">
      <c r="O3168" s="4" t="s">
        <v>3469</v>
      </c>
      <c r="P3168"/>
    </row>
    <row r="3169" spans="15:16" hidden="1" x14ac:dyDescent="0.25">
      <c r="O3169" s="4" t="s">
        <v>3470</v>
      </c>
      <c r="P3169"/>
    </row>
    <row r="3170" spans="15:16" hidden="1" x14ac:dyDescent="0.25">
      <c r="O3170" s="4" t="s">
        <v>3471</v>
      </c>
      <c r="P3170"/>
    </row>
    <row r="3171" spans="15:16" hidden="1" x14ac:dyDescent="0.25">
      <c r="O3171" s="4" t="s">
        <v>3472</v>
      </c>
      <c r="P3171"/>
    </row>
    <row r="3172" spans="15:16" hidden="1" x14ac:dyDescent="0.25">
      <c r="O3172" s="4" t="s">
        <v>3473</v>
      </c>
      <c r="P3172"/>
    </row>
    <row r="3173" spans="15:16" hidden="1" x14ac:dyDescent="0.25">
      <c r="O3173" s="4" t="s">
        <v>3474</v>
      </c>
      <c r="P3173"/>
    </row>
    <row r="3174" spans="15:16" hidden="1" x14ac:dyDescent="0.25">
      <c r="O3174" s="4" t="s">
        <v>3475</v>
      </c>
      <c r="P3174"/>
    </row>
    <row r="3175" spans="15:16" hidden="1" x14ac:dyDescent="0.25">
      <c r="O3175" s="4" t="s">
        <v>3476</v>
      </c>
      <c r="P3175"/>
    </row>
    <row r="3176" spans="15:16" hidden="1" x14ac:dyDescent="0.25">
      <c r="O3176" s="4" t="s">
        <v>3477</v>
      </c>
      <c r="P3176"/>
    </row>
    <row r="3177" spans="15:16" hidden="1" x14ac:dyDescent="0.25">
      <c r="O3177" s="4" t="s">
        <v>3478</v>
      </c>
      <c r="P3177"/>
    </row>
    <row r="3178" spans="15:16" hidden="1" x14ac:dyDescent="0.25">
      <c r="O3178" s="4" t="s">
        <v>3479</v>
      </c>
      <c r="P3178"/>
    </row>
    <row r="3179" spans="15:16" hidden="1" x14ac:dyDescent="0.25">
      <c r="O3179" s="4" t="s">
        <v>3480</v>
      </c>
      <c r="P3179"/>
    </row>
    <row r="3180" spans="15:16" hidden="1" x14ac:dyDescent="0.25">
      <c r="O3180" s="4" t="s">
        <v>3481</v>
      </c>
      <c r="P3180"/>
    </row>
    <row r="3181" spans="15:16" hidden="1" x14ac:dyDescent="0.25">
      <c r="O3181" s="4" t="s">
        <v>3482</v>
      </c>
      <c r="P3181"/>
    </row>
    <row r="3182" spans="15:16" hidden="1" x14ac:dyDescent="0.25">
      <c r="O3182" s="4" t="s">
        <v>3483</v>
      </c>
      <c r="P3182"/>
    </row>
    <row r="3183" spans="15:16" hidden="1" x14ac:dyDescent="0.25">
      <c r="O3183" s="4" t="s">
        <v>3484</v>
      </c>
      <c r="P3183"/>
    </row>
    <row r="3184" spans="15:16" hidden="1" x14ac:dyDescent="0.25">
      <c r="O3184" s="4" t="s">
        <v>3485</v>
      </c>
      <c r="P3184"/>
    </row>
    <row r="3185" spans="15:16" hidden="1" x14ac:dyDescent="0.25">
      <c r="O3185" s="4" t="s">
        <v>3486</v>
      </c>
      <c r="P3185"/>
    </row>
    <row r="3186" spans="15:16" hidden="1" x14ac:dyDescent="0.25">
      <c r="O3186" s="4" t="s">
        <v>3487</v>
      </c>
      <c r="P3186"/>
    </row>
    <row r="3187" spans="15:16" hidden="1" x14ac:dyDescent="0.25">
      <c r="O3187" s="4" t="s">
        <v>3488</v>
      </c>
      <c r="P3187"/>
    </row>
    <row r="3188" spans="15:16" hidden="1" x14ac:dyDescent="0.25">
      <c r="O3188" s="4" t="s">
        <v>3489</v>
      </c>
      <c r="P3188"/>
    </row>
    <row r="3189" spans="15:16" hidden="1" x14ac:dyDescent="0.25">
      <c r="O3189" s="4" t="s">
        <v>3490</v>
      </c>
      <c r="P3189"/>
    </row>
    <row r="3190" spans="15:16" hidden="1" x14ac:dyDescent="0.25">
      <c r="O3190" s="4" t="s">
        <v>3491</v>
      </c>
      <c r="P3190"/>
    </row>
    <row r="3191" spans="15:16" hidden="1" x14ac:dyDescent="0.25">
      <c r="O3191" s="4" t="s">
        <v>3492</v>
      </c>
      <c r="P3191"/>
    </row>
    <row r="3192" spans="15:16" hidden="1" x14ac:dyDescent="0.25">
      <c r="O3192" s="4" t="s">
        <v>3493</v>
      </c>
      <c r="P3192"/>
    </row>
    <row r="3193" spans="15:16" hidden="1" x14ac:dyDescent="0.25">
      <c r="O3193" s="4" t="s">
        <v>3494</v>
      </c>
      <c r="P3193"/>
    </row>
    <row r="3194" spans="15:16" hidden="1" x14ac:dyDescent="0.25">
      <c r="O3194" s="4" t="s">
        <v>3495</v>
      </c>
      <c r="P3194"/>
    </row>
    <row r="3195" spans="15:16" hidden="1" x14ac:dyDescent="0.25">
      <c r="O3195" s="4" t="s">
        <v>3496</v>
      </c>
      <c r="P3195"/>
    </row>
    <row r="3196" spans="15:16" hidden="1" x14ac:dyDescent="0.25">
      <c r="O3196" s="4" t="s">
        <v>3497</v>
      </c>
      <c r="P3196"/>
    </row>
    <row r="3197" spans="15:16" hidden="1" x14ac:dyDescent="0.25">
      <c r="O3197" s="4" t="s">
        <v>3498</v>
      </c>
      <c r="P3197"/>
    </row>
    <row r="3198" spans="15:16" hidden="1" x14ac:dyDescent="0.25">
      <c r="O3198" s="4" t="s">
        <v>3499</v>
      </c>
      <c r="P3198"/>
    </row>
    <row r="3199" spans="15:16" hidden="1" x14ac:dyDescent="0.25">
      <c r="O3199" s="4" t="s">
        <v>3500</v>
      </c>
      <c r="P3199"/>
    </row>
    <row r="3200" spans="15:16" hidden="1" x14ac:dyDescent="0.25">
      <c r="O3200" s="4" t="s">
        <v>3501</v>
      </c>
      <c r="P3200"/>
    </row>
    <row r="3201" spans="15:16" hidden="1" x14ac:dyDescent="0.25">
      <c r="O3201" s="4" t="s">
        <v>3502</v>
      </c>
      <c r="P3201"/>
    </row>
    <row r="3202" spans="15:16" hidden="1" x14ac:dyDescent="0.25">
      <c r="O3202" s="4" t="s">
        <v>3503</v>
      </c>
      <c r="P3202"/>
    </row>
    <row r="3203" spans="15:16" hidden="1" x14ac:dyDescent="0.25">
      <c r="O3203" s="4" t="s">
        <v>3504</v>
      </c>
      <c r="P3203"/>
    </row>
    <row r="3204" spans="15:16" hidden="1" x14ac:dyDescent="0.25">
      <c r="O3204" s="4" t="s">
        <v>3505</v>
      </c>
      <c r="P3204"/>
    </row>
    <row r="3205" spans="15:16" hidden="1" x14ac:dyDescent="0.25">
      <c r="O3205" s="4" t="s">
        <v>3506</v>
      </c>
      <c r="P3205"/>
    </row>
    <row r="3206" spans="15:16" hidden="1" x14ac:dyDescent="0.25">
      <c r="O3206" s="4" t="s">
        <v>3507</v>
      </c>
      <c r="P3206"/>
    </row>
    <row r="3207" spans="15:16" hidden="1" x14ac:dyDescent="0.25">
      <c r="O3207" s="4" t="s">
        <v>3508</v>
      </c>
      <c r="P3207"/>
    </row>
    <row r="3208" spans="15:16" hidden="1" x14ac:dyDescent="0.25">
      <c r="O3208" s="4" t="s">
        <v>3509</v>
      </c>
      <c r="P3208"/>
    </row>
    <row r="3209" spans="15:16" hidden="1" x14ac:dyDescent="0.25">
      <c r="O3209" s="4" t="s">
        <v>3510</v>
      </c>
      <c r="P3209"/>
    </row>
    <row r="3210" spans="15:16" hidden="1" x14ac:dyDescent="0.25">
      <c r="O3210" s="4" t="s">
        <v>3511</v>
      </c>
      <c r="P3210"/>
    </row>
    <row r="3211" spans="15:16" hidden="1" x14ac:dyDescent="0.25">
      <c r="O3211" s="4" t="s">
        <v>3512</v>
      </c>
      <c r="P3211"/>
    </row>
    <row r="3212" spans="15:16" hidden="1" x14ac:dyDescent="0.25">
      <c r="O3212" s="4" t="s">
        <v>3513</v>
      </c>
      <c r="P3212"/>
    </row>
    <row r="3213" spans="15:16" hidden="1" x14ac:dyDescent="0.25">
      <c r="O3213" s="4" t="s">
        <v>3514</v>
      </c>
      <c r="P3213"/>
    </row>
    <row r="3214" spans="15:16" hidden="1" x14ac:dyDescent="0.25">
      <c r="O3214" s="4" t="s">
        <v>3515</v>
      </c>
      <c r="P3214"/>
    </row>
    <row r="3215" spans="15:16" hidden="1" x14ac:dyDescent="0.25">
      <c r="O3215" s="4" t="s">
        <v>3516</v>
      </c>
      <c r="P3215"/>
    </row>
    <row r="3216" spans="15:16" hidden="1" x14ac:dyDescent="0.25">
      <c r="O3216" s="4" t="s">
        <v>3517</v>
      </c>
      <c r="P3216"/>
    </row>
    <row r="3217" spans="15:16" hidden="1" x14ac:dyDescent="0.25">
      <c r="O3217" s="4" t="s">
        <v>3518</v>
      </c>
      <c r="P3217"/>
    </row>
    <row r="3218" spans="15:16" hidden="1" x14ac:dyDescent="0.25">
      <c r="O3218" s="4" t="s">
        <v>3519</v>
      </c>
      <c r="P3218"/>
    </row>
    <row r="3219" spans="15:16" hidden="1" x14ac:dyDescent="0.25">
      <c r="O3219" s="4" t="s">
        <v>3520</v>
      </c>
      <c r="P3219"/>
    </row>
    <row r="3220" spans="15:16" hidden="1" x14ac:dyDescent="0.25">
      <c r="O3220" s="4" t="s">
        <v>3521</v>
      </c>
      <c r="P3220"/>
    </row>
    <row r="3221" spans="15:16" hidden="1" x14ac:dyDescent="0.25">
      <c r="O3221" s="4" t="s">
        <v>3522</v>
      </c>
      <c r="P3221"/>
    </row>
    <row r="3222" spans="15:16" hidden="1" x14ac:dyDescent="0.25">
      <c r="O3222" s="4" t="s">
        <v>3523</v>
      </c>
      <c r="P3222"/>
    </row>
    <row r="3223" spans="15:16" hidden="1" x14ac:dyDescent="0.25">
      <c r="O3223" s="4" t="s">
        <v>3524</v>
      </c>
      <c r="P3223"/>
    </row>
    <row r="3224" spans="15:16" hidden="1" x14ac:dyDescent="0.25">
      <c r="O3224" s="4" t="s">
        <v>3525</v>
      </c>
      <c r="P3224"/>
    </row>
    <row r="3225" spans="15:16" hidden="1" x14ac:dyDescent="0.25">
      <c r="O3225" s="4" t="s">
        <v>3526</v>
      </c>
      <c r="P3225"/>
    </row>
    <row r="3226" spans="15:16" hidden="1" x14ac:dyDescent="0.25">
      <c r="O3226" s="4" t="s">
        <v>3527</v>
      </c>
      <c r="P3226"/>
    </row>
    <row r="3227" spans="15:16" hidden="1" x14ac:dyDescent="0.25">
      <c r="O3227" s="4" t="s">
        <v>3528</v>
      </c>
      <c r="P3227"/>
    </row>
    <row r="3228" spans="15:16" hidden="1" x14ac:dyDescent="0.25">
      <c r="O3228" s="4" t="s">
        <v>3529</v>
      </c>
      <c r="P3228"/>
    </row>
    <row r="3229" spans="15:16" hidden="1" x14ac:dyDescent="0.25">
      <c r="O3229" s="4" t="s">
        <v>3530</v>
      </c>
      <c r="P3229"/>
    </row>
    <row r="3230" spans="15:16" hidden="1" x14ac:dyDescent="0.25">
      <c r="O3230" s="4" t="s">
        <v>3531</v>
      </c>
      <c r="P3230"/>
    </row>
    <row r="3231" spans="15:16" hidden="1" x14ac:dyDescent="0.25">
      <c r="O3231" s="4" t="s">
        <v>3532</v>
      </c>
      <c r="P3231"/>
    </row>
    <row r="3232" spans="15:16" hidden="1" x14ac:dyDescent="0.25">
      <c r="O3232" s="4" t="s">
        <v>3533</v>
      </c>
      <c r="P3232"/>
    </row>
    <row r="3233" spans="15:16" hidden="1" x14ac:dyDescent="0.25">
      <c r="O3233" s="4" t="s">
        <v>3534</v>
      </c>
      <c r="P3233"/>
    </row>
    <row r="3234" spans="15:16" hidden="1" x14ac:dyDescent="0.25">
      <c r="O3234" s="4" t="s">
        <v>3535</v>
      </c>
      <c r="P3234"/>
    </row>
    <row r="3235" spans="15:16" hidden="1" x14ac:dyDescent="0.25">
      <c r="O3235" s="4" t="s">
        <v>3536</v>
      </c>
      <c r="P3235"/>
    </row>
    <row r="3236" spans="15:16" hidden="1" x14ac:dyDescent="0.25">
      <c r="O3236" s="4" t="s">
        <v>3537</v>
      </c>
      <c r="P3236"/>
    </row>
    <row r="3237" spans="15:16" hidden="1" x14ac:dyDescent="0.25">
      <c r="O3237" s="4" t="s">
        <v>3538</v>
      </c>
      <c r="P3237"/>
    </row>
    <row r="3238" spans="15:16" hidden="1" x14ac:dyDescent="0.25">
      <c r="O3238" s="4" t="s">
        <v>3539</v>
      </c>
      <c r="P3238"/>
    </row>
    <row r="3239" spans="15:16" hidden="1" x14ac:dyDescent="0.25">
      <c r="O3239" s="4" t="s">
        <v>3540</v>
      </c>
      <c r="P3239"/>
    </row>
    <row r="3240" spans="15:16" hidden="1" x14ac:dyDescent="0.25">
      <c r="O3240" s="4" t="s">
        <v>3541</v>
      </c>
      <c r="P3240"/>
    </row>
    <row r="3241" spans="15:16" hidden="1" x14ac:dyDescent="0.25">
      <c r="O3241" s="4" t="s">
        <v>3542</v>
      </c>
      <c r="P3241"/>
    </row>
    <row r="3242" spans="15:16" hidden="1" x14ac:dyDescent="0.25">
      <c r="O3242" s="4" t="s">
        <v>3543</v>
      </c>
      <c r="P3242"/>
    </row>
    <row r="3243" spans="15:16" hidden="1" x14ac:dyDescent="0.25">
      <c r="O3243" s="4" t="s">
        <v>3544</v>
      </c>
      <c r="P3243"/>
    </row>
    <row r="3244" spans="15:16" hidden="1" x14ac:dyDescent="0.25">
      <c r="O3244" s="4" t="s">
        <v>3545</v>
      </c>
      <c r="P3244"/>
    </row>
    <row r="3245" spans="15:16" hidden="1" x14ac:dyDescent="0.25">
      <c r="O3245" s="4" t="s">
        <v>3546</v>
      </c>
      <c r="P3245"/>
    </row>
    <row r="3246" spans="15:16" hidden="1" x14ac:dyDescent="0.25">
      <c r="O3246" s="4" t="s">
        <v>3547</v>
      </c>
      <c r="P3246"/>
    </row>
    <row r="3247" spans="15:16" hidden="1" x14ac:dyDescent="0.25">
      <c r="O3247" s="4" t="s">
        <v>3548</v>
      </c>
      <c r="P3247"/>
    </row>
    <row r="3248" spans="15:16" hidden="1" x14ac:dyDescent="0.25">
      <c r="O3248" s="4" t="s">
        <v>3549</v>
      </c>
      <c r="P3248"/>
    </row>
    <row r="3249" spans="15:16" hidden="1" x14ac:dyDescent="0.25">
      <c r="O3249" s="4" t="s">
        <v>3550</v>
      </c>
      <c r="P3249"/>
    </row>
    <row r="3250" spans="15:16" hidden="1" x14ac:dyDescent="0.25">
      <c r="O3250" s="4" t="s">
        <v>3551</v>
      </c>
      <c r="P3250"/>
    </row>
    <row r="3251" spans="15:16" hidden="1" x14ac:dyDescent="0.25">
      <c r="O3251" s="4" t="s">
        <v>3552</v>
      </c>
      <c r="P3251"/>
    </row>
    <row r="3252" spans="15:16" hidden="1" x14ac:dyDescent="0.25">
      <c r="O3252" s="4" t="s">
        <v>3553</v>
      </c>
      <c r="P3252"/>
    </row>
    <row r="3253" spans="15:16" hidden="1" x14ac:dyDescent="0.25">
      <c r="O3253" s="4" t="s">
        <v>3554</v>
      </c>
      <c r="P3253"/>
    </row>
    <row r="3254" spans="15:16" hidden="1" x14ac:dyDescent="0.25">
      <c r="O3254" s="4" t="s">
        <v>3555</v>
      </c>
      <c r="P3254"/>
    </row>
    <row r="3255" spans="15:16" hidden="1" x14ac:dyDescent="0.25">
      <c r="O3255" s="4" t="s">
        <v>3556</v>
      </c>
      <c r="P3255"/>
    </row>
    <row r="3256" spans="15:16" hidden="1" x14ac:dyDescent="0.25">
      <c r="O3256" s="4" t="s">
        <v>3557</v>
      </c>
      <c r="P3256"/>
    </row>
    <row r="3257" spans="15:16" hidden="1" x14ac:dyDescent="0.25">
      <c r="O3257" s="4" t="s">
        <v>3558</v>
      </c>
      <c r="P3257"/>
    </row>
    <row r="3258" spans="15:16" hidden="1" x14ac:dyDescent="0.25">
      <c r="O3258" s="4" t="s">
        <v>3559</v>
      </c>
      <c r="P3258"/>
    </row>
    <row r="3259" spans="15:16" hidden="1" x14ac:dyDescent="0.25">
      <c r="O3259" s="4" t="s">
        <v>3560</v>
      </c>
      <c r="P3259"/>
    </row>
    <row r="3260" spans="15:16" hidden="1" x14ac:dyDescent="0.25">
      <c r="O3260" s="4" t="s">
        <v>3561</v>
      </c>
      <c r="P3260"/>
    </row>
    <row r="3261" spans="15:16" hidden="1" x14ac:dyDescent="0.25">
      <c r="O3261" s="4" t="s">
        <v>3562</v>
      </c>
      <c r="P3261"/>
    </row>
    <row r="3262" spans="15:16" hidden="1" x14ac:dyDescent="0.25">
      <c r="O3262" s="4" t="s">
        <v>3563</v>
      </c>
      <c r="P3262"/>
    </row>
    <row r="3263" spans="15:16" hidden="1" x14ac:dyDescent="0.25">
      <c r="O3263" s="4" t="s">
        <v>3564</v>
      </c>
      <c r="P3263"/>
    </row>
    <row r="3264" spans="15:16" hidden="1" x14ac:dyDescent="0.25">
      <c r="O3264" s="4" t="s">
        <v>3565</v>
      </c>
      <c r="P3264"/>
    </row>
    <row r="3265" spans="15:16" hidden="1" x14ac:dyDescent="0.25">
      <c r="O3265" s="4" t="s">
        <v>3566</v>
      </c>
      <c r="P3265"/>
    </row>
    <row r="3266" spans="15:16" hidden="1" x14ac:dyDescent="0.25">
      <c r="O3266" s="4" t="s">
        <v>3567</v>
      </c>
      <c r="P3266"/>
    </row>
    <row r="3267" spans="15:16" hidden="1" x14ac:dyDescent="0.25">
      <c r="O3267" s="4" t="s">
        <v>3568</v>
      </c>
      <c r="P3267"/>
    </row>
    <row r="3268" spans="15:16" hidden="1" x14ac:dyDescent="0.25">
      <c r="O3268" s="4" t="s">
        <v>3569</v>
      </c>
      <c r="P3268"/>
    </row>
    <row r="3269" spans="15:16" hidden="1" x14ac:dyDescent="0.25">
      <c r="O3269" s="4" t="s">
        <v>3570</v>
      </c>
      <c r="P3269"/>
    </row>
    <row r="3270" spans="15:16" hidden="1" x14ac:dyDescent="0.25">
      <c r="O3270" s="4" t="s">
        <v>3571</v>
      </c>
      <c r="P3270"/>
    </row>
    <row r="3271" spans="15:16" hidden="1" x14ac:dyDescent="0.25">
      <c r="O3271" s="4" t="s">
        <v>3572</v>
      </c>
      <c r="P3271"/>
    </row>
    <row r="3272" spans="15:16" hidden="1" x14ac:dyDescent="0.25">
      <c r="O3272" s="4" t="s">
        <v>3573</v>
      </c>
      <c r="P3272"/>
    </row>
    <row r="3273" spans="15:16" hidden="1" x14ac:dyDescent="0.25">
      <c r="O3273" s="4" t="s">
        <v>3574</v>
      </c>
      <c r="P3273"/>
    </row>
    <row r="3274" spans="15:16" hidden="1" x14ac:dyDescent="0.25">
      <c r="O3274" s="4" t="s">
        <v>3575</v>
      </c>
      <c r="P3274"/>
    </row>
    <row r="3275" spans="15:16" hidden="1" x14ac:dyDescent="0.25">
      <c r="O3275" s="4" t="s">
        <v>3576</v>
      </c>
      <c r="P3275"/>
    </row>
    <row r="3276" spans="15:16" hidden="1" x14ac:dyDescent="0.25">
      <c r="O3276" s="4" t="s">
        <v>3577</v>
      </c>
      <c r="P3276"/>
    </row>
    <row r="3277" spans="15:16" hidden="1" x14ac:dyDescent="0.25">
      <c r="O3277" s="4" t="s">
        <v>3578</v>
      </c>
      <c r="P3277"/>
    </row>
    <row r="3278" spans="15:16" hidden="1" x14ac:dyDescent="0.25">
      <c r="O3278" s="4" t="s">
        <v>3579</v>
      </c>
      <c r="P3278"/>
    </row>
    <row r="3279" spans="15:16" hidden="1" x14ac:dyDescent="0.25">
      <c r="O3279" s="4" t="s">
        <v>3580</v>
      </c>
      <c r="P3279"/>
    </row>
    <row r="3280" spans="15:16" hidden="1" x14ac:dyDescent="0.25">
      <c r="O3280" s="4" t="s">
        <v>3581</v>
      </c>
      <c r="P3280"/>
    </row>
    <row r="3281" spans="15:16" hidden="1" x14ac:dyDescent="0.25">
      <c r="O3281" s="4" t="s">
        <v>3582</v>
      </c>
      <c r="P3281"/>
    </row>
    <row r="3282" spans="15:16" hidden="1" x14ac:dyDescent="0.25">
      <c r="O3282" s="4" t="s">
        <v>3583</v>
      </c>
      <c r="P3282"/>
    </row>
    <row r="3283" spans="15:16" hidden="1" x14ac:dyDescent="0.25">
      <c r="O3283" s="4" t="s">
        <v>3584</v>
      </c>
      <c r="P3283"/>
    </row>
    <row r="3284" spans="15:16" hidden="1" x14ac:dyDescent="0.25">
      <c r="O3284" s="4" t="s">
        <v>3585</v>
      </c>
      <c r="P3284"/>
    </row>
    <row r="3285" spans="15:16" hidden="1" x14ac:dyDescent="0.25">
      <c r="O3285" s="4" t="s">
        <v>3586</v>
      </c>
      <c r="P3285"/>
    </row>
    <row r="3286" spans="15:16" hidden="1" x14ac:dyDescent="0.25">
      <c r="O3286" s="4" t="s">
        <v>3587</v>
      </c>
      <c r="P3286"/>
    </row>
    <row r="3287" spans="15:16" hidden="1" x14ac:dyDescent="0.25">
      <c r="O3287" s="4" t="s">
        <v>3588</v>
      </c>
      <c r="P3287"/>
    </row>
    <row r="3288" spans="15:16" hidden="1" x14ac:dyDescent="0.25">
      <c r="O3288" s="4" t="s">
        <v>3589</v>
      </c>
      <c r="P3288"/>
    </row>
    <row r="3289" spans="15:16" hidden="1" x14ac:dyDescent="0.25">
      <c r="O3289" s="4" t="s">
        <v>3590</v>
      </c>
      <c r="P3289"/>
    </row>
    <row r="3290" spans="15:16" hidden="1" x14ac:dyDescent="0.25">
      <c r="O3290" s="4" t="s">
        <v>3591</v>
      </c>
      <c r="P3290"/>
    </row>
    <row r="3291" spans="15:16" hidden="1" x14ac:dyDescent="0.25">
      <c r="O3291" s="4" t="s">
        <v>3592</v>
      </c>
      <c r="P3291"/>
    </row>
    <row r="3292" spans="15:16" hidden="1" x14ac:dyDescent="0.25">
      <c r="O3292" s="4" t="s">
        <v>3593</v>
      </c>
      <c r="P3292"/>
    </row>
    <row r="3293" spans="15:16" hidden="1" x14ac:dyDescent="0.25">
      <c r="O3293" s="4" t="s">
        <v>3594</v>
      </c>
      <c r="P3293"/>
    </row>
    <row r="3294" spans="15:16" hidden="1" x14ac:dyDescent="0.25">
      <c r="O3294" s="4" t="s">
        <v>3595</v>
      </c>
      <c r="P3294"/>
    </row>
    <row r="3295" spans="15:16" hidden="1" x14ac:dyDescent="0.25">
      <c r="O3295" s="4" t="s">
        <v>3596</v>
      </c>
      <c r="P3295"/>
    </row>
    <row r="3296" spans="15:16" hidden="1" x14ac:dyDescent="0.25">
      <c r="O3296" s="4" t="s">
        <v>3597</v>
      </c>
      <c r="P3296"/>
    </row>
    <row r="3297" spans="15:16" hidden="1" x14ac:dyDescent="0.25">
      <c r="O3297" s="4" t="s">
        <v>3598</v>
      </c>
      <c r="P3297"/>
    </row>
    <row r="3298" spans="15:16" hidden="1" x14ac:dyDescent="0.25">
      <c r="O3298" s="4" t="s">
        <v>3599</v>
      </c>
      <c r="P3298"/>
    </row>
    <row r="3299" spans="15:16" hidden="1" x14ac:dyDescent="0.25">
      <c r="O3299" s="4" t="s">
        <v>3600</v>
      </c>
      <c r="P3299"/>
    </row>
    <row r="3300" spans="15:16" hidden="1" x14ac:dyDescent="0.25">
      <c r="O3300" s="4" t="s">
        <v>3601</v>
      </c>
      <c r="P3300"/>
    </row>
    <row r="3301" spans="15:16" hidden="1" x14ac:dyDescent="0.25">
      <c r="O3301" s="4" t="s">
        <v>3602</v>
      </c>
      <c r="P3301"/>
    </row>
    <row r="3302" spans="15:16" hidden="1" x14ac:dyDescent="0.25">
      <c r="O3302" s="4" t="s">
        <v>3603</v>
      </c>
      <c r="P3302"/>
    </row>
    <row r="3303" spans="15:16" hidden="1" x14ac:dyDescent="0.25">
      <c r="O3303" s="4" t="s">
        <v>3604</v>
      </c>
      <c r="P3303"/>
    </row>
    <row r="3304" spans="15:16" hidden="1" x14ac:dyDescent="0.25">
      <c r="O3304" s="4" t="s">
        <v>3605</v>
      </c>
      <c r="P3304"/>
    </row>
    <row r="3305" spans="15:16" hidden="1" x14ac:dyDescent="0.25">
      <c r="O3305" s="4" t="s">
        <v>3606</v>
      </c>
      <c r="P3305"/>
    </row>
    <row r="3306" spans="15:16" hidden="1" x14ac:dyDescent="0.25">
      <c r="O3306" s="4" t="s">
        <v>3607</v>
      </c>
      <c r="P3306"/>
    </row>
    <row r="3307" spans="15:16" hidden="1" x14ac:dyDescent="0.25">
      <c r="O3307" s="4" t="s">
        <v>3608</v>
      </c>
      <c r="P3307"/>
    </row>
    <row r="3308" spans="15:16" hidden="1" x14ac:dyDescent="0.25">
      <c r="O3308" s="4" t="s">
        <v>3609</v>
      </c>
      <c r="P3308"/>
    </row>
    <row r="3309" spans="15:16" hidden="1" x14ac:dyDescent="0.25">
      <c r="O3309" s="4" t="s">
        <v>3610</v>
      </c>
      <c r="P3309"/>
    </row>
    <row r="3310" spans="15:16" hidden="1" x14ac:dyDescent="0.25">
      <c r="O3310" s="4" t="s">
        <v>3611</v>
      </c>
      <c r="P3310"/>
    </row>
    <row r="3311" spans="15:16" hidden="1" x14ac:dyDescent="0.25">
      <c r="O3311" s="4" t="s">
        <v>3612</v>
      </c>
      <c r="P3311"/>
    </row>
    <row r="3312" spans="15:16" hidden="1" x14ac:dyDescent="0.25">
      <c r="O3312" s="4" t="s">
        <v>3613</v>
      </c>
      <c r="P3312"/>
    </row>
    <row r="3313" spans="15:16" hidden="1" x14ac:dyDescent="0.25">
      <c r="O3313" s="4" t="s">
        <v>3614</v>
      </c>
      <c r="P3313"/>
    </row>
    <row r="3314" spans="15:16" hidden="1" x14ac:dyDescent="0.25">
      <c r="O3314" s="4" t="s">
        <v>3615</v>
      </c>
      <c r="P3314"/>
    </row>
    <row r="3315" spans="15:16" hidden="1" x14ac:dyDescent="0.25">
      <c r="O3315" s="4" t="s">
        <v>3616</v>
      </c>
      <c r="P3315"/>
    </row>
    <row r="3316" spans="15:16" hidden="1" x14ac:dyDescent="0.25">
      <c r="O3316" s="4" t="s">
        <v>3617</v>
      </c>
      <c r="P3316"/>
    </row>
    <row r="3317" spans="15:16" hidden="1" x14ac:dyDescent="0.25">
      <c r="O3317" s="4" t="s">
        <v>3618</v>
      </c>
      <c r="P3317"/>
    </row>
    <row r="3318" spans="15:16" hidden="1" x14ac:dyDescent="0.25">
      <c r="O3318" s="4" t="s">
        <v>3619</v>
      </c>
      <c r="P3318"/>
    </row>
    <row r="3319" spans="15:16" hidden="1" x14ac:dyDescent="0.25">
      <c r="O3319" s="4" t="s">
        <v>3620</v>
      </c>
      <c r="P3319"/>
    </row>
    <row r="3320" spans="15:16" hidden="1" x14ac:dyDescent="0.25">
      <c r="O3320" s="4" t="s">
        <v>3621</v>
      </c>
      <c r="P3320"/>
    </row>
    <row r="3321" spans="15:16" hidden="1" x14ac:dyDescent="0.25">
      <c r="O3321" s="4" t="s">
        <v>3622</v>
      </c>
      <c r="P3321"/>
    </row>
    <row r="3322" spans="15:16" hidden="1" x14ac:dyDescent="0.25">
      <c r="O3322" s="4" t="s">
        <v>3623</v>
      </c>
      <c r="P3322"/>
    </row>
    <row r="3323" spans="15:16" hidden="1" x14ac:dyDescent="0.25">
      <c r="O3323" s="4" t="s">
        <v>3624</v>
      </c>
      <c r="P3323"/>
    </row>
    <row r="3324" spans="15:16" hidden="1" x14ac:dyDescent="0.25">
      <c r="O3324" s="4" t="s">
        <v>3625</v>
      </c>
      <c r="P3324"/>
    </row>
    <row r="3325" spans="15:16" hidden="1" x14ac:dyDescent="0.25">
      <c r="O3325" s="4" t="s">
        <v>3626</v>
      </c>
      <c r="P3325"/>
    </row>
    <row r="3326" spans="15:16" hidden="1" x14ac:dyDescent="0.25">
      <c r="O3326" s="4" t="s">
        <v>3627</v>
      </c>
      <c r="P3326"/>
    </row>
    <row r="3327" spans="15:16" hidden="1" x14ac:dyDescent="0.25">
      <c r="O3327" s="4" t="s">
        <v>3628</v>
      </c>
      <c r="P3327"/>
    </row>
    <row r="3328" spans="15:16" hidden="1" x14ac:dyDescent="0.25">
      <c r="O3328" s="4" t="s">
        <v>3629</v>
      </c>
      <c r="P3328"/>
    </row>
    <row r="3329" spans="15:16" hidden="1" x14ac:dyDescent="0.25">
      <c r="O3329" s="4" t="s">
        <v>3630</v>
      </c>
      <c r="P3329"/>
    </row>
    <row r="3330" spans="15:16" hidden="1" x14ac:dyDescent="0.25">
      <c r="O3330" s="4" t="s">
        <v>3631</v>
      </c>
      <c r="P3330"/>
    </row>
    <row r="3331" spans="15:16" hidden="1" x14ac:dyDescent="0.25">
      <c r="O3331" s="4" t="s">
        <v>3632</v>
      </c>
      <c r="P3331"/>
    </row>
    <row r="3332" spans="15:16" hidden="1" x14ac:dyDescent="0.25">
      <c r="O3332" s="4" t="s">
        <v>3633</v>
      </c>
      <c r="P3332"/>
    </row>
    <row r="3333" spans="15:16" hidden="1" x14ac:dyDescent="0.25">
      <c r="O3333" s="4" t="s">
        <v>3634</v>
      </c>
      <c r="P3333"/>
    </row>
    <row r="3334" spans="15:16" hidden="1" x14ac:dyDescent="0.25">
      <c r="O3334" s="4" t="s">
        <v>3635</v>
      </c>
      <c r="P3334"/>
    </row>
    <row r="3335" spans="15:16" hidden="1" x14ac:dyDescent="0.25">
      <c r="O3335" s="4" t="s">
        <v>3636</v>
      </c>
      <c r="P3335"/>
    </row>
    <row r="3336" spans="15:16" hidden="1" x14ac:dyDescent="0.25">
      <c r="O3336" s="4" t="s">
        <v>3637</v>
      </c>
      <c r="P3336"/>
    </row>
    <row r="3337" spans="15:16" hidden="1" x14ac:dyDescent="0.25">
      <c r="O3337" s="4" t="s">
        <v>3638</v>
      </c>
      <c r="P3337"/>
    </row>
    <row r="3338" spans="15:16" hidden="1" x14ac:dyDescent="0.25">
      <c r="O3338" s="4" t="s">
        <v>3639</v>
      </c>
      <c r="P3338"/>
    </row>
    <row r="3339" spans="15:16" hidden="1" x14ac:dyDescent="0.25">
      <c r="O3339" s="4" t="s">
        <v>3640</v>
      </c>
      <c r="P3339"/>
    </row>
    <row r="3340" spans="15:16" hidden="1" x14ac:dyDescent="0.25">
      <c r="O3340" s="4" t="s">
        <v>3641</v>
      </c>
      <c r="P3340"/>
    </row>
    <row r="3341" spans="15:16" hidden="1" x14ac:dyDescent="0.25">
      <c r="O3341" s="4" t="s">
        <v>3642</v>
      </c>
      <c r="P3341"/>
    </row>
    <row r="3342" spans="15:16" hidden="1" x14ac:dyDescent="0.25">
      <c r="O3342" s="4" t="s">
        <v>3643</v>
      </c>
      <c r="P3342"/>
    </row>
    <row r="3343" spans="15:16" hidden="1" x14ac:dyDescent="0.25">
      <c r="O3343" s="4" t="s">
        <v>3644</v>
      </c>
      <c r="P3343"/>
    </row>
    <row r="3344" spans="15:16" hidden="1" x14ac:dyDescent="0.25">
      <c r="O3344" s="4" t="s">
        <v>3645</v>
      </c>
      <c r="P3344"/>
    </row>
    <row r="3345" spans="15:16" hidden="1" x14ac:dyDescent="0.25">
      <c r="O3345" s="4" t="s">
        <v>3646</v>
      </c>
      <c r="P3345"/>
    </row>
    <row r="3346" spans="15:16" hidden="1" x14ac:dyDescent="0.25">
      <c r="O3346" s="4" t="s">
        <v>3647</v>
      </c>
      <c r="P3346"/>
    </row>
    <row r="3347" spans="15:16" hidden="1" x14ac:dyDescent="0.25">
      <c r="O3347" s="4" t="s">
        <v>3648</v>
      </c>
      <c r="P3347"/>
    </row>
    <row r="3348" spans="15:16" hidden="1" x14ac:dyDescent="0.25">
      <c r="O3348" s="4" t="s">
        <v>3649</v>
      </c>
      <c r="P3348"/>
    </row>
    <row r="3349" spans="15:16" hidden="1" x14ac:dyDescent="0.25">
      <c r="O3349" s="4" t="s">
        <v>3650</v>
      </c>
      <c r="P3349"/>
    </row>
    <row r="3350" spans="15:16" hidden="1" x14ac:dyDescent="0.25">
      <c r="O3350" s="4" t="s">
        <v>3651</v>
      </c>
      <c r="P3350"/>
    </row>
    <row r="3351" spans="15:16" hidden="1" x14ac:dyDescent="0.25">
      <c r="O3351" s="4" t="s">
        <v>3652</v>
      </c>
      <c r="P3351"/>
    </row>
    <row r="3352" spans="15:16" hidden="1" x14ac:dyDescent="0.25">
      <c r="O3352" s="4" t="s">
        <v>3653</v>
      </c>
      <c r="P3352"/>
    </row>
    <row r="3353" spans="15:16" hidden="1" x14ac:dyDescent="0.25">
      <c r="O3353" s="4" t="s">
        <v>3654</v>
      </c>
      <c r="P3353"/>
    </row>
    <row r="3354" spans="15:16" hidden="1" x14ac:dyDescent="0.25">
      <c r="O3354" s="4" t="s">
        <v>3655</v>
      </c>
      <c r="P3354"/>
    </row>
    <row r="3355" spans="15:16" hidden="1" x14ac:dyDescent="0.25">
      <c r="O3355" s="4" t="s">
        <v>3656</v>
      </c>
      <c r="P3355"/>
    </row>
    <row r="3356" spans="15:16" hidden="1" x14ac:dyDescent="0.25">
      <c r="O3356" s="4" t="s">
        <v>3657</v>
      </c>
      <c r="P3356"/>
    </row>
    <row r="3357" spans="15:16" hidden="1" x14ac:dyDescent="0.25">
      <c r="O3357" s="4" t="s">
        <v>3658</v>
      </c>
      <c r="P3357"/>
    </row>
    <row r="3358" spans="15:16" hidden="1" x14ac:dyDescent="0.25">
      <c r="O3358" s="4" t="s">
        <v>3659</v>
      </c>
      <c r="P3358"/>
    </row>
    <row r="3359" spans="15:16" hidden="1" x14ac:dyDescent="0.25">
      <c r="O3359" s="4" t="s">
        <v>3660</v>
      </c>
      <c r="P3359"/>
    </row>
    <row r="3360" spans="15:16" hidden="1" x14ac:dyDescent="0.25">
      <c r="O3360" s="4" t="s">
        <v>3661</v>
      </c>
      <c r="P3360"/>
    </row>
    <row r="3361" spans="15:16" hidden="1" x14ac:dyDescent="0.25">
      <c r="O3361" s="4" t="s">
        <v>3662</v>
      </c>
      <c r="P3361"/>
    </row>
    <row r="3362" spans="15:16" hidden="1" x14ac:dyDescent="0.25">
      <c r="O3362" s="4" t="s">
        <v>3663</v>
      </c>
      <c r="P3362"/>
    </row>
    <row r="3363" spans="15:16" hidden="1" x14ac:dyDescent="0.25">
      <c r="O3363" s="4" t="s">
        <v>3664</v>
      </c>
      <c r="P3363"/>
    </row>
    <row r="3364" spans="15:16" hidden="1" x14ac:dyDescent="0.25">
      <c r="O3364" s="4" t="s">
        <v>3665</v>
      </c>
      <c r="P3364"/>
    </row>
    <row r="3365" spans="15:16" hidden="1" x14ac:dyDescent="0.25">
      <c r="O3365" s="4" t="s">
        <v>3666</v>
      </c>
      <c r="P3365"/>
    </row>
    <row r="3366" spans="15:16" hidden="1" x14ac:dyDescent="0.25">
      <c r="O3366" s="4" t="s">
        <v>3667</v>
      </c>
      <c r="P3366"/>
    </row>
    <row r="3367" spans="15:16" hidden="1" x14ac:dyDescent="0.25">
      <c r="O3367" s="4" t="s">
        <v>3668</v>
      </c>
      <c r="P3367"/>
    </row>
    <row r="3368" spans="15:16" hidden="1" x14ac:dyDescent="0.25">
      <c r="O3368" s="4" t="s">
        <v>3669</v>
      </c>
      <c r="P3368"/>
    </row>
    <row r="3369" spans="15:16" hidden="1" x14ac:dyDescent="0.25">
      <c r="O3369" s="4" t="s">
        <v>3670</v>
      </c>
      <c r="P3369"/>
    </row>
    <row r="3370" spans="15:16" hidden="1" x14ac:dyDescent="0.25">
      <c r="O3370" s="4" t="s">
        <v>3671</v>
      </c>
      <c r="P3370"/>
    </row>
    <row r="3371" spans="15:16" hidden="1" x14ac:dyDescent="0.25">
      <c r="O3371" s="4" t="s">
        <v>3672</v>
      </c>
      <c r="P3371"/>
    </row>
    <row r="3372" spans="15:16" hidden="1" x14ac:dyDescent="0.25">
      <c r="O3372" s="4" t="s">
        <v>3673</v>
      </c>
      <c r="P3372"/>
    </row>
    <row r="3373" spans="15:16" hidden="1" x14ac:dyDescent="0.25">
      <c r="O3373" s="4" t="s">
        <v>3674</v>
      </c>
      <c r="P3373"/>
    </row>
    <row r="3374" spans="15:16" hidden="1" x14ac:dyDescent="0.25">
      <c r="O3374" s="4" t="s">
        <v>3675</v>
      </c>
      <c r="P3374"/>
    </row>
    <row r="3375" spans="15:16" hidden="1" x14ac:dyDescent="0.25">
      <c r="O3375" s="4" t="s">
        <v>3676</v>
      </c>
      <c r="P3375"/>
    </row>
    <row r="3376" spans="15:16" hidden="1" x14ac:dyDescent="0.25">
      <c r="O3376" s="4" t="s">
        <v>3677</v>
      </c>
      <c r="P3376"/>
    </row>
    <row r="3377" spans="15:16" hidden="1" x14ac:dyDescent="0.25">
      <c r="O3377" s="4" t="s">
        <v>3678</v>
      </c>
      <c r="P3377"/>
    </row>
    <row r="3378" spans="15:16" hidden="1" x14ac:dyDescent="0.25">
      <c r="O3378" s="4" t="s">
        <v>3679</v>
      </c>
      <c r="P3378"/>
    </row>
    <row r="3379" spans="15:16" hidden="1" x14ac:dyDescent="0.25">
      <c r="O3379" s="4" t="s">
        <v>3680</v>
      </c>
      <c r="P3379"/>
    </row>
    <row r="3380" spans="15:16" hidden="1" x14ac:dyDescent="0.25">
      <c r="O3380" s="4" t="s">
        <v>3681</v>
      </c>
      <c r="P3380"/>
    </row>
    <row r="3381" spans="15:16" hidden="1" x14ac:dyDescent="0.25">
      <c r="O3381" s="4" t="s">
        <v>3682</v>
      </c>
      <c r="P3381"/>
    </row>
    <row r="3382" spans="15:16" hidden="1" x14ac:dyDescent="0.25">
      <c r="O3382" s="4" t="s">
        <v>3683</v>
      </c>
      <c r="P3382"/>
    </row>
    <row r="3383" spans="15:16" hidden="1" x14ac:dyDescent="0.25">
      <c r="O3383" s="4" t="s">
        <v>315</v>
      </c>
      <c r="P3383"/>
    </row>
    <row r="3384" spans="15:16" hidden="1" x14ac:dyDescent="0.25">
      <c r="O3384" s="4" t="s">
        <v>317</v>
      </c>
      <c r="P3384"/>
    </row>
    <row r="3385" spans="15:16" hidden="1" x14ac:dyDescent="0.25">
      <c r="O3385" s="4" t="s">
        <v>345</v>
      </c>
      <c r="P3385"/>
    </row>
    <row r="3386" spans="15:16" hidden="1" x14ac:dyDescent="0.25">
      <c r="O3386" s="4" t="s">
        <v>399</v>
      </c>
      <c r="P3386"/>
    </row>
    <row r="3387" spans="15:16" hidden="1" x14ac:dyDescent="0.25">
      <c r="O3387" s="4" t="s">
        <v>3684</v>
      </c>
      <c r="P3387"/>
    </row>
    <row r="3388" spans="15:16" hidden="1" x14ac:dyDescent="0.25">
      <c r="O3388" s="4" t="s">
        <v>507</v>
      </c>
      <c r="P3388"/>
    </row>
    <row r="3389" spans="15:16" hidden="1" x14ac:dyDescent="0.25">
      <c r="O3389" s="4" t="s">
        <v>547</v>
      </c>
      <c r="P3389"/>
    </row>
    <row r="3390" spans="15:16" hidden="1" x14ac:dyDescent="0.25">
      <c r="O3390" s="4" t="s">
        <v>563</v>
      </c>
      <c r="P3390"/>
    </row>
    <row r="3391" spans="15:16" hidden="1" x14ac:dyDescent="0.25">
      <c r="O3391" s="4" t="s">
        <v>579</v>
      </c>
      <c r="P3391"/>
    </row>
    <row r="3392" spans="15:16" hidden="1" x14ac:dyDescent="0.25">
      <c r="O3392" s="4" t="s">
        <v>583</v>
      </c>
      <c r="P3392"/>
    </row>
    <row r="3393" spans="15:16" hidden="1" x14ac:dyDescent="0.25">
      <c r="O3393" s="4" t="s">
        <v>609</v>
      </c>
      <c r="P3393"/>
    </row>
    <row r="3394" spans="15:16" hidden="1" x14ac:dyDescent="0.25">
      <c r="O3394" s="4" t="s">
        <v>633</v>
      </c>
      <c r="P3394"/>
    </row>
    <row r="3395" spans="15:16" hidden="1" x14ac:dyDescent="0.25">
      <c r="O3395" s="4" t="s">
        <v>637</v>
      </c>
      <c r="P3395"/>
    </row>
    <row r="3396" spans="15:16" hidden="1" x14ac:dyDescent="0.25">
      <c r="O3396" s="4" t="s">
        <v>641</v>
      </c>
      <c r="P3396"/>
    </row>
    <row r="3397" spans="15:16" hidden="1" x14ac:dyDescent="0.25">
      <c r="O3397" s="4" t="s">
        <v>643</v>
      </c>
      <c r="P3397"/>
    </row>
    <row r="3398" spans="15:16" hidden="1" x14ac:dyDescent="0.25">
      <c r="O3398" s="4" t="s">
        <v>663</v>
      </c>
      <c r="P3398"/>
    </row>
    <row r="3399" spans="15:16" hidden="1" x14ac:dyDescent="0.25">
      <c r="O3399" s="4" t="s">
        <v>737</v>
      </c>
      <c r="P3399"/>
    </row>
    <row r="3400" spans="15:16" hidden="1" x14ac:dyDescent="0.25">
      <c r="O3400" s="4" t="s">
        <v>3685</v>
      </c>
      <c r="P3400"/>
    </row>
    <row r="3401" spans="15:16" hidden="1" x14ac:dyDescent="0.25">
      <c r="O3401" s="4" t="s">
        <v>3686</v>
      </c>
      <c r="P3401"/>
    </row>
    <row r="3402" spans="15:16" hidden="1" x14ac:dyDescent="0.25">
      <c r="O3402" s="4" t="s">
        <v>3687</v>
      </c>
      <c r="P3402"/>
    </row>
    <row r="3403" spans="15:16" hidden="1" x14ac:dyDescent="0.25">
      <c r="O3403" s="4" t="s">
        <v>3688</v>
      </c>
      <c r="P3403"/>
    </row>
    <row r="3404" spans="15:16" hidden="1" x14ac:dyDescent="0.25">
      <c r="O3404" s="4" t="s">
        <v>3689</v>
      </c>
      <c r="P3404"/>
    </row>
    <row r="3405" spans="15:16" hidden="1" x14ac:dyDescent="0.25">
      <c r="O3405" s="4" t="s">
        <v>3690</v>
      </c>
      <c r="P3405"/>
    </row>
    <row r="3406" spans="15:16" hidden="1" x14ac:dyDescent="0.25">
      <c r="O3406" s="4" t="s">
        <v>3691</v>
      </c>
      <c r="P3406"/>
    </row>
    <row r="3407" spans="15:16" hidden="1" x14ac:dyDescent="0.25">
      <c r="O3407" s="4" t="s">
        <v>3692</v>
      </c>
      <c r="P3407"/>
    </row>
    <row r="3408" spans="15:16" hidden="1" x14ac:dyDescent="0.25">
      <c r="O3408" s="4" t="s">
        <v>3693</v>
      </c>
      <c r="P3408"/>
    </row>
    <row r="3409" spans="15:16" hidden="1" x14ac:dyDescent="0.25">
      <c r="O3409" s="4" t="s">
        <v>3694</v>
      </c>
      <c r="P3409"/>
    </row>
    <row r="3410" spans="15:16" hidden="1" x14ac:dyDescent="0.25">
      <c r="O3410" s="4" t="s">
        <v>3695</v>
      </c>
      <c r="P3410"/>
    </row>
    <row r="3411" spans="15:16" hidden="1" x14ac:dyDescent="0.25">
      <c r="O3411" s="4" t="s">
        <v>3696</v>
      </c>
      <c r="P3411"/>
    </row>
    <row r="3412" spans="15:16" hidden="1" x14ac:dyDescent="0.25">
      <c r="O3412" s="4" t="s">
        <v>3697</v>
      </c>
      <c r="P3412"/>
    </row>
    <row r="3413" spans="15:16" hidden="1" x14ac:dyDescent="0.25">
      <c r="O3413" s="4" t="s">
        <v>3698</v>
      </c>
      <c r="P3413"/>
    </row>
    <row r="3414" spans="15:16" hidden="1" x14ac:dyDescent="0.25">
      <c r="O3414" s="4" t="s">
        <v>3699</v>
      </c>
      <c r="P3414"/>
    </row>
    <row r="3415" spans="15:16" hidden="1" x14ac:dyDescent="0.25">
      <c r="O3415" s="4" t="s">
        <v>3700</v>
      </c>
      <c r="P3415"/>
    </row>
    <row r="3416" spans="15:16" hidden="1" x14ac:dyDescent="0.25">
      <c r="O3416" s="27" t="s">
        <v>3701</v>
      </c>
      <c r="P3416"/>
    </row>
    <row r="3417" spans="15:16" hidden="1" x14ac:dyDescent="0.25">
      <c r="O3417" s="27" t="s">
        <v>3702</v>
      </c>
      <c r="P3417"/>
    </row>
    <row r="3418" spans="15:16" hidden="1" x14ac:dyDescent="0.25">
      <c r="O3418" s="27" t="s">
        <v>3703</v>
      </c>
      <c r="P3418"/>
    </row>
    <row r="3419" spans="15:16" hidden="1" x14ac:dyDescent="0.25">
      <c r="O3419" s="27" t="s">
        <v>3704</v>
      </c>
      <c r="P3419"/>
    </row>
    <row r="3420" spans="15:16" hidden="1" x14ac:dyDescent="0.25">
      <c r="O3420" s="27" t="s">
        <v>3705</v>
      </c>
      <c r="P3420"/>
    </row>
    <row r="3421" spans="15:16" hidden="1" x14ac:dyDescent="0.25">
      <c r="O3421" s="27" t="s">
        <v>3706</v>
      </c>
      <c r="P3421"/>
    </row>
    <row r="3422" spans="15:16" hidden="1" x14ac:dyDescent="0.25">
      <c r="O3422" s="27" t="s">
        <v>3707</v>
      </c>
      <c r="P3422"/>
    </row>
    <row r="3423" spans="15:16" hidden="1" x14ac:dyDescent="0.25">
      <c r="O3423" s="27" t="s">
        <v>3708</v>
      </c>
      <c r="P3423"/>
    </row>
    <row r="3424" spans="15:16" hidden="1" x14ac:dyDescent="0.25">
      <c r="O3424" s="27" t="s">
        <v>3709</v>
      </c>
      <c r="P3424"/>
    </row>
    <row r="3425" spans="15:16" hidden="1" x14ac:dyDescent="0.25">
      <c r="O3425" s="27" t="s">
        <v>3710</v>
      </c>
      <c r="P3425"/>
    </row>
    <row r="3426" spans="15:16" hidden="1" x14ac:dyDescent="0.25">
      <c r="O3426" s="27" t="s">
        <v>3711</v>
      </c>
      <c r="P3426"/>
    </row>
    <row r="3427" spans="15:16" hidden="1" x14ac:dyDescent="0.25">
      <c r="O3427" s="27" t="s">
        <v>3712</v>
      </c>
      <c r="P3427"/>
    </row>
    <row r="3428" spans="15:16" hidden="1" x14ac:dyDescent="0.25">
      <c r="O3428" s="27" t="s">
        <v>3713</v>
      </c>
      <c r="P3428"/>
    </row>
    <row r="3429" spans="15:16" hidden="1" x14ac:dyDescent="0.25">
      <c r="O3429" s="27" t="s">
        <v>3714</v>
      </c>
      <c r="P3429"/>
    </row>
    <row r="3430" spans="15:16" hidden="1" x14ac:dyDescent="0.25">
      <c r="O3430" s="27" t="s">
        <v>3715</v>
      </c>
      <c r="P3430"/>
    </row>
    <row r="3431" spans="15:16" hidden="1" x14ac:dyDescent="0.25">
      <c r="O3431" s="27" t="s">
        <v>3716</v>
      </c>
      <c r="P3431"/>
    </row>
    <row r="3432" spans="15:16" hidden="1" x14ac:dyDescent="0.25">
      <c r="O3432" s="27" t="s">
        <v>3717</v>
      </c>
      <c r="P3432"/>
    </row>
    <row r="3433" spans="15:16" hidden="1" x14ac:dyDescent="0.25">
      <c r="O3433" s="27" t="s">
        <v>3718</v>
      </c>
      <c r="P3433"/>
    </row>
    <row r="3434" spans="15:16" hidden="1" x14ac:dyDescent="0.25">
      <c r="O3434" s="27" t="s">
        <v>3719</v>
      </c>
      <c r="P3434"/>
    </row>
    <row r="3435" spans="15:16" hidden="1" x14ac:dyDescent="0.25">
      <c r="O3435" s="27" t="s">
        <v>3720</v>
      </c>
      <c r="P3435"/>
    </row>
    <row r="3436" spans="15:16" hidden="1" x14ac:dyDescent="0.25">
      <c r="O3436" s="27" t="s">
        <v>3721</v>
      </c>
      <c r="P3436"/>
    </row>
    <row r="3437" spans="15:16" hidden="1" x14ac:dyDescent="0.25">
      <c r="O3437" s="27" t="s">
        <v>3722</v>
      </c>
      <c r="P3437"/>
    </row>
    <row r="3438" spans="15:16" hidden="1" x14ac:dyDescent="0.25">
      <c r="O3438" s="27" t="s">
        <v>3723</v>
      </c>
      <c r="P3438"/>
    </row>
    <row r="3439" spans="15:16" hidden="1" x14ac:dyDescent="0.25">
      <c r="O3439" s="27" t="s">
        <v>3724</v>
      </c>
      <c r="P3439"/>
    </row>
    <row r="3440" spans="15:16" hidden="1" x14ac:dyDescent="0.25">
      <c r="O3440" s="27" t="s">
        <v>3725</v>
      </c>
      <c r="P3440"/>
    </row>
    <row r="3441" spans="15:16" hidden="1" x14ac:dyDescent="0.25">
      <c r="O3441" s="27" t="s">
        <v>3726</v>
      </c>
      <c r="P3441"/>
    </row>
    <row r="3442" spans="15:16" hidden="1" x14ac:dyDescent="0.25">
      <c r="O3442" s="27" t="s">
        <v>3727</v>
      </c>
      <c r="P3442"/>
    </row>
    <row r="3443" spans="15:16" hidden="1" x14ac:dyDescent="0.25">
      <c r="O3443" s="27" t="s">
        <v>3728</v>
      </c>
      <c r="P3443"/>
    </row>
    <row r="3444" spans="15:16" hidden="1" x14ac:dyDescent="0.25">
      <c r="O3444" s="27" t="s">
        <v>3729</v>
      </c>
      <c r="P3444"/>
    </row>
    <row r="3445" spans="15:16" hidden="1" x14ac:dyDescent="0.25">
      <c r="O3445" s="27" t="s">
        <v>3730</v>
      </c>
      <c r="P3445"/>
    </row>
    <row r="3446" spans="15:16" hidden="1" x14ac:dyDescent="0.25">
      <c r="O3446" s="27" t="s">
        <v>3731</v>
      </c>
      <c r="P3446"/>
    </row>
    <row r="3447" spans="15:16" hidden="1" x14ac:dyDescent="0.25">
      <c r="O3447" s="27" t="s">
        <v>3732</v>
      </c>
      <c r="P3447"/>
    </row>
    <row r="3448" spans="15:16" hidden="1" x14ac:dyDescent="0.25">
      <c r="O3448" s="27" t="s">
        <v>3733</v>
      </c>
      <c r="P3448"/>
    </row>
    <row r="3449" spans="15:16" hidden="1" x14ac:dyDescent="0.25">
      <c r="O3449" s="27" t="s">
        <v>3734</v>
      </c>
      <c r="P3449"/>
    </row>
    <row r="3450" spans="15:16" hidden="1" x14ac:dyDescent="0.25">
      <c r="O3450" s="27" t="s">
        <v>3735</v>
      </c>
      <c r="P3450"/>
    </row>
    <row r="3451" spans="15:16" hidden="1" x14ac:dyDescent="0.25">
      <c r="O3451" s="27" t="s">
        <v>3736</v>
      </c>
      <c r="P3451"/>
    </row>
    <row r="3452" spans="15:16" hidden="1" x14ac:dyDescent="0.25">
      <c r="O3452" s="27" t="s">
        <v>3737</v>
      </c>
      <c r="P3452"/>
    </row>
    <row r="3453" spans="15:16" hidden="1" x14ac:dyDescent="0.25">
      <c r="O3453" s="27" t="s">
        <v>3738</v>
      </c>
      <c r="P3453"/>
    </row>
    <row r="3454" spans="15:16" hidden="1" x14ac:dyDescent="0.25">
      <c r="O3454" s="27" t="s">
        <v>3739</v>
      </c>
      <c r="P3454"/>
    </row>
    <row r="3455" spans="15:16" hidden="1" x14ac:dyDescent="0.25">
      <c r="O3455" s="27" t="s">
        <v>3740</v>
      </c>
      <c r="P3455"/>
    </row>
    <row r="3456" spans="15:16" hidden="1" x14ac:dyDescent="0.25">
      <c r="O3456" s="27" t="s">
        <v>3741</v>
      </c>
      <c r="P3456"/>
    </row>
    <row r="3457" spans="15:16" hidden="1" x14ac:dyDescent="0.25">
      <c r="O3457" s="27" t="s">
        <v>3742</v>
      </c>
      <c r="P3457"/>
    </row>
    <row r="3458" spans="15:16" hidden="1" x14ac:dyDescent="0.25">
      <c r="O3458" s="27" t="s">
        <v>3743</v>
      </c>
      <c r="P3458"/>
    </row>
    <row r="3459" spans="15:16" hidden="1" x14ac:dyDescent="0.25">
      <c r="O3459" s="27" t="s">
        <v>3744</v>
      </c>
      <c r="P3459"/>
    </row>
    <row r="3460" spans="15:16" hidden="1" x14ac:dyDescent="0.25">
      <c r="O3460" s="27" t="s">
        <v>3745</v>
      </c>
      <c r="P3460"/>
    </row>
    <row r="3461" spans="15:16" hidden="1" x14ac:dyDescent="0.25">
      <c r="O3461" s="27" t="s">
        <v>3746</v>
      </c>
      <c r="P3461"/>
    </row>
    <row r="3462" spans="15:16" hidden="1" x14ac:dyDescent="0.25">
      <c r="O3462" s="27" t="s">
        <v>3747</v>
      </c>
      <c r="P3462"/>
    </row>
    <row r="3463" spans="15:16" hidden="1" x14ac:dyDescent="0.25">
      <c r="O3463" s="27" t="s">
        <v>3748</v>
      </c>
      <c r="P3463"/>
    </row>
    <row r="3464" spans="15:16" hidden="1" x14ac:dyDescent="0.25">
      <c r="O3464" s="27" t="s">
        <v>3749</v>
      </c>
      <c r="P3464"/>
    </row>
    <row r="3465" spans="15:16" hidden="1" x14ac:dyDescent="0.25">
      <c r="O3465" s="27" t="s">
        <v>3750</v>
      </c>
      <c r="P3465"/>
    </row>
    <row r="3466" spans="15:16" hidden="1" x14ac:dyDescent="0.25">
      <c r="O3466" s="27" t="s">
        <v>3751</v>
      </c>
      <c r="P3466"/>
    </row>
    <row r="3467" spans="15:16" hidden="1" x14ac:dyDescent="0.25">
      <c r="O3467" s="27" t="s">
        <v>3752</v>
      </c>
      <c r="P3467"/>
    </row>
    <row r="3468" spans="15:16" hidden="1" x14ac:dyDescent="0.25">
      <c r="O3468" s="27" t="s">
        <v>3753</v>
      </c>
      <c r="P3468"/>
    </row>
    <row r="3469" spans="15:16" hidden="1" x14ac:dyDescent="0.25">
      <c r="O3469" s="27" t="s">
        <v>3754</v>
      </c>
      <c r="P3469"/>
    </row>
    <row r="3470" spans="15:16" hidden="1" x14ac:dyDescent="0.25">
      <c r="O3470" s="27" t="s">
        <v>3755</v>
      </c>
      <c r="P3470"/>
    </row>
    <row r="3471" spans="15:16" hidden="1" x14ac:dyDescent="0.25">
      <c r="O3471" s="27" t="s">
        <v>3756</v>
      </c>
      <c r="P3471"/>
    </row>
    <row r="3472" spans="15:16" hidden="1" x14ac:dyDescent="0.25">
      <c r="O3472" s="27" t="s">
        <v>3757</v>
      </c>
      <c r="P3472"/>
    </row>
    <row r="3473" spans="15:16" hidden="1" x14ac:dyDescent="0.25">
      <c r="O3473" s="27" t="s">
        <v>3758</v>
      </c>
      <c r="P3473"/>
    </row>
    <row r="3474" spans="15:16" hidden="1" x14ac:dyDescent="0.25">
      <c r="O3474" s="27" t="s">
        <v>3759</v>
      </c>
      <c r="P3474"/>
    </row>
    <row r="3475" spans="15:16" hidden="1" x14ac:dyDescent="0.25">
      <c r="O3475" s="27" t="s">
        <v>3760</v>
      </c>
      <c r="P3475"/>
    </row>
    <row r="3476" spans="15:16" hidden="1" x14ac:dyDescent="0.25">
      <c r="O3476" s="27" t="s">
        <v>3761</v>
      </c>
      <c r="P3476"/>
    </row>
    <row r="3477" spans="15:16" hidden="1" x14ac:dyDescent="0.25">
      <c r="O3477" s="27" t="s">
        <v>3762</v>
      </c>
      <c r="P3477"/>
    </row>
    <row r="3478" spans="15:16" hidden="1" x14ac:dyDescent="0.25">
      <c r="O3478" s="27" t="s">
        <v>3763</v>
      </c>
      <c r="P3478"/>
    </row>
    <row r="3479" spans="15:16" hidden="1" x14ac:dyDescent="0.25">
      <c r="O3479" s="27" t="s">
        <v>3764</v>
      </c>
      <c r="P3479"/>
    </row>
    <row r="3480" spans="15:16" hidden="1" x14ac:dyDescent="0.25">
      <c r="O3480" s="27" t="s">
        <v>3765</v>
      </c>
      <c r="P3480"/>
    </row>
    <row r="3481" spans="15:16" hidden="1" x14ac:dyDescent="0.25">
      <c r="O3481" s="27" t="s">
        <v>3766</v>
      </c>
      <c r="P3481"/>
    </row>
    <row r="3482" spans="15:16" hidden="1" x14ac:dyDescent="0.25">
      <c r="O3482" s="27" t="s">
        <v>3767</v>
      </c>
      <c r="P3482"/>
    </row>
    <row r="3483" spans="15:16" hidden="1" x14ac:dyDescent="0.25">
      <c r="O3483" s="27" t="s">
        <v>3768</v>
      </c>
      <c r="P3483"/>
    </row>
    <row r="3484" spans="15:16" hidden="1" x14ac:dyDescent="0.25">
      <c r="O3484" s="27" t="s">
        <v>3769</v>
      </c>
      <c r="P3484"/>
    </row>
    <row r="3485" spans="15:16" hidden="1" x14ac:dyDescent="0.25">
      <c r="O3485" s="27" t="s">
        <v>3770</v>
      </c>
      <c r="P3485"/>
    </row>
    <row r="3486" spans="15:16" hidden="1" x14ac:dyDescent="0.25">
      <c r="O3486" s="27" t="s">
        <v>3771</v>
      </c>
      <c r="P3486"/>
    </row>
    <row r="3487" spans="15:16" hidden="1" x14ac:dyDescent="0.25">
      <c r="O3487" s="27" t="s">
        <v>3772</v>
      </c>
      <c r="P3487"/>
    </row>
    <row r="3488" spans="15:16" hidden="1" x14ac:dyDescent="0.25">
      <c r="O3488" s="27" t="s">
        <v>3773</v>
      </c>
      <c r="P3488"/>
    </row>
    <row r="3489" spans="15:16" hidden="1" x14ac:dyDescent="0.25">
      <c r="O3489" s="27" t="s">
        <v>3774</v>
      </c>
      <c r="P3489"/>
    </row>
    <row r="3490" spans="15:16" hidden="1" x14ac:dyDescent="0.25">
      <c r="O3490" s="27" t="s">
        <v>3775</v>
      </c>
      <c r="P3490"/>
    </row>
    <row r="3491" spans="15:16" hidden="1" x14ac:dyDescent="0.25">
      <c r="O3491" s="27" t="s">
        <v>3776</v>
      </c>
      <c r="P3491"/>
    </row>
    <row r="3492" spans="15:16" hidden="1" x14ac:dyDescent="0.25">
      <c r="O3492" s="27" t="s">
        <v>3777</v>
      </c>
      <c r="P3492"/>
    </row>
    <row r="3493" spans="15:16" hidden="1" x14ac:dyDescent="0.25">
      <c r="O3493" s="27" t="s">
        <v>3778</v>
      </c>
      <c r="P3493"/>
    </row>
    <row r="3494" spans="15:16" hidden="1" x14ac:dyDescent="0.25">
      <c r="O3494" s="27" t="s">
        <v>3779</v>
      </c>
      <c r="P3494"/>
    </row>
    <row r="3495" spans="15:16" hidden="1" x14ac:dyDescent="0.25">
      <c r="O3495" s="27" t="s">
        <v>3780</v>
      </c>
      <c r="P3495"/>
    </row>
    <row r="3496" spans="15:16" hidden="1" x14ac:dyDescent="0.25">
      <c r="O3496" s="27" t="s">
        <v>3781</v>
      </c>
      <c r="P3496"/>
    </row>
    <row r="3497" spans="15:16" hidden="1" x14ac:dyDescent="0.25">
      <c r="O3497" s="27" t="s">
        <v>3782</v>
      </c>
      <c r="P3497"/>
    </row>
    <row r="3498" spans="15:16" hidden="1" x14ac:dyDescent="0.25">
      <c r="O3498" s="27" t="s">
        <v>3783</v>
      </c>
      <c r="P3498"/>
    </row>
    <row r="3499" spans="15:16" hidden="1" x14ac:dyDescent="0.25">
      <c r="O3499" s="27" t="s">
        <v>3784</v>
      </c>
      <c r="P3499"/>
    </row>
    <row r="3500" spans="15:16" hidden="1" x14ac:dyDescent="0.25">
      <c r="O3500" s="27" t="s">
        <v>3785</v>
      </c>
      <c r="P3500"/>
    </row>
    <row r="3501" spans="15:16" hidden="1" x14ac:dyDescent="0.25">
      <c r="O3501" s="27" t="s">
        <v>3786</v>
      </c>
      <c r="P3501"/>
    </row>
    <row r="3502" spans="15:16" hidden="1" x14ac:dyDescent="0.25">
      <c r="O3502" s="27" t="s">
        <v>3787</v>
      </c>
      <c r="P3502"/>
    </row>
    <row r="3503" spans="15:16" hidden="1" x14ac:dyDescent="0.25">
      <c r="O3503" s="27" t="s">
        <v>3788</v>
      </c>
      <c r="P3503"/>
    </row>
    <row r="3504" spans="15:16" hidden="1" x14ac:dyDescent="0.25">
      <c r="O3504" s="27" t="s">
        <v>3789</v>
      </c>
      <c r="P3504"/>
    </row>
    <row r="3505" spans="15:16" hidden="1" x14ac:dyDescent="0.25">
      <c r="O3505" s="4" t="s">
        <v>3790</v>
      </c>
      <c r="P3505"/>
    </row>
    <row r="3506" spans="15:16" hidden="1" x14ac:dyDescent="0.25">
      <c r="O3506" s="28" t="s">
        <v>3791</v>
      </c>
      <c r="P3506"/>
    </row>
    <row r="3507" spans="15:16" hidden="1" x14ac:dyDescent="0.25">
      <c r="O3507" s="28" t="s">
        <v>3792</v>
      </c>
      <c r="P3507"/>
    </row>
    <row r="3508" spans="15:16" hidden="1" x14ac:dyDescent="0.25">
      <c r="O3508" s="28" t="s">
        <v>3793</v>
      </c>
      <c r="P3508"/>
    </row>
    <row r="3509" spans="15:16" hidden="1" x14ac:dyDescent="0.25">
      <c r="O3509" s="28" t="s">
        <v>3794</v>
      </c>
      <c r="P3509"/>
    </row>
    <row r="3510" spans="15:16" hidden="1" x14ac:dyDescent="0.25">
      <c r="O3510" s="28" t="s">
        <v>3795</v>
      </c>
      <c r="P3510"/>
    </row>
    <row r="3511" spans="15:16" hidden="1" x14ac:dyDescent="0.25">
      <c r="O3511" s="28" t="s">
        <v>3796</v>
      </c>
      <c r="P3511"/>
    </row>
    <row r="3512" spans="15:16" hidden="1" x14ac:dyDescent="0.25">
      <c r="O3512" s="28" t="s">
        <v>3797</v>
      </c>
      <c r="P3512"/>
    </row>
    <row r="3513" spans="15:16" hidden="1" x14ac:dyDescent="0.25">
      <c r="O3513" s="28" t="s">
        <v>3798</v>
      </c>
      <c r="P3513"/>
    </row>
    <row r="3514" spans="15:16" hidden="1" x14ac:dyDescent="0.25">
      <c r="O3514" s="28" t="s">
        <v>3799</v>
      </c>
      <c r="P3514"/>
    </row>
    <row r="3515" spans="15:16" hidden="1" x14ac:dyDescent="0.25">
      <c r="O3515" s="28" t="s">
        <v>3800</v>
      </c>
      <c r="P3515"/>
    </row>
    <row r="3516" spans="15:16" hidden="1" x14ac:dyDescent="0.25">
      <c r="O3516" s="28" t="s">
        <v>3801</v>
      </c>
      <c r="P3516"/>
    </row>
    <row r="3517" spans="15:16" hidden="1" x14ac:dyDescent="0.25">
      <c r="O3517" s="28" t="s">
        <v>3802</v>
      </c>
      <c r="P3517"/>
    </row>
    <row r="3518" spans="15:16" hidden="1" x14ac:dyDescent="0.25">
      <c r="O3518" s="28" t="s">
        <v>3803</v>
      </c>
      <c r="P3518"/>
    </row>
    <row r="3519" spans="15:16" hidden="1" x14ac:dyDescent="0.25">
      <c r="O3519" s="28" t="s">
        <v>3804</v>
      </c>
      <c r="P3519"/>
    </row>
    <row r="3520" spans="15:16" hidden="1" x14ac:dyDescent="0.25">
      <c r="O3520" s="28" t="s">
        <v>3805</v>
      </c>
      <c r="P3520"/>
    </row>
    <row r="3521" spans="15:16" hidden="1" x14ac:dyDescent="0.25">
      <c r="O3521" s="28" t="s">
        <v>3806</v>
      </c>
      <c r="P3521"/>
    </row>
    <row r="3522" spans="15:16" hidden="1" x14ac:dyDescent="0.25">
      <c r="O3522" s="28" t="s">
        <v>3807</v>
      </c>
      <c r="P3522"/>
    </row>
    <row r="3523" spans="15:16" hidden="1" x14ac:dyDescent="0.25">
      <c r="O3523" s="28" t="s">
        <v>3808</v>
      </c>
      <c r="P3523"/>
    </row>
    <row r="3524" spans="15:16" hidden="1" x14ac:dyDescent="0.25">
      <c r="O3524" s="28" t="s">
        <v>3809</v>
      </c>
      <c r="P3524"/>
    </row>
    <row r="3525" spans="15:16" hidden="1" x14ac:dyDescent="0.25">
      <c r="O3525" s="28" t="s">
        <v>3810</v>
      </c>
      <c r="P3525"/>
    </row>
    <row r="3526" spans="15:16" hidden="1" x14ac:dyDescent="0.25">
      <c r="O3526" s="28" t="s">
        <v>3811</v>
      </c>
      <c r="P3526"/>
    </row>
    <row r="3527" spans="15:16" hidden="1" x14ac:dyDescent="0.25">
      <c r="O3527" s="28" t="s">
        <v>3812</v>
      </c>
      <c r="P3527"/>
    </row>
    <row r="3528" spans="15:16" hidden="1" x14ac:dyDescent="0.25">
      <c r="O3528" s="28" t="s">
        <v>3813</v>
      </c>
      <c r="P3528"/>
    </row>
    <row r="3529" spans="15:16" hidden="1" x14ac:dyDescent="0.25">
      <c r="O3529" s="28" t="s">
        <v>3814</v>
      </c>
      <c r="P3529"/>
    </row>
    <row r="3530" spans="15:16" hidden="1" x14ac:dyDescent="0.25">
      <c r="O3530" s="28" t="s">
        <v>3815</v>
      </c>
      <c r="P3530"/>
    </row>
    <row r="3531" spans="15:16" hidden="1" x14ac:dyDescent="0.25">
      <c r="O3531" s="28" t="s">
        <v>3816</v>
      </c>
      <c r="P3531"/>
    </row>
    <row r="3532" spans="15:16" hidden="1" x14ac:dyDescent="0.25">
      <c r="O3532" s="28" t="s">
        <v>3817</v>
      </c>
      <c r="P3532"/>
    </row>
    <row r="3533" spans="15:16" hidden="1" x14ac:dyDescent="0.25">
      <c r="O3533" s="28" t="s">
        <v>3834</v>
      </c>
      <c r="P3533"/>
    </row>
    <row r="3534" spans="15:16" hidden="1" x14ac:dyDescent="0.25">
      <c r="O3534" s="28" t="s">
        <v>3835</v>
      </c>
      <c r="P3534"/>
    </row>
    <row r="3535" spans="15:16" hidden="1" x14ac:dyDescent="0.25">
      <c r="O3535" s="28" t="s">
        <v>3836</v>
      </c>
      <c r="P3535"/>
    </row>
    <row r="3536" spans="15:16" hidden="1" x14ac:dyDescent="0.25">
      <c r="O3536" s="28" t="s">
        <v>3837</v>
      </c>
      <c r="P3536"/>
    </row>
    <row r="3537" spans="15:16" hidden="1" x14ac:dyDescent="0.25">
      <c r="O3537" s="28" t="s">
        <v>3838</v>
      </c>
      <c r="P3537"/>
    </row>
    <row r="3538" spans="15:16" hidden="1" x14ac:dyDescent="0.25">
      <c r="O3538" s="28" t="s">
        <v>3839</v>
      </c>
      <c r="P3538"/>
    </row>
    <row r="3539" spans="15:16" hidden="1" x14ac:dyDescent="0.25">
      <c r="O3539" s="28" t="s">
        <v>3840</v>
      </c>
      <c r="P3539"/>
    </row>
    <row r="3540" spans="15:16" hidden="1" x14ac:dyDescent="0.25">
      <c r="O3540" s="28" t="s">
        <v>3841</v>
      </c>
      <c r="P3540"/>
    </row>
    <row r="3541" spans="15:16" hidden="1" x14ac:dyDescent="0.25">
      <c r="O3541" s="28" t="s">
        <v>3842</v>
      </c>
      <c r="P3541"/>
    </row>
    <row r="3542" spans="15:16" hidden="1" x14ac:dyDescent="0.25">
      <c r="O3542" s="28" t="s">
        <v>3843</v>
      </c>
      <c r="P3542"/>
    </row>
    <row r="3543" spans="15:16" hidden="1" x14ac:dyDescent="0.25">
      <c r="O3543" s="28" t="s">
        <v>3844</v>
      </c>
      <c r="P3543"/>
    </row>
    <row r="3544" spans="15:16" hidden="1" x14ac:dyDescent="0.25">
      <c r="O3544" s="28" t="s">
        <v>3845</v>
      </c>
      <c r="P3544"/>
    </row>
    <row r="3545" spans="15:16" hidden="1" x14ac:dyDescent="0.25">
      <c r="O3545" s="28" t="s">
        <v>3846</v>
      </c>
      <c r="P3545"/>
    </row>
    <row r="3546" spans="15:16" hidden="1" x14ac:dyDescent="0.25">
      <c r="O3546" s="28" t="s">
        <v>3847</v>
      </c>
      <c r="P3546"/>
    </row>
    <row r="3547" spans="15:16" hidden="1" x14ac:dyDescent="0.25">
      <c r="O3547" s="28" t="s">
        <v>3848</v>
      </c>
      <c r="P3547"/>
    </row>
    <row r="3548" spans="15:16" hidden="1" x14ac:dyDescent="0.25">
      <c r="O3548" s="28" t="s">
        <v>3849</v>
      </c>
      <c r="P3548"/>
    </row>
    <row r="3549" spans="15:16" hidden="1" x14ac:dyDescent="0.25">
      <c r="O3549" s="28" t="s">
        <v>3852</v>
      </c>
      <c r="P3549"/>
    </row>
    <row r="3550" spans="15:16" hidden="1" x14ac:dyDescent="0.25">
      <c r="O3550" s="28" t="s">
        <v>3853</v>
      </c>
      <c r="P3550"/>
    </row>
    <row r="3551" spans="15:16" hidden="1" x14ac:dyDescent="0.25">
      <c r="O3551" s="28" t="s">
        <v>3854</v>
      </c>
      <c r="P3551"/>
    </row>
    <row r="3552" spans="15:16" hidden="1" x14ac:dyDescent="0.25">
      <c r="O3552" s="28" t="s">
        <v>3855</v>
      </c>
      <c r="P3552"/>
    </row>
    <row r="3553" spans="15:16" hidden="1" x14ac:dyDescent="0.25">
      <c r="O3553" s="28" t="s">
        <v>3856</v>
      </c>
      <c r="P3553"/>
    </row>
    <row r="3554" spans="15:16" hidden="1" x14ac:dyDescent="0.25">
      <c r="O3554" s="28" t="s">
        <v>3857</v>
      </c>
      <c r="P3554"/>
    </row>
    <row r="3555" spans="15:16" hidden="1" x14ac:dyDescent="0.25">
      <c r="O3555" s="28" t="s">
        <v>3858</v>
      </c>
      <c r="P3555"/>
    </row>
    <row r="3556" spans="15:16" hidden="1" x14ac:dyDescent="0.25">
      <c r="O3556" s="28" t="s">
        <v>3859</v>
      </c>
      <c r="P3556"/>
    </row>
    <row r="3557" spans="15:16" hidden="1" x14ac:dyDescent="0.25">
      <c r="O3557" s="28" t="s">
        <v>3860</v>
      </c>
      <c r="P3557"/>
    </row>
    <row r="3558" spans="15:16" hidden="1" x14ac:dyDescent="0.25">
      <c r="O3558" s="28" t="s">
        <v>3861</v>
      </c>
      <c r="P3558"/>
    </row>
    <row r="3559" spans="15:16" hidden="1" x14ac:dyDescent="0.25">
      <c r="O3559" s="28" t="s">
        <v>3862</v>
      </c>
      <c r="P3559"/>
    </row>
    <row r="3560" spans="15:16" hidden="1" x14ac:dyDescent="0.25">
      <c r="O3560" s="28" t="s">
        <v>3863</v>
      </c>
      <c r="P3560"/>
    </row>
    <row r="3561" spans="15:16" hidden="1" x14ac:dyDescent="0.25">
      <c r="O3561" s="28" t="s">
        <v>3864</v>
      </c>
      <c r="P3561"/>
    </row>
    <row r="3562" spans="15:16" hidden="1" x14ac:dyDescent="0.25">
      <c r="O3562" s="28" t="s">
        <v>3865</v>
      </c>
      <c r="P3562"/>
    </row>
    <row r="3563" spans="15:16" hidden="1" x14ac:dyDescent="0.25">
      <c r="O3563" s="28" t="s">
        <v>3866</v>
      </c>
      <c r="P3563"/>
    </row>
    <row r="3564" spans="15:16" hidden="1" x14ac:dyDescent="0.25">
      <c r="O3564" s="28" t="s">
        <v>3867</v>
      </c>
      <c r="P3564"/>
    </row>
    <row r="3565" spans="15:16" hidden="1" x14ac:dyDescent="0.25">
      <c r="O3565" s="28" t="s">
        <v>3868</v>
      </c>
      <c r="P3565"/>
    </row>
    <row r="3566" spans="15:16" hidden="1" x14ac:dyDescent="0.25">
      <c r="O3566" s="28" t="s">
        <v>3869</v>
      </c>
      <c r="P3566"/>
    </row>
    <row r="3567" spans="15:16" hidden="1" x14ac:dyDescent="0.25">
      <c r="O3567" s="28" t="s">
        <v>3870</v>
      </c>
      <c r="P3567"/>
    </row>
    <row r="3568" spans="15:16" hidden="1" x14ac:dyDescent="0.25">
      <c r="O3568" s="28" t="s">
        <v>3871</v>
      </c>
      <c r="P3568"/>
    </row>
    <row r="3569" spans="15:16" hidden="1" x14ac:dyDescent="0.25">
      <c r="O3569" s="28" t="s">
        <v>3872</v>
      </c>
      <c r="P3569"/>
    </row>
    <row r="3570" spans="15:16" hidden="1" x14ac:dyDescent="0.25">
      <c r="O3570" s="28" t="s">
        <v>3873</v>
      </c>
      <c r="P3570"/>
    </row>
    <row r="3571" spans="15:16" hidden="1" x14ac:dyDescent="0.25">
      <c r="O3571" s="28" t="s">
        <v>3874</v>
      </c>
      <c r="P3571"/>
    </row>
    <row r="3572" spans="15:16" hidden="1" x14ac:dyDescent="0.25">
      <c r="O3572" s="28" t="s">
        <v>3875</v>
      </c>
      <c r="P3572"/>
    </row>
    <row r="3573" spans="15:16" hidden="1" x14ac:dyDescent="0.25">
      <c r="O3573" s="28" t="s">
        <v>3876</v>
      </c>
      <c r="P3573"/>
    </row>
    <row r="3574" spans="15:16" hidden="1" x14ac:dyDescent="0.25">
      <c r="O3574" s="28" t="s">
        <v>3877</v>
      </c>
      <c r="P3574"/>
    </row>
    <row r="3575" spans="15:16" hidden="1" x14ac:dyDescent="0.25">
      <c r="O3575" s="28" t="s">
        <v>3878</v>
      </c>
      <c r="P3575"/>
    </row>
    <row r="3576" spans="15:16" hidden="1" x14ac:dyDescent="0.25">
      <c r="O3576" s="28" t="s">
        <v>3879</v>
      </c>
      <c r="P3576"/>
    </row>
    <row r="3577" spans="15:16" hidden="1" x14ac:dyDescent="0.25">
      <c r="O3577" s="28" t="s">
        <v>3880</v>
      </c>
      <c r="P3577"/>
    </row>
    <row r="3578" spans="15:16" hidden="1" x14ac:dyDescent="0.25">
      <c r="O3578" s="28" t="s">
        <v>3881</v>
      </c>
      <c r="P3578"/>
    </row>
    <row r="3579" spans="15:16" hidden="1" x14ac:dyDescent="0.25">
      <c r="O3579" s="28" t="s">
        <v>3882</v>
      </c>
      <c r="P3579"/>
    </row>
    <row r="3580" spans="15:16" hidden="1" x14ac:dyDescent="0.25">
      <c r="O3580" s="28" t="s">
        <v>3883</v>
      </c>
      <c r="P3580"/>
    </row>
    <row r="3581" spans="15:16" hidden="1" x14ac:dyDescent="0.25">
      <c r="O3581" s="28" t="s">
        <v>3884</v>
      </c>
      <c r="P3581"/>
    </row>
    <row r="3582" spans="15:16" hidden="1" x14ac:dyDescent="0.25">
      <c r="O3582" s="28" t="s">
        <v>3885</v>
      </c>
      <c r="P3582"/>
    </row>
    <row r="3583" spans="15:16" hidden="1" x14ac:dyDescent="0.25">
      <c r="O3583" s="28" t="s">
        <v>3886</v>
      </c>
      <c r="P3583"/>
    </row>
    <row r="3584" spans="15:16" hidden="1" x14ac:dyDescent="0.25">
      <c r="O3584" s="28" t="s">
        <v>3887</v>
      </c>
      <c r="P3584"/>
    </row>
    <row r="3585" spans="15:16" hidden="1" x14ac:dyDescent="0.25">
      <c r="O3585" s="28" t="s">
        <v>3888</v>
      </c>
      <c r="P3585"/>
    </row>
    <row r="3586" spans="15:16" hidden="1" x14ac:dyDescent="0.25">
      <c r="O3586" s="28" t="s">
        <v>3889</v>
      </c>
      <c r="P3586"/>
    </row>
    <row r="3587" spans="15:16" hidden="1" x14ac:dyDescent="0.25">
      <c r="O3587" s="28" t="s">
        <v>3890</v>
      </c>
      <c r="P3587"/>
    </row>
    <row r="3588" spans="15:16" hidden="1" x14ac:dyDescent="0.25">
      <c r="O3588" s="28" t="s">
        <v>3891</v>
      </c>
      <c r="P3588"/>
    </row>
    <row r="3589" spans="15:16" hidden="1" x14ac:dyDescent="0.25">
      <c r="O3589" s="28" t="s">
        <v>3892</v>
      </c>
      <c r="P3589"/>
    </row>
    <row r="3590" spans="15:16" hidden="1" x14ac:dyDescent="0.25">
      <c r="O3590" s="28" t="s">
        <v>3893</v>
      </c>
      <c r="P3590"/>
    </row>
    <row r="3591" spans="15:16" hidden="1" x14ac:dyDescent="0.25">
      <c r="O3591" s="28" t="s">
        <v>3894</v>
      </c>
      <c r="P3591"/>
    </row>
    <row r="3592" spans="15:16" hidden="1" x14ac:dyDescent="0.25">
      <c r="O3592" s="28" t="s">
        <v>3895</v>
      </c>
      <c r="P3592"/>
    </row>
    <row r="3593" spans="15:16" hidden="1" x14ac:dyDescent="0.25">
      <c r="O3593" s="28" t="s">
        <v>3896</v>
      </c>
      <c r="P3593"/>
    </row>
    <row r="3594" spans="15:16" hidden="1" x14ac:dyDescent="0.25">
      <c r="O3594" s="28" t="s">
        <v>3897</v>
      </c>
      <c r="P3594"/>
    </row>
    <row r="3595" spans="15:16" hidden="1" x14ac:dyDescent="0.25">
      <c r="O3595" s="28" t="s">
        <v>3898</v>
      </c>
      <c r="P3595"/>
    </row>
    <row r="3596" spans="15:16" hidden="1" x14ac:dyDescent="0.25">
      <c r="O3596" s="28" t="s">
        <v>3899</v>
      </c>
      <c r="P3596"/>
    </row>
    <row r="3597" spans="15:16" hidden="1" x14ac:dyDescent="0.25">
      <c r="O3597" s="28" t="s">
        <v>3900</v>
      </c>
      <c r="P3597"/>
    </row>
    <row r="3598" spans="15:16" hidden="1" x14ac:dyDescent="0.25">
      <c r="O3598" s="28" t="s">
        <v>3901</v>
      </c>
      <c r="P3598"/>
    </row>
    <row r="3599" spans="15:16" hidden="1" x14ac:dyDescent="0.25">
      <c r="O3599" s="28" t="s">
        <v>3902</v>
      </c>
      <c r="P3599"/>
    </row>
    <row r="3600" spans="15:16" hidden="1" x14ac:dyDescent="0.25">
      <c r="O3600" s="28" t="s">
        <v>3903</v>
      </c>
      <c r="P3600"/>
    </row>
    <row r="3601" spans="15:16" hidden="1" x14ac:dyDescent="0.25">
      <c r="O3601" s="28" t="s">
        <v>3904</v>
      </c>
      <c r="P3601"/>
    </row>
    <row r="3602" spans="15:16" hidden="1" x14ac:dyDescent="0.25">
      <c r="O3602" s="28" t="s">
        <v>3905</v>
      </c>
      <c r="P3602"/>
    </row>
    <row r="3603" spans="15:16" hidden="1" x14ac:dyDescent="0.25">
      <c r="O3603" s="28" t="s">
        <v>3906</v>
      </c>
      <c r="P3603"/>
    </row>
    <row r="3604" spans="15:16" hidden="1" x14ac:dyDescent="0.25">
      <c r="O3604" s="28" t="s">
        <v>3907</v>
      </c>
      <c r="P3604"/>
    </row>
    <row r="3605" spans="15:16" hidden="1" x14ac:dyDescent="0.25">
      <c r="O3605" s="28" t="s">
        <v>3908</v>
      </c>
      <c r="P3605"/>
    </row>
    <row r="3606" spans="15:16" hidden="1" x14ac:dyDescent="0.25">
      <c r="O3606" s="28" t="s">
        <v>3909</v>
      </c>
      <c r="P3606"/>
    </row>
    <row r="3607" spans="15:16" hidden="1" x14ac:dyDescent="0.25">
      <c r="O3607" s="28" t="s">
        <v>3910</v>
      </c>
      <c r="P3607"/>
    </row>
    <row r="3608" spans="15:16" hidden="1" x14ac:dyDescent="0.25">
      <c r="O3608" s="28" t="s">
        <v>3911</v>
      </c>
      <c r="P3608"/>
    </row>
    <row r="3609" spans="15:16" hidden="1" x14ac:dyDescent="0.25">
      <c r="O3609" s="28" t="s">
        <v>3912</v>
      </c>
      <c r="P3609"/>
    </row>
    <row r="3610" spans="15:16" hidden="1" x14ac:dyDescent="0.25">
      <c r="O3610" s="28" t="s">
        <v>3913</v>
      </c>
      <c r="P3610"/>
    </row>
    <row r="3611" spans="15:16" hidden="1" x14ac:dyDescent="0.25">
      <c r="O3611" s="28" t="s">
        <v>3914</v>
      </c>
      <c r="P3611"/>
    </row>
    <row r="3612" spans="15:16" hidden="1" x14ac:dyDescent="0.25">
      <c r="O3612" s="28" t="s">
        <v>3915</v>
      </c>
      <c r="P3612"/>
    </row>
    <row r="3613" spans="15:16" hidden="1" x14ac:dyDescent="0.25">
      <c r="O3613" s="28" t="s">
        <v>3916</v>
      </c>
      <c r="P3613"/>
    </row>
    <row r="3614" spans="15:16" hidden="1" x14ac:dyDescent="0.25">
      <c r="O3614" s="28" t="s">
        <v>3917</v>
      </c>
      <c r="P3614"/>
    </row>
    <row r="3615" spans="15:16" hidden="1" x14ac:dyDescent="0.25">
      <c r="O3615" s="28" t="s">
        <v>3918</v>
      </c>
      <c r="P3615"/>
    </row>
    <row r="3616" spans="15:16" hidden="1" x14ac:dyDescent="0.25">
      <c r="O3616" s="28" t="s">
        <v>3919</v>
      </c>
      <c r="P3616"/>
    </row>
    <row r="3617" spans="15:16" hidden="1" x14ac:dyDescent="0.25">
      <c r="O3617" s="28" t="s">
        <v>3920</v>
      </c>
      <c r="P3617"/>
    </row>
    <row r="3618" spans="15:16" hidden="1" x14ac:dyDescent="0.25">
      <c r="O3618" s="28" t="s">
        <v>3921</v>
      </c>
      <c r="P3618"/>
    </row>
    <row r="3619" spans="15:16" hidden="1" x14ac:dyDescent="0.25">
      <c r="O3619" s="28" t="s">
        <v>3922</v>
      </c>
      <c r="P3619"/>
    </row>
    <row r="3620" spans="15:16" hidden="1" x14ac:dyDescent="0.25">
      <c r="O3620" s="28" t="s">
        <v>3923</v>
      </c>
      <c r="P3620"/>
    </row>
    <row r="3621" spans="15:16" hidden="1" x14ac:dyDescent="0.25">
      <c r="O3621" s="28" t="s">
        <v>3924</v>
      </c>
      <c r="P3621"/>
    </row>
    <row r="3622" spans="15:16" hidden="1" x14ac:dyDescent="0.25">
      <c r="O3622" s="28" t="s">
        <v>3925</v>
      </c>
      <c r="P3622"/>
    </row>
    <row r="3623" spans="15:16" hidden="1" x14ac:dyDescent="0.25">
      <c r="O3623" s="28" t="s">
        <v>3926</v>
      </c>
      <c r="P3623"/>
    </row>
    <row r="3624" spans="15:16" hidden="1" x14ac:dyDescent="0.25">
      <c r="O3624" s="28" t="s">
        <v>3927</v>
      </c>
      <c r="P3624"/>
    </row>
    <row r="3625" spans="15:16" hidden="1" x14ac:dyDescent="0.25">
      <c r="O3625" s="28" t="s">
        <v>3928</v>
      </c>
      <c r="P3625"/>
    </row>
    <row r="3626" spans="15:16" hidden="1" x14ac:dyDescent="0.25">
      <c r="O3626" s="28" t="s">
        <v>3929</v>
      </c>
      <c r="P3626"/>
    </row>
    <row r="3627" spans="15:16" hidden="1" x14ac:dyDescent="0.25">
      <c r="O3627" s="28" t="s">
        <v>3930</v>
      </c>
      <c r="P3627"/>
    </row>
    <row r="3628" spans="15:16" hidden="1" x14ac:dyDescent="0.25">
      <c r="O3628" s="28" t="s">
        <v>3931</v>
      </c>
      <c r="P3628"/>
    </row>
    <row r="3629" spans="15:16" hidden="1" x14ac:dyDescent="0.25">
      <c r="O3629" s="28" t="s">
        <v>3932</v>
      </c>
      <c r="P3629"/>
    </row>
    <row r="3630" spans="15:16" hidden="1" x14ac:dyDescent="0.25">
      <c r="O3630" s="28" t="s">
        <v>3933</v>
      </c>
      <c r="P3630"/>
    </row>
    <row r="3631" spans="15:16" hidden="1" x14ac:dyDescent="0.25">
      <c r="O3631" s="28" t="s">
        <v>3934</v>
      </c>
      <c r="P3631"/>
    </row>
    <row r="3632" spans="15:16" hidden="1" x14ac:dyDescent="0.25">
      <c r="O3632" s="28" t="s">
        <v>3935</v>
      </c>
      <c r="P3632"/>
    </row>
    <row r="3633" spans="15:16" hidden="1" x14ac:dyDescent="0.25">
      <c r="O3633" s="28" t="s">
        <v>3936</v>
      </c>
      <c r="P3633"/>
    </row>
    <row r="3634" spans="15:16" hidden="1" x14ac:dyDescent="0.25">
      <c r="O3634" s="28" t="s">
        <v>3937</v>
      </c>
      <c r="P3634"/>
    </row>
    <row r="3635" spans="15:16" hidden="1" x14ac:dyDescent="0.25">
      <c r="O3635" s="28" t="s">
        <v>3938</v>
      </c>
      <c r="P3635"/>
    </row>
    <row r="3636" spans="15:16" hidden="1" x14ac:dyDescent="0.25">
      <c r="O3636" s="28" t="s">
        <v>3939</v>
      </c>
      <c r="P3636"/>
    </row>
    <row r="3637" spans="15:16" hidden="1" x14ac:dyDescent="0.25">
      <c r="O3637" s="28" t="s">
        <v>3940</v>
      </c>
      <c r="P3637"/>
    </row>
    <row r="3638" spans="15:16" hidden="1" x14ac:dyDescent="0.25">
      <c r="O3638" s="28" t="s">
        <v>3941</v>
      </c>
      <c r="P3638"/>
    </row>
    <row r="3639" spans="15:16" hidden="1" x14ac:dyDescent="0.25">
      <c r="O3639" s="28" t="s">
        <v>3942</v>
      </c>
      <c r="P3639"/>
    </row>
    <row r="3640" spans="15:16" hidden="1" x14ac:dyDescent="0.25">
      <c r="O3640" s="28" t="s">
        <v>3943</v>
      </c>
      <c r="P3640"/>
    </row>
    <row r="3641" spans="15:16" hidden="1" x14ac:dyDescent="0.25">
      <c r="O3641" s="28" t="s">
        <v>3944</v>
      </c>
      <c r="P3641"/>
    </row>
    <row r="3642" spans="15:16" hidden="1" x14ac:dyDescent="0.25">
      <c r="O3642" s="28" t="s">
        <v>3945</v>
      </c>
      <c r="P3642"/>
    </row>
    <row r="3643" spans="15:16" hidden="1" x14ac:dyDescent="0.25">
      <c r="O3643" s="28" t="s">
        <v>3946</v>
      </c>
      <c r="P3643"/>
    </row>
    <row r="3644" spans="15:16" hidden="1" x14ac:dyDescent="0.25">
      <c r="O3644" s="28" t="s">
        <v>3947</v>
      </c>
      <c r="P3644"/>
    </row>
    <row r="3645" spans="15:16" hidden="1" x14ac:dyDescent="0.25">
      <c r="O3645" s="28" t="s">
        <v>3948</v>
      </c>
      <c r="P3645"/>
    </row>
    <row r="3646" spans="15:16" hidden="1" x14ac:dyDescent="0.25">
      <c r="O3646" s="28"/>
      <c r="P3646"/>
    </row>
    <row r="3647" spans="15:16" hidden="1" x14ac:dyDescent="0.25">
      <c r="O3647" s="28"/>
      <c r="P3647"/>
    </row>
    <row r="3648" spans="15:16" hidden="1" x14ac:dyDescent="0.25">
      <c r="O3648" s="28"/>
      <c r="P3648"/>
    </row>
    <row r="3649" spans="15:16" hidden="1" x14ac:dyDescent="0.25">
      <c r="O3649" s="28"/>
      <c r="P3649"/>
    </row>
    <row r="3650" spans="15:16" hidden="1" x14ac:dyDescent="0.25">
      <c r="O3650" s="28"/>
      <c r="P3650"/>
    </row>
    <row r="3651" spans="15:16" hidden="1" x14ac:dyDescent="0.25">
      <c r="O3651" s="28"/>
      <c r="P3651"/>
    </row>
    <row r="3652" spans="15:16" hidden="1" x14ac:dyDescent="0.25">
      <c r="O3652" s="28"/>
      <c r="P3652"/>
    </row>
    <row r="3653" spans="15:16" hidden="1" x14ac:dyDescent="0.25">
      <c r="O3653" s="28"/>
      <c r="P3653"/>
    </row>
    <row r="3654" spans="15:16" hidden="1" x14ac:dyDescent="0.25">
      <c r="O3654" s="28"/>
      <c r="P3654"/>
    </row>
    <row r="3655" spans="15:16" hidden="1" x14ac:dyDescent="0.25">
      <c r="O3655" s="28"/>
      <c r="P3655"/>
    </row>
    <row r="3656" spans="15:16" hidden="1" x14ac:dyDescent="0.25">
      <c r="O3656" s="28"/>
      <c r="P3656"/>
    </row>
    <row r="3657" spans="15:16" hidden="1" x14ac:dyDescent="0.25">
      <c r="O3657" s="28"/>
      <c r="P3657"/>
    </row>
    <row r="3658" spans="15:16" hidden="1" x14ac:dyDescent="0.25">
      <c r="O3658" s="28"/>
      <c r="P3658"/>
    </row>
    <row r="3659" spans="15:16" hidden="1" x14ac:dyDescent="0.25">
      <c r="O3659" s="28"/>
      <c r="P3659"/>
    </row>
    <row r="3660" spans="15:16" hidden="1" x14ac:dyDescent="0.25">
      <c r="O3660" s="28"/>
      <c r="P3660"/>
    </row>
    <row r="3661" spans="15:16" hidden="1" x14ac:dyDescent="0.25">
      <c r="O3661" s="28"/>
      <c r="P3661"/>
    </row>
    <row r="3662" spans="15:16" hidden="1" x14ac:dyDescent="0.25">
      <c r="O3662" s="28"/>
      <c r="P3662"/>
    </row>
    <row r="3663" spans="15:16" hidden="1" x14ac:dyDescent="0.25">
      <c r="O3663" s="28"/>
      <c r="P3663"/>
    </row>
    <row r="3664" spans="15:16" hidden="1" x14ac:dyDescent="0.25">
      <c r="O3664" s="28"/>
      <c r="P3664"/>
    </row>
    <row r="3665" spans="15:16" hidden="1" x14ac:dyDescent="0.25">
      <c r="O3665" s="28"/>
      <c r="P3665"/>
    </row>
    <row r="3666" spans="15:16" hidden="1" x14ac:dyDescent="0.25">
      <c r="O3666" s="28"/>
      <c r="P3666"/>
    </row>
    <row r="3667" spans="15:16" hidden="1" x14ac:dyDescent="0.25">
      <c r="O3667" s="28"/>
      <c r="P3667"/>
    </row>
    <row r="3668" spans="15:16" hidden="1" x14ac:dyDescent="0.25">
      <c r="O3668" s="28"/>
      <c r="P3668"/>
    </row>
    <row r="3669" spans="15:16" hidden="1" x14ac:dyDescent="0.25">
      <c r="O3669" s="28"/>
      <c r="P3669"/>
    </row>
    <row r="3670" spans="15:16" hidden="1" x14ac:dyDescent="0.25">
      <c r="O3670" s="28"/>
      <c r="P3670"/>
    </row>
    <row r="3671" spans="15:16" hidden="1" x14ac:dyDescent="0.25">
      <c r="O3671" s="28"/>
      <c r="P3671"/>
    </row>
    <row r="3672" spans="15:16" hidden="1" x14ac:dyDescent="0.25">
      <c r="O3672" s="28"/>
      <c r="P3672"/>
    </row>
    <row r="3673" spans="15:16" hidden="1" x14ac:dyDescent="0.25">
      <c r="O3673" s="28"/>
      <c r="P3673"/>
    </row>
    <row r="3674" spans="15:16" hidden="1" x14ac:dyDescent="0.25">
      <c r="O3674" s="28"/>
      <c r="P3674"/>
    </row>
    <row r="3675" spans="15:16" hidden="1" x14ac:dyDescent="0.25">
      <c r="O3675" s="28"/>
      <c r="P3675"/>
    </row>
    <row r="3676" spans="15:16" hidden="1" x14ac:dyDescent="0.25">
      <c r="O3676" s="28"/>
      <c r="P3676"/>
    </row>
    <row r="3677" spans="15:16" hidden="1" x14ac:dyDescent="0.25">
      <c r="O3677" s="28"/>
      <c r="P3677"/>
    </row>
    <row r="3678" spans="15:16" hidden="1" x14ac:dyDescent="0.25">
      <c r="O3678" s="28"/>
      <c r="P3678"/>
    </row>
    <row r="3679" spans="15:16" hidden="1" x14ac:dyDescent="0.25">
      <c r="O3679" s="28"/>
      <c r="P3679"/>
    </row>
    <row r="3680" spans="15:16" hidden="1" x14ac:dyDescent="0.25">
      <c r="O3680" s="28"/>
      <c r="P3680"/>
    </row>
    <row r="3681" spans="15:16" hidden="1" x14ac:dyDescent="0.25">
      <c r="O3681" s="28"/>
      <c r="P3681"/>
    </row>
    <row r="3682" spans="15:16" hidden="1" x14ac:dyDescent="0.25">
      <c r="O3682" s="28"/>
      <c r="P3682"/>
    </row>
    <row r="3683" spans="15:16" hidden="1" x14ac:dyDescent="0.25">
      <c r="O3683" s="28"/>
      <c r="P3683"/>
    </row>
    <row r="3684" spans="15:16" hidden="1" x14ac:dyDescent="0.25">
      <c r="O3684" s="28"/>
      <c r="P3684"/>
    </row>
    <row r="3685" spans="15:16" hidden="1" x14ac:dyDescent="0.25">
      <c r="O3685" s="28"/>
      <c r="P3685"/>
    </row>
    <row r="3686" spans="15:16" hidden="1" x14ac:dyDescent="0.25">
      <c r="O3686" s="28"/>
      <c r="P3686"/>
    </row>
    <row r="3687" spans="15:16" hidden="1" x14ac:dyDescent="0.25">
      <c r="O3687" s="28"/>
      <c r="P3687"/>
    </row>
    <row r="3688" spans="15:16" hidden="1" x14ac:dyDescent="0.25">
      <c r="O3688" s="28"/>
      <c r="P3688"/>
    </row>
    <row r="3689" spans="15:16" hidden="1" x14ac:dyDescent="0.25">
      <c r="O3689" s="28"/>
      <c r="P3689"/>
    </row>
    <row r="3690" spans="15:16" hidden="1" x14ac:dyDescent="0.25">
      <c r="O3690" s="28"/>
      <c r="P3690"/>
    </row>
    <row r="3691" spans="15:16" hidden="1" x14ac:dyDescent="0.25">
      <c r="O3691" s="28"/>
      <c r="P3691"/>
    </row>
    <row r="3692" spans="15:16" hidden="1" x14ac:dyDescent="0.25">
      <c r="O3692" s="28"/>
      <c r="P3692"/>
    </row>
    <row r="3693" spans="15:16" hidden="1" x14ac:dyDescent="0.25">
      <c r="O3693" s="28"/>
      <c r="P3693"/>
    </row>
    <row r="3694" spans="15:16" hidden="1" x14ac:dyDescent="0.25">
      <c r="O3694" s="28"/>
      <c r="P3694"/>
    </row>
    <row r="3695" spans="15:16" hidden="1" x14ac:dyDescent="0.25">
      <c r="O3695" s="28"/>
      <c r="P3695"/>
    </row>
    <row r="3696" spans="15:16" hidden="1" x14ac:dyDescent="0.25">
      <c r="O3696" s="28"/>
      <c r="P3696"/>
    </row>
    <row r="3697" spans="15:16" hidden="1" x14ac:dyDescent="0.25">
      <c r="O3697" s="28"/>
      <c r="P3697"/>
    </row>
    <row r="3698" spans="15:16" hidden="1" x14ac:dyDescent="0.25">
      <c r="O3698" s="28"/>
      <c r="P3698"/>
    </row>
    <row r="3699" spans="15:16" hidden="1" x14ac:dyDescent="0.25">
      <c r="O3699" s="28"/>
      <c r="P3699"/>
    </row>
    <row r="3700" spans="15:16" hidden="1" x14ac:dyDescent="0.25">
      <c r="O3700" s="28"/>
      <c r="P3700"/>
    </row>
    <row r="3701" spans="15:16" hidden="1" x14ac:dyDescent="0.25">
      <c r="O3701" s="28"/>
      <c r="P3701"/>
    </row>
    <row r="3702" spans="15:16" hidden="1" x14ac:dyDescent="0.25">
      <c r="O3702" s="28"/>
      <c r="P3702"/>
    </row>
    <row r="3703" spans="15:16" hidden="1" x14ac:dyDescent="0.25">
      <c r="O3703" s="28"/>
      <c r="P3703"/>
    </row>
    <row r="3704" spans="15:16" hidden="1" x14ac:dyDescent="0.25">
      <c r="O3704" s="28"/>
      <c r="P3704"/>
    </row>
    <row r="3705" spans="15:16" hidden="1" x14ac:dyDescent="0.25">
      <c r="O3705" s="28"/>
      <c r="P3705"/>
    </row>
    <row r="3706" spans="15:16" hidden="1" x14ac:dyDescent="0.25">
      <c r="O3706" s="28"/>
      <c r="P3706"/>
    </row>
    <row r="3707" spans="15:16" hidden="1" x14ac:dyDescent="0.25">
      <c r="O3707" s="28"/>
      <c r="P3707"/>
    </row>
    <row r="3708" spans="15:16" hidden="1" x14ac:dyDescent="0.25">
      <c r="O3708" s="28"/>
      <c r="P3708"/>
    </row>
    <row r="3709" spans="15:16" hidden="1" x14ac:dyDescent="0.25">
      <c r="O3709" s="28"/>
      <c r="P3709"/>
    </row>
    <row r="3710" spans="15:16" hidden="1" x14ac:dyDescent="0.25">
      <c r="O3710" s="28"/>
      <c r="P3710"/>
    </row>
    <row r="3711" spans="15:16" hidden="1" x14ac:dyDescent="0.25">
      <c r="O3711" s="28"/>
      <c r="P3711"/>
    </row>
    <row r="3712" spans="15:16" hidden="1" x14ac:dyDescent="0.25">
      <c r="O3712" s="28"/>
      <c r="P3712"/>
    </row>
    <row r="3713" spans="15:16" hidden="1" x14ac:dyDescent="0.25">
      <c r="O3713" s="28"/>
      <c r="P3713"/>
    </row>
    <row r="3714" spans="15:16" hidden="1" x14ac:dyDescent="0.25">
      <c r="O3714" s="28"/>
      <c r="P3714"/>
    </row>
    <row r="3715" spans="15:16" hidden="1" x14ac:dyDescent="0.25">
      <c r="O3715" s="28"/>
      <c r="P3715"/>
    </row>
    <row r="3716" spans="15:16" hidden="1" x14ac:dyDescent="0.25">
      <c r="O3716" s="28"/>
      <c r="P3716"/>
    </row>
    <row r="3717" spans="15:16" hidden="1" x14ac:dyDescent="0.25">
      <c r="O3717" s="28"/>
      <c r="P3717"/>
    </row>
    <row r="3718" spans="15:16" hidden="1" x14ac:dyDescent="0.25">
      <c r="O3718" s="28"/>
      <c r="P3718"/>
    </row>
    <row r="3719" spans="15:16" hidden="1" x14ac:dyDescent="0.25">
      <c r="O3719" s="28"/>
      <c r="P3719"/>
    </row>
    <row r="3720" spans="15:16" hidden="1" x14ac:dyDescent="0.25">
      <c r="O3720" s="28"/>
      <c r="P3720"/>
    </row>
    <row r="3721" spans="15:16" hidden="1" x14ac:dyDescent="0.25">
      <c r="O3721" s="28"/>
      <c r="P3721"/>
    </row>
    <row r="3722" spans="15:16" hidden="1" x14ac:dyDescent="0.25">
      <c r="O3722" s="28"/>
      <c r="P3722"/>
    </row>
    <row r="3723" spans="15:16" hidden="1" x14ac:dyDescent="0.25">
      <c r="O3723" s="28"/>
      <c r="P3723"/>
    </row>
    <row r="3724" spans="15:16" hidden="1" x14ac:dyDescent="0.25">
      <c r="O3724" s="28"/>
      <c r="P3724"/>
    </row>
    <row r="3725" spans="15:16" hidden="1" x14ac:dyDescent="0.25">
      <c r="O3725" s="28"/>
      <c r="P3725"/>
    </row>
    <row r="3726" spans="15:16" hidden="1" x14ac:dyDescent="0.25">
      <c r="O3726" s="28"/>
      <c r="P3726"/>
    </row>
    <row r="3727" spans="15:16" hidden="1" x14ac:dyDescent="0.25">
      <c r="O3727" s="28"/>
      <c r="P3727"/>
    </row>
    <row r="3728" spans="15:16" hidden="1" x14ac:dyDescent="0.25">
      <c r="O3728" s="28"/>
      <c r="P3728"/>
    </row>
    <row r="3729" spans="15:16" hidden="1" x14ac:dyDescent="0.25">
      <c r="O3729" s="28"/>
      <c r="P3729"/>
    </row>
    <row r="3730" spans="15:16" hidden="1" x14ac:dyDescent="0.25">
      <c r="O3730" s="28"/>
      <c r="P3730"/>
    </row>
    <row r="3731" spans="15:16" hidden="1" x14ac:dyDescent="0.25">
      <c r="O3731" s="28"/>
      <c r="P3731"/>
    </row>
    <row r="3732" spans="15:16" hidden="1" x14ac:dyDescent="0.25">
      <c r="O3732" s="28"/>
      <c r="P3732"/>
    </row>
    <row r="3733" spans="15:16" hidden="1" x14ac:dyDescent="0.25">
      <c r="O3733" s="28"/>
      <c r="P3733"/>
    </row>
    <row r="3734" spans="15:16" hidden="1" x14ac:dyDescent="0.25">
      <c r="O3734" s="28"/>
      <c r="P3734"/>
    </row>
    <row r="3735" spans="15:16" hidden="1" x14ac:dyDescent="0.25">
      <c r="O3735" s="28"/>
      <c r="P3735"/>
    </row>
    <row r="3736" spans="15:16" hidden="1" x14ac:dyDescent="0.25">
      <c r="O3736" s="28"/>
      <c r="P3736"/>
    </row>
    <row r="3737" spans="15:16" hidden="1" x14ac:dyDescent="0.25">
      <c r="O3737"/>
      <c r="P3737"/>
    </row>
    <row r="3738" spans="15:16" hidden="1" x14ac:dyDescent="0.25">
      <c r="O3738"/>
      <c r="P3738"/>
    </row>
    <row r="3739" spans="15:16" hidden="1" x14ac:dyDescent="0.25">
      <c r="O3739"/>
      <c r="P3739"/>
    </row>
    <row r="3740" spans="15:16" hidden="1" x14ac:dyDescent="0.25">
      <c r="O3740"/>
      <c r="P3740"/>
    </row>
    <row r="3741" spans="15:16" hidden="1" x14ac:dyDescent="0.25">
      <c r="O3741"/>
      <c r="P3741"/>
    </row>
    <row r="3742" spans="15:16" hidden="1" x14ac:dyDescent="0.25">
      <c r="O3742"/>
      <c r="P3742"/>
    </row>
    <row r="3743" spans="15:16" hidden="1" x14ac:dyDescent="0.25">
      <c r="O3743"/>
      <c r="P3743"/>
    </row>
    <row r="3744" spans="15:16" hidden="1" x14ac:dyDescent="0.25">
      <c r="O3744"/>
      <c r="P3744"/>
    </row>
    <row r="3745" spans="15:16" hidden="1" x14ac:dyDescent="0.25">
      <c r="O3745"/>
      <c r="P3745"/>
    </row>
    <row r="3746" spans="15:16" hidden="1" x14ac:dyDescent="0.25">
      <c r="O3746"/>
      <c r="P3746"/>
    </row>
    <row r="3747" spans="15:16" hidden="1" x14ac:dyDescent="0.25">
      <c r="O3747"/>
      <c r="P3747"/>
    </row>
    <row r="3748" spans="15:16" hidden="1" x14ac:dyDescent="0.25">
      <c r="O3748"/>
      <c r="P3748"/>
    </row>
    <row r="3749" spans="15:16" hidden="1" x14ac:dyDescent="0.25">
      <c r="O3749"/>
      <c r="P3749"/>
    </row>
    <row r="3750" spans="15:16" hidden="1" x14ac:dyDescent="0.25">
      <c r="O3750"/>
      <c r="P3750"/>
    </row>
    <row r="3751" spans="15:16" hidden="1" x14ac:dyDescent="0.25">
      <c r="O3751"/>
      <c r="P3751"/>
    </row>
    <row r="3752" spans="15:16" hidden="1" x14ac:dyDescent="0.25">
      <c r="O3752"/>
      <c r="P3752"/>
    </row>
    <row r="3753" spans="15:16" hidden="1" x14ac:dyDescent="0.25">
      <c r="O3753"/>
      <c r="P3753"/>
    </row>
    <row r="3754" spans="15:16" hidden="1" x14ac:dyDescent="0.25">
      <c r="O3754"/>
      <c r="P3754"/>
    </row>
    <row r="3755" spans="15:16" hidden="1" x14ac:dyDescent="0.25">
      <c r="O3755"/>
      <c r="P3755"/>
    </row>
    <row r="3756" spans="15:16" hidden="1" x14ac:dyDescent="0.25">
      <c r="O3756"/>
      <c r="P3756"/>
    </row>
    <row r="3757" spans="15:16" hidden="1" x14ac:dyDescent="0.25">
      <c r="O3757"/>
      <c r="P3757"/>
    </row>
    <row r="3758" spans="15:16" hidden="1" x14ac:dyDescent="0.25">
      <c r="O3758"/>
      <c r="P3758"/>
    </row>
    <row r="3759" spans="15:16" hidden="1" x14ac:dyDescent="0.25">
      <c r="O3759"/>
      <c r="P3759"/>
    </row>
    <row r="3760" spans="15:16" hidden="1" x14ac:dyDescent="0.25">
      <c r="O3760"/>
      <c r="P3760"/>
    </row>
    <row r="3761" spans="15:16" hidden="1" x14ac:dyDescent="0.25">
      <c r="O3761"/>
      <c r="P3761"/>
    </row>
    <row r="3762" spans="15:16" hidden="1" x14ac:dyDescent="0.25">
      <c r="O3762"/>
      <c r="P3762"/>
    </row>
    <row r="3763" spans="15:16" hidden="1" x14ac:dyDescent="0.25">
      <c r="O3763"/>
      <c r="P3763"/>
    </row>
    <row r="3764" spans="15:16" hidden="1" x14ac:dyDescent="0.25">
      <c r="O3764"/>
      <c r="P3764"/>
    </row>
    <row r="3765" spans="15:16" hidden="1" x14ac:dyDescent="0.25">
      <c r="O3765"/>
      <c r="P3765"/>
    </row>
    <row r="3766" spans="15:16" hidden="1" x14ac:dyDescent="0.25">
      <c r="O3766"/>
      <c r="P3766"/>
    </row>
    <row r="3767" spans="15:16" hidden="1" x14ac:dyDescent="0.25">
      <c r="O3767"/>
      <c r="P3767"/>
    </row>
    <row r="3768" spans="15:16" hidden="1" x14ac:dyDescent="0.25">
      <c r="O3768"/>
      <c r="P3768"/>
    </row>
    <row r="3769" spans="15:16" hidden="1" x14ac:dyDescent="0.25">
      <c r="O3769"/>
      <c r="P3769"/>
    </row>
    <row r="3770" spans="15:16" hidden="1" x14ac:dyDescent="0.25">
      <c r="O3770"/>
      <c r="P3770"/>
    </row>
    <row r="3771" spans="15:16" hidden="1" x14ac:dyDescent="0.25">
      <c r="O3771"/>
      <c r="P3771"/>
    </row>
    <row r="3772" spans="15:16" hidden="1" x14ac:dyDescent="0.25">
      <c r="O3772"/>
      <c r="P3772"/>
    </row>
    <row r="3773" spans="15:16" hidden="1" x14ac:dyDescent="0.25">
      <c r="O3773"/>
      <c r="P3773"/>
    </row>
    <row r="3774" spans="15:16" hidden="1" x14ac:dyDescent="0.25">
      <c r="O3774"/>
      <c r="P3774"/>
    </row>
    <row r="3775" spans="15:16" hidden="1" x14ac:dyDescent="0.25">
      <c r="O3775"/>
      <c r="P3775"/>
    </row>
    <row r="3776" spans="15:16" hidden="1" x14ac:dyDescent="0.25">
      <c r="O3776"/>
      <c r="P3776"/>
    </row>
    <row r="3777" spans="15:16" hidden="1" x14ac:dyDescent="0.25">
      <c r="O3777"/>
      <c r="P3777"/>
    </row>
    <row r="3778" spans="15:16" hidden="1" x14ac:dyDescent="0.25">
      <c r="O3778"/>
      <c r="P3778"/>
    </row>
    <row r="3779" spans="15:16" hidden="1" x14ac:dyDescent="0.25">
      <c r="O3779"/>
      <c r="P3779"/>
    </row>
    <row r="3780" spans="15:16" hidden="1" x14ac:dyDescent="0.25">
      <c r="O3780"/>
      <c r="P3780"/>
    </row>
    <row r="3781" spans="15:16" hidden="1" x14ac:dyDescent="0.25">
      <c r="O3781"/>
      <c r="P3781"/>
    </row>
    <row r="3782" spans="15:16" hidden="1" x14ac:dyDescent="0.25">
      <c r="O3782"/>
      <c r="P3782"/>
    </row>
    <row r="3783" spans="15:16" hidden="1" x14ac:dyDescent="0.25">
      <c r="O3783"/>
      <c r="P3783"/>
    </row>
    <row r="3784" spans="15:16" hidden="1" x14ac:dyDescent="0.25">
      <c r="O3784"/>
      <c r="P3784"/>
    </row>
    <row r="3785" spans="15:16" hidden="1" x14ac:dyDescent="0.25">
      <c r="O3785"/>
      <c r="P3785"/>
    </row>
    <row r="3786" spans="15:16" hidden="1" x14ac:dyDescent="0.25">
      <c r="O3786"/>
      <c r="P3786"/>
    </row>
    <row r="3787" spans="15:16" hidden="1" x14ac:dyDescent="0.25">
      <c r="O3787"/>
      <c r="P3787"/>
    </row>
    <row r="3788" spans="15:16" hidden="1" x14ac:dyDescent="0.25">
      <c r="O3788"/>
      <c r="P3788"/>
    </row>
    <row r="3789" spans="15:16" hidden="1" x14ac:dyDescent="0.25">
      <c r="O3789"/>
      <c r="P3789"/>
    </row>
    <row r="3790" spans="15:16" hidden="1" x14ac:dyDescent="0.25">
      <c r="O3790"/>
      <c r="P3790"/>
    </row>
    <row r="3791" spans="15:16" hidden="1" x14ac:dyDescent="0.25">
      <c r="O3791"/>
      <c r="P3791"/>
    </row>
    <row r="3792" spans="15:16" hidden="1" x14ac:dyDescent="0.25">
      <c r="O3792"/>
      <c r="P3792"/>
    </row>
    <row r="3793" spans="15:16" hidden="1" x14ac:dyDescent="0.25">
      <c r="O3793"/>
      <c r="P3793"/>
    </row>
    <row r="3794" spans="15:16" hidden="1" x14ac:dyDescent="0.25">
      <c r="O3794"/>
      <c r="P3794"/>
    </row>
    <row r="3795" spans="15:16" hidden="1" x14ac:dyDescent="0.25">
      <c r="O3795"/>
      <c r="P3795"/>
    </row>
    <row r="3796" spans="15:16" hidden="1" x14ac:dyDescent="0.25">
      <c r="O3796"/>
      <c r="P3796"/>
    </row>
    <row r="3797" spans="15:16" hidden="1" x14ac:dyDescent="0.25">
      <c r="O3797"/>
      <c r="P3797"/>
    </row>
    <row r="3798" spans="15:16" hidden="1" x14ac:dyDescent="0.25">
      <c r="O3798"/>
      <c r="P3798"/>
    </row>
    <row r="3799" spans="15:16" hidden="1" x14ac:dyDescent="0.25">
      <c r="O3799"/>
      <c r="P3799"/>
    </row>
    <row r="3800" spans="15:16" hidden="1" x14ac:dyDescent="0.25">
      <c r="O3800"/>
      <c r="P3800"/>
    </row>
    <row r="3801" spans="15:16" hidden="1" x14ac:dyDescent="0.25">
      <c r="O3801"/>
      <c r="P3801"/>
    </row>
    <row r="3802" spans="15:16" hidden="1" x14ac:dyDescent="0.25">
      <c r="O3802"/>
      <c r="P3802"/>
    </row>
    <row r="3803" spans="15:16" hidden="1" x14ac:dyDescent="0.25">
      <c r="O3803"/>
      <c r="P3803"/>
    </row>
    <row r="3804" spans="15:16" hidden="1" x14ac:dyDescent="0.25">
      <c r="O3804"/>
      <c r="P3804"/>
    </row>
    <row r="3805" spans="15:16" hidden="1" x14ac:dyDescent="0.25">
      <c r="O3805"/>
      <c r="P3805"/>
    </row>
    <row r="3806" spans="15:16" hidden="1" x14ac:dyDescent="0.25">
      <c r="O3806"/>
      <c r="P3806"/>
    </row>
    <row r="3807" spans="15:16" hidden="1" x14ac:dyDescent="0.25">
      <c r="O3807"/>
      <c r="P3807"/>
    </row>
    <row r="3808" spans="15:16" hidden="1" x14ac:dyDescent="0.25">
      <c r="O3808"/>
      <c r="P3808"/>
    </row>
    <row r="3809" spans="15:16" hidden="1" x14ac:dyDescent="0.25">
      <c r="O3809"/>
      <c r="P3809"/>
    </row>
    <row r="3810" spans="15:16" hidden="1" x14ac:dyDescent="0.25">
      <c r="O3810"/>
      <c r="P3810"/>
    </row>
    <row r="3811" spans="15:16" hidden="1" x14ac:dyDescent="0.25">
      <c r="O3811"/>
      <c r="P3811"/>
    </row>
    <row r="3812" spans="15:16" hidden="1" x14ac:dyDescent="0.25">
      <c r="O3812"/>
      <c r="P3812"/>
    </row>
    <row r="3813" spans="15:16" hidden="1" x14ac:dyDescent="0.25">
      <c r="O3813"/>
      <c r="P3813"/>
    </row>
    <row r="3814" spans="15:16" hidden="1" x14ac:dyDescent="0.25">
      <c r="O3814"/>
      <c r="P3814"/>
    </row>
    <row r="3815" spans="15:16" hidden="1" x14ac:dyDescent="0.25">
      <c r="O3815"/>
      <c r="P3815"/>
    </row>
    <row r="3816" spans="15:16" hidden="1" x14ac:dyDescent="0.25">
      <c r="O3816"/>
      <c r="P3816"/>
    </row>
    <row r="3817" spans="15:16" hidden="1" x14ac:dyDescent="0.25">
      <c r="O3817"/>
      <c r="P3817"/>
    </row>
    <row r="3818" spans="15:16" hidden="1" x14ac:dyDescent="0.25">
      <c r="O3818"/>
      <c r="P3818"/>
    </row>
    <row r="3819" spans="15:16" hidden="1" x14ac:dyDescent="0.25">
      <c r="O3819"/>
      <c r="P3819"/>
    </row>
    <row r="3820" spans="15:16" hidden="1" x14ac:dyDescent="0.25">
      <c r="O3820"/>
      <c r="P3820"/>
    </row>
    <row r="3821" spans="15:16" hidden="1" x14ac:dyDescent="0.25">
      <c r="O3821"/>
      <c r="P3821"/>
    </row>
    <row r="3822" spans="15:16" hidden="1" x14ac:dyDescent="0.25">
      <c r="O3822"/>
      <c r="P3822"/>
    </row>
    <row r="3823" spans="15:16" hidden="1" x14ac:dyDescent="0.25">
      <c r="O3823"/>
      <c r="P3823"/>
    </row>
    <row r="3824" spans="15:16" hidden="1" x14ac:dyDescent="0.25">
      <c r="O3824"/>
      <c r="P3824"/>
    </row>
    <row r="3825" spans="15:16" hidden="1" x14ac:dyDescent="0.25">
      <c r="O3825"/>
      <c r="P3825"/>
    </row>
    <row r="3826" spans="15:16" hidden="1" x14ac:dyDescent="0.25">
      <c r="O3826"/>
      <c r="P3826"/>
    </row>
    <row r="3827" spans="15:16" hidden="1" x14ac:dyDescent="0.25">
      <c r="O3827"/>
      <c r="P3827"/>
    </row>
    <row r="3828" spans="15:16" hidden="1" x14ac:dyDescent="0.25">
      <c r="O3828"/>
      <c r="P3828"/>
    </row>
    <row r="3829" spans="15:16" hidden="1" x14ac:dyDescent="0.25">
      <c r="O3829"/>
      <c r="P3829"/>
    </row>
    <row r="3830" spans="15:16" hidden="1" x14ac:dyDescent="0.25">
      <c r="O3830"/>
      <c r="P3830"/>
    </row>
    <row r="3831" spans="15:16" hidden="1" x14ac:dyDescent="0.25">
      <c r="O3831"/>
      <c r="P3831"/>
    </row>
    <row r="3832" spans="15:16" hidden="1" x14ac:dyDescent="0.25">
      <c r="O3832"/>
      <c r="P3832"/>
    </row>
    <row r="3833" spans="15:16" hidden="1" x14ac:dyDescent="0.25">
      <c r="O3833"/>
      <c r="P3833"/>
    </row>
    <row r="3834" spans="15:16" hidden="1" x14ac:dyDescent="0.25">
      <c r="O3834"/>
      <c r="P3834"/>
    </row>
    <row r="3835" spans="15:16" hidden="1" x14ac:dyDescent="0.25">
      <c r="O3835"/>
      <c r="P3835"/>
    </row>
    <row r="3836" spans="15:16" hidden="1" x14ac:dyDescent="0.25">
      <c r="O3836"/>
      <c r="P3836"/>
    </row>
    <row r="3837" spans="15:16" hidden="1" x14ac:dyDescent="0.25">
      <c r="O3837"/>
      <c r="P3837"/>
    </row>
    <row r="3838" spans="15:16" hidden="1" x14ac:dyDescent="0.25">
      <c r="O3838"/>
      <c r="P3838"/>
    </row>
    <row r="3839" spans="15:16" hidden="1" x14ac:dyDescent="0.25">
      <c r="O3839"/>
      <c r="P3839"/>
    </row>
    <row r="3840" spans="15:16" hidden="1" x14ac:dyDescent="0.25">
      <c r="O3840"/>
      <c r="P3840"/>
    </row>
    <row r="3841" spans="15:16" hidden="1" x14ac:dyDescent="0.25">
      <c r="O3841"/>
      <c r="P3841"/>
    </row>
    <row r="3842" spans="15:16" hidden="1" x14ac:dyDescent="0.25">
      <c r="O3842"/>
      <c r="P3842"/>
    </row>
    <row r="3843" spans="15:16" hidden="1" x14ac:dyDescent="0.25">
      <c r="O3843"/>
      <c r="P3843"/>
    </row>
    <row r="3844" spans="15:16" hidden="1" x14ac:dyDescent="0.25">
      <c r="O3844"/>
      <c r="P3844"/>
    </row>
    <row r="3845" spans="15:16" hidden="1" x14ac:dyDescent="0.25">
      <c r="O3845"/>
      <c r="P3845"/>
    </row>
    <row r="3846" spans="15:16" hidden="1" x14ac:dyDescent="0.25">
      <c r="O3846"/>
      <c r="P3846"/>
    </row>
    <row r="3847" spans="15:16" hidden="1" x14ac:dyDescent="0.25">
      <c r="O3847"/>
      <c r="P3847"/>
    </row>
    <row r="3848" spans="15:16" hidden="1" x14ac:dyDescent="0.25">
      <c r="O3848"/>
      <c r="P3848"/>
    </row>
    <row r="3849" spans="15:16" hidden="1" x14ac:dyDescent="0.25">
      <c r="O3849"/>
      <c r="P3849"/>
    </row>
    <row r="3850" spans="15:16" hidden="1" x14ac:dyDescent="0.25">
      <c r="O3850"/>
      <c r="P3850"/>
    </row>
    <row r="3851" spans="15:16" hidden="1" x14ac:dyDescent="0.25">
      <c r="O3851"/>
      <c r="P3851"/>
    </row>
    <row r="3852" spans="15:16" hidden="1" x14ac:dyDescent="0.25">
      <c r="O3852"/>
      <c r="P3852"/>
    </row>
    <row r="3853" spans="15:16" hidden="1" x14ac:dyDescent="0.25">
      <c r="O3853"/>
      <c r="P3853"/>
    </row>
    <row r="3854" spans="15:16" hidden="1" x14ac:dyDescent="0.25">
      <c r="O3854"/>
      <c r="P3854"/>
    </row>
    <row r="3855" spans="15:16" hidden="1" x14ac:dyDescent="0.25">
      <c r="O3855"/>
      <c r="P3855"/>
    </row>
    <row r="3856" spans="15:16" hidden="1" x14ac:dyDescent="0.25">
      <c r="O3856"/>
      <c r="P3856"/>
    </row>
    <row r="3857" spans="15:16" hidden="1" x14ac:dyDescent="0.25">
      <c r="O3857"/>
      <c r="P3857"/>
    </row>
    <row r="3858" spans="15:16" hidden="1" x14ac:dyDescent="0.25">
      <c r="O3858"/>
      <c r="P3858"/>
    </row>
    <row r="3859" spans="15:16" hidden="1" x14ac:dyDescent="0.25">
      <c r="O3859"/>
      <c r="P3859"/>
    </row>
    <row r="3860" spans="15:16" hidden="1" x14ac:dyDescent="0.25">
      <c r="O3860"/>
      <c r="P3860"/>
    </row>
    <row r="3861" spans="15:16" hidden="1" x14ac:dyDescent="0.25">
      <c r="O3861"/>
      <c r="P3861"/>
    </row>
    <row r="3862" spans="15:16" hidden="1" x14ac:dyDescent="0.25">
      <c r="O3862"/>
      <c r="P3862"/>
    </row>
    <row r="3863" spans="15:16" hidden="1" x14ac:dyDescent="0.25">
      <c r="O3863"/>
      <c r="P3863"/>
    </row>
    <row r="3864" spans="15:16" hidden="1" x14ac:dyDescent="0.25">
      <c r="O3864"/>
      <c r="P3864"/>
    </row>
    <row r="3865" spans="15:16" hidden="1" x14ac:dyDescent="0.25">
      <c r="O3865"/>
      <c r="P3865"/>
    </row>
    <row r="3866" spans="15:16" hidden="1" x14ac:dyDescent="0.25">
      <c r="O3866"/>
      <c r="P3866"/>
    </row>
    <row r="3867" spans="15:16" hidden="1" x14ac:dyDescent="0.25">
      <c r="O3867"/>
      <c r="P3867"/>
    </row>
    <row r="3868" spans="15:16" hidden="1" x14ac:dyDescent="0.25">
      <c r="O3868"/>
      <c r="P3868"/>
    </row>
    <row r="3869" spans="15:16" hidden="1" x14ac:dyDescent="0.25">
      <c r="O3869"/>
      <c r="P3869"/>
    </row>
    <row r="3870" spans="15:16" hidden="1" x14ac:dyDescent="0.25">
      <c r="O3870"/>
      <c r="P3870"/>
    </row>
    <row r="3871" spans="15:16" hidden="1" x14ac:dyDescent="0.25">
      <c r="O3871"/>
      <c r="P3871"/>
    </row>
    <row r="3872" spans="15:16" hidden="1" x14ac:dyDescent="0.25">
      <c r="O3872"/>
      <c r="P3872"/>
    </row>
    <row r="3873" spans="15:16" hidden="1" x14ac:dyDescent="0.25">
      <c r="O3873"/>
      <c r="P3873"/>
    </row>
    <row r="3874" spans="15:16" hidden="1" x14ac:dyDescent="0.25">
      <c r="O3874"/>
      <c r="P3874"/>
    </row>
    <row r="3875" spans="15:16" hidden="1" x14ac:dyDescent="0.25">
      <c r="O3875"/>
      <c r="P3875"/>
    </row>
    <row r="3876" spans="15:16" hidden="1" x14ac:dyDescent="0.25">
      <c r="O3876"/>
      <c r="P3876"/>
    </row>
    <row r="3877" spans="15:16" hidden="1" x14ac:dyDescent="0.25">
      <c r="O3877"/>
      <c r="P3877"/>
    </row>
    <row r="3878" spans="15:16" hidden="1" x14ac:dyDescent="0.25">
      <c r="O3878"/>
      <c r="P3878"/>
    </row>
    <row r="3879" spans="15:16" hidden="1" x14ac:dyDescent="0.25">
      <c r="O3879"/>
      <c r="P3879"/>
    </row>
    <row r="3880" spans="15:16" hidden="1" x14ac:dyDescent="0.25">
      <c r="O3880"/>
      <c r="P3880"/>
    </row>
    <row r="3881" spans="15:16" hidden="1" x14ac:dyDescent="0.25">
      <c r="O3881"/>
      <c r="P3881"/>
    </row>
    <row r="3882" spans="15:16" hidden="1" x14ac:dyDescent="0.25">
      <c r="O3882"/>
      <c r="P3882"/>
    </row>
    <row r="3883" spans="15:16" hidden="1" x14ac:dyDescent="0.25">
      <c r="O3883"/>
      <c r="P3883"/>
    </row>
    <row r="3884" spans="15:16" hidden="1" x14ac:dyDescent="0.25">
      <c r="O3884"/>
      <c r="P3884"/>
    </row>
    <row r="3885" spans="15:16" hidden="1" x14ac:dyDescent="0.25">
      <c r="O3885"/>
      <c r="P3885"/>
    </row>
    <row r="3886" spans="15:16" hidden="1" x14ac:dyDescent="0.25">
      <c r="O3886"/>
      <c r="P3886"/>
    </row>
    <row r="3887" spans="15:16" hidden="1" x14ac:dyDescent="0.25">
      <c r="O3887"/>
      <c r="P3887"/>
    </row>
    <row r="3888" spans="15:16" hidden="1" x14ac:dyDescent="0.25">
      <c r="O3888"/>
      <c r="P3888"/>
    </row>
    <row r="3889" spans="15:16" hidden="1" x14ac:dyDescent="0.25">
      <c r="O3889"/>
      <c r="P3889"/>
    </row>
    <row r="3890" spans="15:16" hidden="1" x14ac:dyDescent="0.25">
      <c r="O3890"/>
      <c r="P3890"/>
    </row>
    <row r="3891" spans="15:16" hidden="1" x14ac:dyDescent="0.25">
      <c r="O3891"/>
      <c r="P3891"/>
    </row>
    <row r="3892" spans="15:16" hidden="1" x14ac:dyDescent="0.25">
      <c r="O3892"/>
      <c r="P3892"/>
    </row>
    <row r="3893" spans="15:16" hidden="1" x14ac:dyDescent="0.25">
      <c r="O3893"/>
      <c r="P3893"/>
    </row>
    <row r="3894" spans="15:16" hidden="1" x14ac:dyDescent="0.25">
      <c r="O3894"/>
      <c r="P3894"/>
    </row>
    <row r="3895" spans="15:16" hidden="1" x14ac:dyDescent="0.25">
      <c r="O3895"/>
      <c r="P3895"/>
    </row>
    <row r="3896" spans="15:16" hidden="1" x14ac:dyDescent="0.25">
      <c r="O3896"/>
      <c r="P3896"/>
    </row>
    <row r="3897" spans="15:16" hidden="1" x14ac:dyDescent="0.25">
      <c r="O3897"/>
      <c r="P3897"/>
    </row>
    <row r="3898" spans="15:16" hidden="1" x14ac:dyDescent="0.25">
      <c r="O3898"/>
      <c r="P3898"/>
    </row>
    <row r="3899" spans="15:16" hidden="1" x14ac:dyDescent="0.25">
      <c r="O3899"/>
      <c r="P3899"/>
    </row>
    <row r="3900" spans="15:16" hidden="1" x14ac:dyDescent="0.25">
      <c r="O3900"/>
      <c r="P3900"/>
    </row>
    <row r="3901" spans="15:16" hidden="1" x14ac:dyDescent="0.25">
      <c r="O3901"/>
      <c r="P3901"/>
    </row>
    <row r="3902" spans="15:16" hidden="1" x14ac:dyDescent="0.25">
      <c r="O3902"/>
      <c r="P3902"/>
    </row>
    <row r="3903" spans="15:16" hidden="1" x14ac:dyDescent="0.25">
      <c r="O3903"/>
      <c r="P3903"/>
    </row>
    <row r="3904" spans="15:16" hidden="1" x14ac:dyDescent="0.25">
      <c r="O3904"/>
      <c r="P3904"/>
    </row>
    <row r="3905" spans="15:16" hidden="1" x14ac:dyDescent="0.25">
      <c r="O3905"/>
      <c r="P3905"/>
    </row>
    <row r="3906" spans="15:16" hidden="1" x14ac:dyDescent="0.25">
      <c r="O3906"/>
      <c r="P3906"/>
    </row>
    <row r="3907" spans="15:16" hidden="1" x14ac:dyDescent="0.25">
      <c r="O3907"/>
      <c r="P3907"/>
    </row>
    <row r="3908" spans="15:16" hidden="1" x14ac:dyDescent="0.25">
      <c r="O3908"/>
      <c r="P3908"/>
    </row>
    <row r="3909" spans="15:16" hidden="1" x14ac:dyDescent="0.25">
      <c r="O3909"/>
      <c r="P3909"/>
    </row>
    <row r="3910" spans="15:16" hidden="1" x14ac:dyDescent="0.25">
      <c r="O3910"/>
      <c r="P3910"/>
    </row>
    <row r="3911" spans="15:16" hidden="1" x14ac:dyDescent="0.25">
      <c r="O3911"/>
      <c r="P3911"/>
    </row>
    <row r="3912" spans="15:16" hidden="1" x14ac:dyDescent="0.25">
      <c r="O3912"/>
      <c r="P3912"/>
    </row>
    <row r="3913" spans="15:16" hidden="1" x14ac:dyDescent="0.25">
      <c r="O3913"/>
      <c r="P3913"/>
    </row>
    <row r="3914" spans="15:16" hidden="1" x14ac:dyDescent="0.25">
      <c r="O3914"/>
      <c r="P3914"/>
    </row>
    <row r="3915" spans="15:16" hidden="1" x14ac:dyDescent="0.25">
      <c r="O3915"/>
      <c r="P3915"/>
    </row>
    <row r="3916" spans="15:16" hidden="1" x14ac:dyDescent="0.25">
      <c r="O3916"/>
      <c r="P3916"/>
    </row>
    <row r="3917" spans="15:16" hidden="1" x14ac:dyDescent="0.25">
      <c r="O3917"/>
      <c r="P3917"/>
    </row>
    <row r="3918" spans="15:16" hidden="1" x14ac:dyDescent="0.25">
      <c r="O3918"/>
      <c r="P3918"/>
    </row>
    <row r="3919" spans="15:16" hidden="1" x14ac:dyDescent="0.25">
      <c r="O3919"/>
      <c r="P3919"/>
    </row>
    <row r="3920" spans="15:16" hidden="1" x14ac:dyDescent="0.25">
      <c r="O3920"/>
      <c r="P3920"/>
    </row>
    <row r="3921" spans="15:16" hidden="1" x14ac:dyDescent="0.25">
      <c r="O3921"/>
      <c r="P3921"/>
    </row>
    <row r="3922" spans="15:16" hidden="1" x14ac:dyDescent="0.25">
      <c r="O3922"/>
      <c r="P3922"/>
    </row>
    <row r="3923" spans="15:16" hidden="1" x14ac:dyDescent="0.25">
      <c r="O3923"/>
      <c r="P3923"/>
    </row>
    <row r="3924" spans="15:16" hidden="1" x14ac:dyDescent="0.25">
      <c r="O3924"/>
      <c r="P3924"/>
    </row>
    <row r="3925" spans="15:16" hidden="1" x14ac:dyDescent="0.25">
      <c r="O3925"/>
      <c r="P3925"/>
    </row>
    <row r="3926" spans="15:16" hidden="1" x14ac:dyDescent="0.25">
      <c r="O3926"/>
      <c r="P3926"/>
    </row>
    <row r="3927" spans="15:16" hidden="1" x14ac:dyDescent="0.25">
      <c r="O3927"/>
      <c r="P3927"/>
    </row>
    <row r="3928" spans="15:16" hidden="1" x14ac:dyDescent="0.25">
      <c r="O3928"/>
      <c r="P3928"/>
    </row>
    <row r="3929" spans="15:16" hidden="1" x14ac:dyDescent="0.25">
      <c r="O3929"/>
      <c r="P3929"/>
    </row>
    <row r="3930" spans="15:16" hidden="1" x14ac:dyDescent="0.25">
      <c r="O3930"/>
      <c r="P3930"/>
    </row>
    <row r="3931" spans="15:16" hidden="1" x14ac:dyDescent="0.25">
      <c r="O3931"/>
      <c r="P3931"/>
    </row>
    <row r="3932" spans="15:16" hidden="1" x14ac:dyDescent="0.25">
      <c r="O3932"/>
      <c r="P3932"/>
    </row>
    <row r="3933" spans="15:16" hidden="1" x14ac:dyDescent="0.25">
      <c r="O3933"/>
      <c r="P3933"/>
    </row>
    <row r="3934" spans="15:16" hidden="1" x14ac:dyDescent="0.25">
      <c r="O3934"/>
      <c r="P3934"/>
    </row>
    <row r="3935" spans="15:16" hidden="1" x14ac:dyDescent="0.25">
      <c r="O3935"/>
      <c r="P3935"/>
    </row>
    <row r="3936" spans="15:16" hidden="1" x14ac:dyDescent="0.25">
      <c r="O3936"/>
      <c r="P3936"/>
    </row>
    <row r="3937" spans="15:16" hidden="1" x14ac:dyDescent="0.25">
      <c r="O3937"/>
      <c r="P3937"/>
    </row>
    <row r="3938" spans="15:16" hidden="1" x14ac:dyDescent="0.25">
      <c r="O3938"/>
      <c r="P3938"/>
    </row>
    <row r="3939" spans="15:16" hidden="1" x14ac:dyDescent="0.25">
      <c r="O3939"/>
      <c r="P3939"/>
    </row>
    <row r="3940" spans="15:16" hidden="1" x14ac:dyDescent="0.25">
      <c r="O3940"/>
      <c r="P3940"/>
    </row>
    <row r="3941" spans="15:16" hidden="1" x14ac:dyDescent="0.25">
      <c r="O3941"/>
      <c r="P3941"/>
    </row>
    <row r="3942" spans="15:16" hidden="1" x14ac:dyDescent="0.25">
      <c r="O3942"/>
      <c r="P3942"/>
    </row>
    <row r="3943" spans="15:16" hidden="1" x14ac:dyDescent="0.25">
      <c r="O3943"/>
      <c r="P3943"/>
    </row>
    <row r="3944" spans="15:16" hidden="1" x14ac:dyDescent="0.25">
      <c r="O3944"/>
      <c r="P3944"/>
    </row>
    <row r="3945" spans="15:16" hidden="1" x14ac:dyDescent="0.25">
      <c r="O3945"/>
      <c r="P3945"/>
    </row>
    <row r="3946" spans="15:16" hidden="1" x14ac:dyDescent="0.25">
      <c r="O3946"/>
      <c r="P3946"/>
    </row>
    <row r="3947" spans="15:16" hidden="1" x14ac:dyDescent="0.25">
      <c r="O3947"/>
      <c r="P3947"/>
    </row>
    <row r="3948" spans="15:16" hidden="1" x14ac:dyDescent="0.25">
      <c r="O3948"/>
      <c r="P3948"/>
    </row>
    <row r="3949" spans="15:16" hidden="1" x14ac:dyDescent="0.25">
      <c r="O3949"/>
      <c r="P3949"/>
    </row>
    <row r="3950" spans="15:16" hidden="1" x14ac:dyDescent="0.25">
      <c r="O3950"/>
      <c r="P3950"/>
    </row>
    <row r="3951" spans="15:16" hidden="1" x14ac:dyDescent="0.25">
      <c r="O3951"/>
      <c r="P3951"/>
    </row>
    <row r="3952" spans="15:16" hidden="1" x14ac:dyDescent="0.25">
      <c r="O3952"/>
      <c r="P3952"/>
    </row>
    <row r="3953" spans="15:16" hidden="1" x14ac:dyDescent="0.25">
      <c r="O3953"/>
      <c r="P3953"/>
    </row>
    <row r="3954" spans="15:16" hidden="1" x14ac:dyDescent="0.25">
      <c r="O3954"/>
      <c r="P3954"/>
    </row>
    <row r="3955" spans="15:16" hidden="1" x14ac:dyDescent="0.25">
      <c r="O3955"/>
      <c r="P3955"/>
    </row>
    <row r="3956" spans="15:16" hidden="1" x14ac:dyDescent="0.25">
      <c r="O3956"/>
      <c r="P3956"/>
    </row>
    <row r="3957" spans="15:16" hidden="1" x14ac:dyDescent="0.25">
      <c r="O3957"/>
      <c r="P3957"/>
    </row>
    <row r="3958" spans="15:16" hidden="1" x14ac:dyDescent="0.25">
      <c r="O3958"/>
      <c r="P3958"/>
    </row>
    <row r="3959" spans="15:16" hidden="1" x14ac:dyDescent="0.25">
      <c r="O3959"/>
      <c r="P3959"/>
    </row>
    <row r="3960" spans="15:16" hidden="1" x14ac:dyDescent="0.25">
      <c r="O3960"/>
      <c r="P3960"/>
    </row>
    <row r="3961" spans="15:16" hidden="1" x14ac:dyDescent="0.25">
      <c r="O3961"/>
      <c r="P3961"/>
    </row>
    <row r="3962" spans="15:16" hidden="1" x14ac:dyDescent="0.25">
      <c r="O3962"/>
      <c r="P3962"/>
    </row>
    <row r="3963" spans="15:16" hidden="1" x14ac:dyDescent="0.25">
      <c r="O3963"/>
      <c r="P3963"/>
    </row>
    <row r="3964" spans="15:16" hidden="1" x14ac:dyDescent="0.25">
      <c r="O3964"/>
      <c r="P3964"/>
    </row>
    <row r="3965" spans="15:16" hidden="1" x14ac:dyDescent="0.25">
      <c r="O3965"/>
      <c r="P3965"/>
    </row>
    <row r="3966" spans="15:16" hidden="1" x14ac:dyDescent="0.25">
      <c r="O3966"/>
      <c r="P3966"/>
    </row>
    <row r="3967" spans="15:16" hidden="1" x14ac:dyDescent="0.25">
      <c r="O3967"/>
      <c r="P3967"/>
    </row>
    <row r="3968" spans="15:16" hidden="1" x14ac:dyDescent="0.25">
      <c r="O3968"/>
      <c r="P3968"/>
    </row>
    <row r="3969" spans="15:16" hidden="1" x14ac:dyDescent="0.25">
      <c r="O3969"/>
      <c r="P3969"/>
    </row>
    <row r="3970" spans="15:16" hidden="1" x14ac:dyDescent="0.25">
      <c r="O3970"/>
      <c r="P3970"/>
    </row>
    <row r="3971" spans="15:16" hidden="1" x14ac:dyDescent="0.25">
      <c r="O3971"/>
      <c r="P3971"/>
    </row>
    <row r="3972" spans="15:16" hidden="1" x14ac:dyDescent="0.25">
      <c r="O3972"/>
      <c r="P3972"/>
    </row>
    <row r="3973" spans="15:16" hidden="1" x14ac:dyDescent="0.25">
      <c r="O3973"/>
      <c r="P3973"/>
    </row>
    <row r="3974" spans="15:16" hidden="1" x14ac:dyDescent="0.25">
      <c r="O3974"/>
      <c r="P3974"/>
    </row>
    <row r="3975" spans="15:16" hidden="1" x14ac:dyDescent="0.25">
      <c r="O3975"/>
      <c r="P3975"/>
    </row>
    <row r="3976" spans="15:16" hidden="1" x14ac:dyDescent="0.25">
      <c r="O3976"/>
      <c r="P3976"/>
    </row>
    <row r="3977" spans="15:16" hidden="1" x14ac:dyDescent="0.25">
      <c r="O3977"/>
      <c r="P3977"/>
    </row>
    <row r="3978" spans="15:16" hidden="1" x14ac:dyDescent="0.25">
      <c r="O3978"/>
      <c r="P3978"/>
    </row>
    <row r="3979" spans="15:16" hidden="1" x14ac:dyDescent="0.25">
      <c r="O3979"/>
      <c r="P3979"/>
    </row>
    <row r="3980" spans="15:16" hidden="1" x14ac:dyDescent="0.25">
      <c r="O3980"/>
      <c r="P3980"/>
    </row>
    <row r="3981" spans="15:16" hidden="1" x14ac:dyDescent="0.25">
      <c r="O3981"/>
      <c r="P3981"/>
    </row>
    <row r="3982" spans="15:16" hidden="1" x14ac:dyDescent="0.25">
      <c r="O3982"/>
      <c r="P3982"/>
    </row>
    <row r="3983" spans="15:16" hidden="1" x14ac:dyDescent="0.25">
      <c r="O3983"/>
      <c r="P3983"/>
    </row>
    <row r="3984" spans="15:16" hidden="1" x14ac:dyDescent="0.25">
      <c r="O3984"/>
      <c r="P3984"/>
    </row>
    <row r="3985" spans="15:16" hidden="1" x14ac:dyDescent="0.25">
      <c r="O3985"/>
      <c r="P3985"/>
    </row>
    <row r="3986" spans="15:16" hidden="1" x14ac:dyDescent="0.25">
      <c r="O3986"/>
      <c r="P3986"/>
    </row>
    <row r="3987" spans="15:16" hidden="1" x14ac:dyDescent="0.25">
      <c r="O3987"/>
      <c r="P3987"/>
    </row>
    <row r="3988" spans="15:16" hidden="1" x14ac:dyDescent="0.25">
      <c r="O3988"/>
      <c r="P3988"/>
    </row>
    <row r="3989" spans="15:16" hidden="1" x14ac:dyDescent="0.25">
      <c r="O3989"/>
      <c r="P3989"/>
    </row>
    <row r="3990" spans="15:16" hidden="1" x14ac:dyDescent="0.25">
      <c r="O3990"/>
      <c r="P3990"/>
    </row>
    <row r="3991" spans="15:16" hidden="1" x14ac:dyDescent="0.25">
      <c r="O3991"/>
      <c r="P3991"/>
    </row>
    <row r="3992" spans="15:16" hidden="1" x14ac:dyDescent="0.25">
      <c r="O3992"/>
      <c r="P3992"/>
    </row>
    <row r="3993" spans="15:16" hidden="1" x14ac:dyDescent="0.25">
      <c r="O3993"/>
      <c r="P3993"/>
    </row>
    <row r="3994" spans="15:16" hidden="1" x14ac:dyDescent="0.25">
      <c r="O3994"/>
      <c r="P3994"/>
    </row>
    <row r="3995" spans="15:16" hidden="1" x14ac:dyDescent="0.25">
      <c r="O3995"/>
      <c r="P3995"/>
    </row>
    <row r="3996" spans="15:16" hidden="1" x14ac:dyDescent="0.25">
      <c r="O3996"/>
      <c r="P3996"/>
    </row>
    <row r="3997" spans="15:16" hidden="1" x14ac:dyDescent="0.25">
      <c r="O3997"/>
      <c r="P3997"/>
    </row>
    <row r="3998" spans="15:16" hidden="1" x14ac:dyDescent="0.25">
      <c r="O3998"/>
      <c r="P3998"/>
    </row>
    <row r="3999" spans="15:16" hidden="1" x14ac:dyDescent="0.25">
      <c r="O3999"/>
      <c r="P3999"/>
    </row>
    <row r="4000" spans="15:16" hidden="1" x14ac:dyDescent="0.25">
      <c r="O4000"/>
      <c r="P4000"/>
    </row>
    <row r="4001" spans="15:16" hidden="1" x14ac:dyDescent="0.25">
      <c r="O4001"/>
      <c r="P4001"/>
    </row>
    <row r="4002" spans="15:16" hidden="1" x14ac:dyDescent="0.25">
      <c r="O4002"/>
      <c r="P4002"/>
    </row>
    <row r="4003" spans="15:16" hidden="1" x14ac:dyDescent="0.25">
      <c r="O4003"/>
      <c r="P4003"/>
    </row>
    <row r="4004" spans="15:16" hidden="1" x14ac:dyDescent="0.25">
      <c r="O4004"/>
      <c r="P4004"/>
    </row>
    <row r="4005" spans="15:16" hidden="1" x14ac:dyDescent="0.25">
      <c r="O4005"/>
      <c r="P4005"/>
    </row>
    <row r="4006" spans="15:16" hidden="1" x14ac:dyDescent="0.25">
      <c r="O4006"/>
      <c r="P4006"/>
    </row>
    <row r="4007" spans="15:16" hidden="1" x14ac:dyDescent="0.25">
      <c r="O4007"/>
      <c r="P4007"/>
    </row>
    <row r="4008" spans="15:16" hidden="1" x14ac:dyDescent="0.25">
      <c r="O4008"/>
      <c r="P4008"/>
    </row>
    <row r="4009" spans="15:16" hidden="1" x14ac:dyDescent="0.25">
      <c r="O4009"/>
      <c r="P4009"/>
    </row>
    <row r="4010" spans="15:16" hidden="1" x14ac:dyDescent="0.25">
      <c r="O4010"/>
      <c r="P4010"/>
    </row>
    <row r="4011" spans="15:16" hidden="1" x14ac:dyDescent="0.25">
      <c r="O4011"/>
      <c r="P4011"/>
    </row>
    <row r="4012" spans="15:16" hidden="1" x14ac:dyDescent="0.25">
      <c r="O4012"/>
      <c r="P4012"/>
    </row>
    <row r="4013" spans="15:16" hidden="1" x14ac:dyDescent="0.25">
      <c r="O4013"/>
      <c r="P4013"/>
    </row>
    <row r="4014" spans="15:16" hidden="1" x14ac:dyDescent="0.25">
      <c r="O4014"/>
      <c r="P4014"/>
    </row>
    <row r="4015" spans="15:16" hidden="1" x14ac:dyDescent="0.25">
      <c r="O4015"/>
      <c r="P4015"/>
    </row>
    <row r="4016" spans="15:16" hidden="1" x14ac:dyDescent="0.25">
      <c r="O4016"/>
      <c r="P4016"/>
    </row>
    <row r="4017" spans="15:16" hidden="1" x14ac:dyDescent="0.25">
      <c r="O4017"/>
      <c r="P4017"/>
    </row>
    <row r="4018" spans="15:16" hidden="1" x14ac:dyDescent="0.25">
      <c r="O4018"/>
      <c r="P4018"/>
    </row>
    <row r="4019" spans="15:16" hidden="1" x14ac:dyDescent="0.25">
      <c r="O4019"/>
      <c r="P4019"/>
    </row>
    <row r="4020" spans="15:16" hidden="1" x14ac:dyDescent="0.25">
      <c r="O4020"/>
      <c r="P4020"/>
    </row>
    <row r="4021" spans="15:16" hidden="1" x14ac:dyDescent="0.25">
      <c r="O4021"/>
      <c r="P4021"/>
    </row>
    <row r="4022" spans="15:16" hidden="1" x14ac:dyDescent="0.25">
      <c r="O4022"/>
      <c r="P4022"/>
    </row>
    <row r="4023" spans="15:16" hidden="1" x14ac:dyDescent="0.25">
      <c r="O4023"/>
      <c r="P4023"/>
    </row>
    <row r="4024" spans="15:16" hidden="1" x14ac:dyDescent="0.25">
      <c r="O4024"/>
      <c r="P4024"/>
    </row>
    <row r="4025" spans="15:16" hidden="1" x14ac:dyDescent="0.25">
      <c r="O4025"/>
      <c r="P4025"/>
    </row>
    <row r="4026" spans="15:16" hidden="1" x14ac:dyDescent="0.25">
      <c r="O4026"/>
      <c r="P4026"/>
    </row>
    <row r="4027" spans="15:16" hidden="1" x14ac:dyDescent="0.25">
      <c r="O4027"/>
      <c r="P4027"/>
    </row>
    <row r="4028" spans="15:16" hidden="1" x14ac:dyDescent="0.25">
      <c r="O4028"/>
      <c r="P4028"/>
    </row>
    <row r="4029" spans="15:16" hidden="1" x14ac:dyDescent="0.25">
      <c r="O4029"/>
      <c r="P4029"/>
    </row>
    <row r="4030" spans="15:16" hidden="1" x14ac:dyDescent="0.25">
      <c r="O4030"/>
      <c r="P4030"/>
    </row>
    <row r="4031" spans="15:16" hidden="1" x14ac:dyDescent="0.25">
      <c r="O4031"/>
      <c r="P4031"/>
    </row>
    <row r="4032" spans="15:16" hidden="1" x14ac:dyDescent="0.25">
      <c r="O4032"/>
      <c r="P4032"/>
    </row>
    <row r="4033" spans="15:16" hidden="1" x14ac:dyDescent="0.25">
      <c r="O4033"/>
      <c r="P4033"/>
    </row>
    <row r="4034" spans="15:16" hidden="1" x14ac:dyDescent="0.25">
      <c r="O4034"/>
      <c r="P4034"/>
    </row>
    <row r="4035" spans="15:16" hidden="1" x14ac:dyDescent="0.25">
      <c r="O4035"/>
      <c r="P4035"/>
    </row>
    <row r="4036" spans="15:16" hidden="1" x14ac:dyDescent="0.25">
      <c r="O4036"/>
      <c r="P4036"/>
    </row>
    <row r="4037" spans="15:16" hidden="1" x14ac:dyDescent="0.25">
      <c r="O4037"/>
      <c r="P4037"/>
    </row>
    <row r="4038" spans="15:16" hidden="1" x14ac:dyDescent="0.25">
      <c r="O4038"/>
      <c r="P4038"/>
    </row>
    <row r="4039" spans="15:16" hidden="1" x14ac:dyDescent="0.25">
      <c r="O4039"/>
      <c r="P4039"/>
    </row>
    <row r="4040" spans="15:16" hidden="1" x14ac:dyDescent="0.25">
      <c r="O4040"/>
      <c r="P4040"/>
    </row>
    <row r="4041" spans="15:16" hidden="1" x14ac:dyDescent="0.25">
      <c r="O4041"/>
      <c r="P4041"/>
    </row>
    <row r="4042" spans="15:16" hidden="1" x14ac:dyDescent="0.25">
      <c r="O4042"/>
      <c r="P4042"/>
    </row>
    <row r="4043" spans="15:16" hidden="1" x14ac:dyDescent="0.25">
      <c r="O4043"/>
      <c r="P4043"/>
    </row>
    <row r="4044" spans="15:16" hidden="1" x14ac:dyDescent="0.25">
      <c r="O4044"/>
      <c r="P4044"/>
    </row>
    <row r="4045" spans="15:16" hidden="1" x14ac:dyDescent="0.25">
      <c r="O4045"/>
      <c r="P4045"/>
    </row>
    <row r="4046" spans="15:16" hidden="1" x14ac:dyDescent="0.25">
      <c r="O4046"/>
      <c r="P4046"/>
    </row>
    <row r="4047" spans="15:16" hidden="1" x14ac:dyDescent="0.25">
      <c r="O4047"/>
      <c r="P4047"/>
    </row>
    <row r="4048" spans="15:16" hidden="1" x14ac:dyDescent="0.25">
      <c r="O4048"/>
      <c r="P4048"/>
    </row>
    <row r="4049" spans="15:16" hidden="1" x14ac:dyDescent="0.25">
      <c r="O4049"/>
      <c r="P4049"/>
    </row>
    <row r="4050" spans="15:16" hidden="1" x14ac:dyDescent="0.25">
      <c r="O4050"/>
      <c r="P4050"/>
    </row>
    <row r="4051" spans="15:16" hidden="1" x14ac:dyDescent="0.25">
      <c r="O4051"/>
      <c r="P4051"/>
    </row>
    <row r="4052" spans="15:16" hidden="1" x14ac:dyDescent="0.25">
      <c r="O4052"/>
      <c r="P4052"/>
    </row>
    <row r="4053" spans="15:16" hidden="1" x14ac:dyDescent="0.25">
      <c r="O4053"/>
      <c r="P4053"/>
    </row>
    <row r="4054" spans="15:16" hidden="1" x14ac:dyDescent="0.25">
      <c r="O4054"/>
      <c r="P4054"/>
    </row>
    <row r="4055" spans="15:16" hidden="1" x14ac:dyDescent="0.25">
      <c r="O4055"/>
      <c r="P4055"/>
    </row>
    <row r="4056" spans="15:16" hidden="1" x14ac:dyDescent="0.25">
      <c r="O4056"/>
      <c r="P4056"/>
    </row>
    <row r="4057" spans="15:16" hidden="1" x14ac:dyDescent="0.25">
      <c r="O4057"/>
      <c r="P4057"/>
    </row>
    <row r="4058" spans="15:16" hidden="1" x14ac:dyDescent="0.25">
      <c r="O4058"/>
      <c r="P4058"/>
    </row>
    <row r="4059" spans="15:16" hidden="1" x14ac:dyDescent="0.25">
      <c r="O4059"/>
      <c r="P4059"/>
    </row>
    <row r="4060" spans="15:16" hidden="1" x14ac:dyDescent="0.25">
      <c r="O4060"/>
      <c r="P4060"/>
    </row>
    <row r="4061" spans="15:16" hidden="1" x14ac:dyDescent="0.25">
      <c r="O4061"/>
      <c r="P4061"/>
    </row>
    <row r="4062" spans="15:16" hidden="1" x14ac:dyDescent="0.25">
      <c r="O4062"/>
      <c r="P4062"/>
    </row>
    <row r="4063" spans="15:16" hidden="1" x14ac:dyDescent="0.25">
      <c r="O4063"/>
      <c r="P4063"/>
    </row>
    <row r="4064" spans="15:16" hidden="1" x14ac:dyDescent="0.25">
      <c r="O4064"/>
      <c r="P4064"/>
    </row>
    <row r="4065" spans="15:16" hidden="1" x14ac:dyDescent="0.25">
      <c r="O4065"/>
      <c r="P4065"/>
    </row>
    <row r="4066" spans="15:16" hidden="1" x14ac:dyDescent="0.25">
      <c r="O4066"/>
      <c r="P4066"/>
    </row>
    <row r="4067" spans="15:16" hidden="1" x14ac:dyDescent="0.25">
      <c r="O4067"/>
      <c r="P4067"/>
    </row>
    <row r="4068" spans="15:16" hidden="1" x14ac:dyDescent="0.25">
      <c r="O4068"/>
      <c r="P4068"/>
    </row>
    <row r="4069" spans="15:16" hidden="1" x14ac:dyDescent="0.25">
      <c r="O4069"/>
      <c r="P4069"/>
    </row>
    <row r="4070" spans="15:16" hidden="1" x14ac:dyDescent="0.25">
      <c r="O4070"/>
      <c r="P4070"/>
    </row>
    <row r="4071" spans="15:16" hidden="1" x14ac:dyDescent="0.25">
      <c r="O4071"/>
      <c r="P4071"/>
    </row>
    <row r="4072" spans="15:16" hidden="1" x14ac:dyDescent="0.25">
      <c r="O4072"/>
      <c r="P4072"/>
    </row>
    <row r="4073" spans="15:16" hidden="1" x14ac:dyDescent="0.25">
      <c r="O4073"/>
      <c r="P4073"/>
    </row>
    <row r="4074" spans="15:16" hidden="1" x14ac:dyDescent="0.25">
      <c r="O4074"/>
      <c r="P4074"/>
    </row>
    <row r="4075" spans="15:16" hidden="1" x14ac:dyDescent="0.25">
      <c r="O4075"/>
      <c r="P4075"/>
    </row>
    <row r="4076" spans="15:16" hidden="1" x14ac:dyDescent="0.25">
      <c r="O4076"/>
      <c r="P4076"/>
    </row>
    <row r="4077" spans="15:16" hidden="1" x14ac:dyDescent="0.25">
      <c r="O4077"/>
      <c r="P4077"/>
    </row>
    <row r="4078" spans="15:16" hidden="1" x14ac:dyDescent="0.25">
      <c r="O4078"/>
      <c r="P4078"/>
    </row>
    <row r="4079" spans="15:16" hidden="1" x14ac:dyDescent="0.25">
      <c r="O4079"/>
      <c r="P4079"/>
    </row>
    <row r="4080" spans="15:16" hidden="1" x14ac:dyDescent="0.25">
      <c r="O4080"/>
      <c r="P4080"/>
    </row>
    <row r="4081" spans="15:16" hidden="1" x14ac:dyDescent="0.25">
      <c r="O4081"/>
      <c r="P4081"/>
    </row>
    <row r="4082" spans="15:16" hidden="1" x14ac:dyDescent="0.25">
      <c r="O4082"/>
      <c r="P4082"/>
    </row>
    <row r="4083" spans="15:16" hidden="1" x14ac:dyDescent="0.25">
      <c r="O4083"/>
      <c r="P4083"/>
    </row>
    <row r="4084" spans="15:16" hidden="1" x14ac:dyDescent="0.25">
      <c r="O4084"/>
      <c r="P4084"/>
    </row>
    <row r="4085" spans="15:16" hidden="1" x14ac:dyDescent="0.25">
      <c r="O4085"/>
      <c r="P4085"/>
    </row>
    <row r="4086" spans="15:16" hidden="1" x14ac:dyDescent="0.25">
      <c r="O4086"/>
      <c r="P4086"/>
    </row>
    <row r="4087" spans="15:16" hidden="1" x14ac:dyDescent="0.25">
      <c r="O4087"/>
      <c r="P4087"/>
    </row>
    <row r="4088" spans="15:16" hidden="1" x14ac:dyDescent="0.25">
      <c r="O4088"/>
      <c r="P4088"/>
    </row>
    <row r="4089" spans="15:16" hidden="1" x14ac:dyDescent="0.25">
      <c r="O4089"/>
      <c r="P4089"/>
    </row>
    <row r="4090" spans="15:16" hidden="1" x14ac:dyDescent="0.25">
      <c r="O4090"/>
      <c r="P4090"/>
    </row>
    <row r="4091" spans="15:16" hidden="1" x14ac:dyDescent="0.25">
      <c r="O4091"/>
      <c r="P4091"/>
    </row>
    <row r="4092" spans="15:16" hidden="1" x14ac:dyDescent="0.25">
      <c r="O4092"/>
      <c r="P4092"/>
    </row>
    <row r="4093" spans="15:16" hidden="1" x14ac:dyDescent="0.25">
      <c r="O4093"/>
      <c r="P4093"/>
    </row>
    <row r="4094" spans="15:16" hidden="1" x14ac:dyDescent="0.25">
      <c r="O4094"/>
      <c r="P4094"/>
    </row>
    <row r="4095" spans="15:16" hidden="1" x14ac:dyDescent="0.25">
      <c r="O4095"/>
      <c r="P4095"/>
    </row>
    <row r="4096" spans="15:16" hidden="1" x14ac:dyDescent="0.25">
      <c r="O4096"/>
      <c r="P4096"/>
    </row>
    <row r="4097" spans="15:16" hidden="1" x14ac:dyDescent="0.25">
      <c r="O4097"/>
      <c r="P4097"/>
    </row>
    <row r="4098" spans="15:16" hidden="1" x14ac:dyDescent="0.25">
      <c r="O4098"/>
      <c r="P4098"/>
    </row>
    <row r="4099" spans="15:16" hidden="1" x14ac:dyDescent="0.25">
      <c r="O4099"/>
      <c r="P4099"/>
    </row>
    <row r="4100" spans="15:16" hidden="1" x14ac:dyDescent="0.25">
      <c r="O4100"/>
      <c r="P4100"/>
    </row>
    <row r="4101" spans="15:16" hidden="1" x14ac:dyDescent="0.25">
      <c r="O4101"/>
      <c r="P4101"/>
    </row>
    <row r="4102" spans="15:16" hidden="1" x14ac:dyDescent="0.25">
      <c r="O4102"/>
      <c r="P4102"/>
    </row>
    <row r="4103" spans="15:16" hidden="1" x14ac:dyDescent="0.25">
      <c r="O4103"/>
      <c r="P4103"/>
    </row>
    <row r="4104" spans="15:16" hidden="1" x14ac:dyDescent="0.25">
      <c r="O4104"/>
      <c r="P4104"/>
    </row>
    <row r="4105" spans="15:16" hidden="1" x14ac:dyDescent="0.25">
      <c r="O4105"/>
      <c r="P4105"/>
    </row>
    <row r="4106" spans="15:16" hidden="1" x14ac:dyDescent="0.25">
      <c r="O4106"/>
      <c r="P4106"/>
    </row>
    <row r="4107" spans="15:16" hidden="1" x14ac:dyDescent="0.25">
      <c r="O4107"/>
      <c r="P4107"/>
    </row>
    <row r="4108" spans="15:16" hidden="1" x14ac:dyDescent="0.25">
      <c r="O4108"/>
      <c r="P4108"/>
    </row>
    <row r="4109" spans="15:16" hidden="1" x14ac:dyDescent="0.25">
      <c r="O4109"/>
      <c r="P4109"/>
    </row>
    <row r="4110" spans="15:16" hidden="1" x14ac:dyDescent="0.25">
      <c r="O4110"/>
      <c r="P4110"/>
    </row>
    <row r="4111" spans="15:16" hidden="1" x14ac:dyDescent="0.25">
      <c r="O4111"/>
      <c r="P4111"/>
    </row>
    <row r="4112" spans="15:16" hidden="1" x14ac:dyDescent="0.25">
      <c r="O4112"/>
      <c r="P4112"/>
    </row>
    <row r="4113" spans="15:16" hidden="1" x14ac:dyDescent="0.25">
      <c r="O4113"/>
      <c r="P4113"/>
    </row>
    <row r="4114" spans="15:16" hidden="1" x14ac:dyDescent="0.25">
      <c r="O4114"/>
      <c r="P4114"/>
    </row>
    <row r="4115" spans="15:16" hidden="1" x14ac:dyDescent="0.25">
      <c r="O4115"/>
      <c r="P4115"/>
    </row>
    <row r="4116" spans="15:16" hidden="1" x14ac:dyDescent="0.25">
      <c r="O4116"/>
      <c r="P4116"/>
    </row>
    <row r="4117" spans="15:16" hidden="1" x14ac:dyDescent="0.25">
      <c r="O4117"/>
      <c r="P4117"/>
    </row>
    <row r="4118" spans="15:16" hidden="1" x14ac:dyDescent="0.25">
      <c r="O4118"/>
      <c r="P4118"/>
    </row>
    <row r="4119" spans="15:16" hidden="1" x14ac:dyDescent="0.25">
      <c r="O4119"/>
      <c r="P4119"/>
    </row>
    <row r="4120" spans="15:16" hidden="1" x14ac:dyDescent="0.25">
      <c r="O4120"/>
      <c r="P4120"/>
    </row>
    <row r="4121" spans="15:16" hidden="1" x14ac:dyDescent="0.25">
      <c r="O4121"/>
      <c r="P4121"/>
    </row>
    <row r="4122" spans="15:16" hidden="1" x14ac:dyDescent="0.25">
      <c r="O4122"/>
      <c r="P4122"/>
    </row>
    <row r="4123" spans="15:16" hidden="1" x14ac:dyDescent="0.25">
      <c r="O4123"/>
      <c r="P4123"/>
    </row>
    <row r="4124" spans="15:16" hidden="1" x14ac:dyDescent="0.25">
      <c r="O4124"/>
      <c r="P4124"/>
    </row>
    <row r="4125" spans="15:16" hidden="1" x14ac:dyDescent="0.25">
      <c r="O4125"/>
      <c r="P4125"/>
    </row>
    <row r="4126" spans="15:16" hidden="1" x14ac:dyDescent="0.25">
      <c r="O4126"/>
      <c r="P4126"/>
    </row>
    <row r="4127" spans="15:16" hidden="1" x14ac:dyDescent="0.25">
      <c r="O4127"/>
      <c r="P4127"/>
    </row>
    <row r="4128" spans="15:16" hidden="1" x14ac:dyDescent="0.25">
      <c r="O4128"/>
      <c r="P4128"/>
    </row>
    <row r="4129" spans="15:16" hidden="1" x14ac:dyDescent="0.25">
      <c r="O4129"/>
      <c r="P4129"/>
    </row>
    <row r="4130" spans="15:16" hidden="1" x14ac:dyDescent="0.25">
      <c r="O4130"/>
      <c r="P4130"/>
    </row>
    <row r="4131" spans="15:16" hidden="1" x14ac:dyDescent="0.25">
      <c r="O4131"/>
      <c r="P4131"/>
    </row>
    <row r="4132" spans="15:16" hidden="1" x14ac:dyDescent="0.25">
      <c r="O4132"/>
      <c r="P4132"/>
    </row>
    <row r="4133" spans="15:16" hidden="1" x14ac:dyDescent="0.25">
      <c r="O4133"/>
      <c r="P4133"/>
    </row>
    <row r="4134" spans="15:16" hidden="1" x14ac:dyDescent="0.25">
      <c r="O4134"/>
      <c r="P4134"/>
    </row>
    <row r="4135" spans="15:16" hidden="1" x14ac:dyDescent="0.25">
      <c r="O4135"/>
      <c r="P4135"/>
    </row>
    <row r="4136" spans="15:16" hidden="1" x14ac:dyDescent="0.25">
      <c r="O4136"/>
      <c r="P4136"/>
    </row>
    <row r="4137" spans="15:16" hidden="1" x14ac:dyDescent="0.25">
      <c r="O4137"/>
      <c r="P4137"/>
    </row>
    <row r="4138" spans="15:16" hidden="1" x14ac:dyDescent="0.25">
      <c r="O4138"/>
      <c r="P4138"/>
    </row>
    <row r="4139" spans="15:16" hidden="1" x14ac:dyDescent="0.25">
      <c r="O4139"/>
      <c r="P4139"/>
    </row>
    <row r="4140" spans="15:16" hidden="1" x14ac:dyDescent="0.25">
      <c r="O4140"/>
      <c r="P4140"/>
    </row>
    <row r="4141" spans="15:16" hidden="1" x14ac:dyDescent="0.25">
      <c r="O4141"/>
      <c r="P4141"/>
    </row>
    <row r="4142" spans="15:16" hidden="1" x14ac:dyDescent="0.25">
      <c r="O4142"/>
      <c r="P4142"/>
    </row>
    <row r="4143" spans="15:16" hidden="1" x14ac:dyDescent="0.25">
      <c r="O4143"/>
      <c r="P4143"/>
    </row>
    <row r="4144" spans="15:16" hidden="1" x14ac:dyDescent="0.25">
      <c r="O4144"/>
      <c r="P4144"/>
    </row>
    <row r="4145" spans="15:16" hidden="1" x14ac:dyDescent="0.25">
      <c r="O4145"/>
      <c r="P4145"/>
    </row>
    <row r="4146" spans="15:16" hidden="1" x14ac:dyDescent="0.25">
      <c r="O4146"/>
      <c r="P4146"/>
    </row>
    <row r="4147" spans="15:16" hidden="1" x14ac:dyDescent="0.25">
      <c r="O4147"/>
      <c r="P4147"/>
    </row>
    <row r="4148" spans="15:16" hidden="1" x14ac:dyDescent="0.25">
      <c r="O4148"/>
      <c r="P4148"/>
    </row>
    <row r="4149" spans="15:16" hidden="1" x14ac:dyDescent="0.25">
      <c r="O4149"/>
      <c r="P4149"/>
    </row>
    <row r="4150" spans="15:16" hidden="1" x14ac:dyDescent="0.25">
      <c r="O4150"/>
      <c r="P4150"/>
    </row>
    <row r="4151" spans="15:16" hidden="1" x14ac:dyDescent="0.25">
      <c r="O4151"/>
      <c r="P4151"/>
    </row>
    <row r="4152" spans="15:16" hidden="1" x14ac:dyDescent="0.25">
      <c r="O4152"/>
      <c r="P4152"/>
    </row>
    <row r="4153" spans="15:16" hidden="1" x14ac:dyDescent="0.25">
      <c r="O4153"/>
      <c r="P4153"/>
    </row>
    <row r="4154" spans="15:16" hidden="1" x14ac:dyDescent="0.25">
      <c r="O4154"/>
      <c r="P4154"/>
    </row>
    <row r="4155" spans="15:16" hidden="1" x14ac:dyDescent="0.25">
      <c r="O4155"/>
      <c r="P4155"/>
    </row>
    <row r="4156" spans="15:16" hidden="1" x14ac:dyDescent="0.25">
      <c r="O4156"/>
      <c r="P4156"/>
    </row>
    <row r="4157" spans="15:16" hidden="1" x14ac:dyDescent="0.25">
      <c r="O4157"/>
      <c r="P4157"/>
    </row>
    <row r="4158" spans="15:16" hidden="1" x14ac:dyDescent="0.25">
      <c r="O4158"/>
      <c r="P4158"/>
    </row>
    <row r="4159" spans="15:16" hidden="1" x14ac:dyDescent="0.25">
      <c r="O4159"/>
      <c r="P4159"/>
    </row>
    <row r="4160" spans="15:16" hidden="1" x14ac:dyDescent="0.25">
      <c r="O4160"/>
      <c r="P4160"/>
    </row>
    <row r="4161" spans="15:16" hidden="1" x14ac:dyDescent="0.25">
      <c r="O4161"/>
      <c r="P4161"/>
    </row>
    <row r="4162" spans="15:16" hidden="1" x14ac:dyDescent="0.25">
      <c r="O4162"/>
      <c r="P4162"/>
    </row>
    <row r="4163" spans="15:16" hidden="1" x14ac:dyDescent="0.25">
      <c r="O4163"/>
      <c r="P4163"/>
    </row>
    <row r="4164" spans="15:16" hidden="1" x14ac:dyDescent="0.25">
      <c r="O4164"/>
      <c r="P4164"/>
    </row>
    <row r="4165" spans="15:16" hidden="1" x14ac:dyDescent="0.25">
      <c r="O4165"/>
      <c r="P4165"/>
    </row>
    <row r="4166" spans="15:16" hidden="1" x14ac:dyDescent="0.25">
      <c r="O4166"/>
      <c r="P4166"/>
    </row>
    <row r="4167" spans="15:16" hidden="1" x14ac:dyDescent="0.25">
      <c r="O4167"/>
      <c r="P4167"/>
    </row>
    <row r="4168" spans="15:16" hidden="1" x14ac:dyDescent="0.25">
      <c r="O4168"/>
      <c r="P4168"/>
    </row>
    <row r="4169" spans="15:16" hidden="1" x14ac:dyDescent="0.25">
      <c r="O4169"/>
      <c r="P4169"/>
    </row>
    <row r="4170" spans="15:16" hidden="1" x14ac:dyDescent="0.25">
      <c r="O4170"/>
      <c r="P4170"/>
    </row>
    <row r="4171" spans="15:16" hidden="1" x14ac:dyDescent="0.25">
      <c r="O4171"/>
      <c r="P4171"/>
    </row>
    <row r="4172" spans="15:16" hidden="1" x14ac:dyDescent="0.25">
      <c r="O4172"/>
      <c r="P4172"/>
    </row>
    <row r="4173" spans="15:16" hidden="1" x14ac:dyDescent="0.25">
      <c r="O4173"/>
      <c r="P4173"/>
    </row>
    <row r="4174" spans="15:16" hidden="1" x14ac:dyDescent="0.25">
      <c r="O4174"/>
      <c r="P4174"/>
    </row>
    <row r="4175" spans="15:16" hidden="1" x14ac:dyDescent="0.25">
      <c r="O4175"/>
      <c r="P4175"/>
    </row>
    <row r="4176" spans="15:16" hidden="1" x14ac:dyDescent="0.25">
      <c r="O4176"/>
      <c r="P4176"/>
    </row>
    <row r="4177" spans="15:16" hidden="1" x14ac:dyDescent="0.25">
      <c r="O4177"/>
      <c r="P4177"/>
    </row>
    <row r="4178" spans="15:16" hidden="1" x14ac:dyDescent="0.25">
      <c r="O4178"/>
      <c r="P4178"/>
    </row>
    <row r="4179" spans="15:16" hidden="1" x14ac:dyDescent="0.25">
      <c r="O4179"/>
      <c r="P4179"/>
    </row>
    <row r="4180" spans="15:16" hidden="1" x14ac:dyDescent="0.25">
      <c r="O4180"/>
      <c r="P4180"/>
    </row>
    <row r="4181" spans="15:16" hidden="1" x14ac:dyDescent="0.25">
      <c r="O4181"/>
      <c r="P4181"/>
    </row>
    <row r="4182" spans="15:16" hidden="1" x14ac:dyDescent="0.25">
      <c r="O4182"/>
      <c r="P4182"/>
    </row>
    <row r="4183" spans="15:16" hidden="1" x14ac:dyDescent="0.25">
      <c r="O4183"/>
      <c r="P4183"/>
    </row>
    <row r="4184" spans="15:16" hidden="1" x14ac:dyDescent="0.25">
      <c r="O4184"/>
      <c r="P4184"/>
    </row>
    <row r="4185" spans="15:16" hidden="1" x14ac:dyDescent="0.25">
      <c r="O4185"/>
      <c r="P4185"/>
    </row>
    <row r="4186" spans="15:16" hidden="1" x14ac:dyDescent="0.25">
      <c r="O4186"/>
      <c r="P4186"/>
    </row>
    <row r="4187" spans="15:16" hidden="1" x14ac:dyDescent="0.25">
      <c r="O4187"/>
      <c r="P4187"/>
    </row>
    <row r="4188" spans="15:16" hidden="1" x14ac:dyDescent="0.25">
      <c r="O4188"/>
      <c r="P4188"/>
    </row>
    <row r="4189" spans="15:16" hidden="1" x14ac:dyDescent="0.25">
      <c r="O4189"/>
      <c r="P4189"/>
    </row>
    <row r="4190" spans="15:16" hidden="1" x14ac:dyDescent="0.25">
      <c r="O4190"/>
      <c r="P4190"/>
    </row>
    <row r="4191" spans="15:16" hidden="1" x14ac:dyDescent="0.25">
      <c r="O4191"/>
      <c r="P4191"/>
    </row>
    <row r="4192" spans="15:16" hidden="1" x14ac:dyDescent="0.25">
      <c r="O4192"/>
      <c r="P4192"/>
    </row>
    <row r="4193" spans="15:16" hidden="1" x14ac:dyDescent="0.25">
      <c r="O4193"/>
      <c r="P4193"/>
    </row>
    <row r="4194" spans="15:16" hidden="1" x14ac:dyDescent="0.25">
      <c r="O4194"/>
      <c r="P4194"/>
    </row>
    <row r="4195" spans="15:16" hidden="1" x14ac:dyDescent="0.25">
      <c r="O4195"/>
      <c r="P4195"/>
    </row>
    <row r="4196" spans="15:16" hidden="1" x14ac:dyDescent="0.25">
      <c r="O4196"/>
      <c r="P4196"/>
    </row>
    <row r="4197" spans="15:16" hidden="1" x14ac:dyDescent="0.25">
      <c r="O4197"/>
      <c r="P4197"/>
    </row>
    <row r="4198" spans="15:16" hidden="1" x14ac:dyDescent="0.25">
      <c r="O4198"/>
      <c r="P4198"/>
    </row>
    <row r="4199" spans="15:16" hidden="1" x14ac:dyDescent="0.25">
      <c r="O4199"/>
      <c r="P4199"/>
    </row>
    <row r="4200" spans="15:16" hidden="1" x14ac:dyDescent="0.25">
      <c r="O4200"/>
      <c r="P4200"/>
    </row>
    <row r="4201" spans="15:16" hidden="1" x14ac:dyDescent="0.25">
      <c r="O4201"/>
      <c r="P4201"/>
    </row>
    <row r="4202" spans="15:16" hidden="1" x14ac:dyDescent="0.25">
      <c r="O4202"/>
      <c r="P4202"/>
    </row>
    <row r="4203" spans="15:16" hidden="1" x14ac:dyDescent="0.25">
      <c r="O4203"/>
      <c r="P4203"/>
    </row>
    <row r="4204" spans="15:16" hidden="1" x14ac:dyDescent="0.25">
      <c r="O4204"/>
      <c r="P4204"/>
    </row>
    <row r="4205" spans="15:16" hidden="1" x14ac:dyDescent="0.25">
      <c r="O4205"/>
      <c r="P4205"/>
    </row>
    <row r="4206" spans="15:16" hidden="1" x14ac:dyDescent="0.25">
      <c r="O4206"/>
      <c r="P4206"/>
    </row>
    <row r="4207" spans="15:16" hidden="1" x14ac:dyDescent="0.25">
      <c r="O4207"/>
      <c r="P4207"/>
    </row>
    <row r="4208" spans="15:16" hidden="1" x14ac:dyDescent="0.25">
      <c r="O4208"/>
      <c r="P4208"/>
    </row>
    <row r="4209" spans="15:16" hidden="1" x14ac:dyDescent="0.25">
      <c r="O4209"/>
      <c r="P4209"/>
    </row>
    <row r="4210" spans="15:16" hidden="1" x14ac:dyDescent="0.25">
      <c r="O4210"/>
      <c r="P4210"/>
    </row>
    <row r="4211" spans="15:16" hidden="1" x14ac:dyDescent="0.25">
      <c r="O4211"/>
      <c r="P4211"/>
    </row>
    <row r="4212" spans="15:16" hidden="1" x14ac:dyDescent="0.25">
      <c r="O4212"/>
      <c r="P4212"/>
    </row>
    <row r="4213" spans="15:16" hidden="1" x14ac:dyDescent="0.25">
      <c r="O4213"/>
      <c r="P4213"/>
    </row>
    <row r="4214" spans="15:16" hidden="1" x14ac:dyDescent="0.25">
      <c r="O4214"/>
      <c r="P4214"/>
    </row>
    <row r="4215" spans="15:16" hidden="1" x14ac:dyDescent="0.25">
      <c r="O4215"/>
      <c r="P4215"/>
    </row>
    <row r="4216" spans="15:16" hidden="1" x14ac:dyDescent="0.25">
      <c r="O4216"/>
      <c r="P4216"/>
    </row>
    <row r="4217" spans="15:16" hidden="1" x14ac:dyDescent="0.25">
      <c r="O4217"/>
      <c r="P4217"/>
    </row>
    <row r="4218" spans="15:16" hidden="1" x14ac:dyDescent="0.25">
      <c r="O4218"/>
      <c r="P4218"/>
    </row>
    <row r="4219" spans="15:16" hidden="1" x14ac:dyDescent="0.25">
      <c r="O4219"/>
      <c r="P4219"/>
    </row>
    <row r="4220" spans="15:16" hidden="1" x14ac:dyDescent="0.25">
      <c r="O4220"/>
      <c r="P4220"/>
    </row>
    <row r="4221" spans="15:16" hidden="1" x14ac:dyDescent="0.25">
      <c r="O4221"/>
      <c r="P4221"/>
    </row>
    <row r="4222" spans="15:16" hidden="1" x14ac:dyDescent="0.25">
      <c r="O4222"/>
      <c r="P4222"/>
    </row>
    <row r="4223" spans="15:16" hidden="1" x14ac:dyDescent="0.25">
      <c r="O4223"/>
      <c r="P4223"/>
    </row>
    <row r="4224" spans="15:16" hidden="1" x14ac:dyDescent="0.25">
      <c r="O4224"/>
      <c r="P4224"/>
    </row>
    <row r="4225" spans="15:16" hidden="1" x14ac:dyDescent="0.25">
      <c r="O4225"/>
      <c r="P4225"/>
    </row>
    <row r="4226" spans="15:16" hidden="1" x14ac:dyDescent="0.25">
      <c r="O4226"/>
      <c r="P4226"/>
    </row>
    <row r="4227" spans="15:16" hidden="1" x14ac:dyDescent="0.25">
      <c r="O4227"/>
      <c r="P4227"/>
    </row>
    <row r="4228" spans="15:16" hidden="1" x14ac:dyDescent="0.25">
      <c r="O4228"/>
      <c r="P4228"/>
    </row>
    <row r="4229" spans="15:16" hidden="1" x14ac:dyDescent="0.25">
      <c r="O4229"/>
      <c r="P4229"/>
    </row>
    <row r="4230" spans="15:16" hidden="1" x14ac:dyDescent="0.25">
      <c r="O4230"/>
      <c r="P4230"/>
    </row>
    <row r="4231" spans="15:16" hidden="1" x14ac:dyDescent="0.25">
      <c r="O4231"/>
      <c r="P4231"/>
    </row>
    <row r="4232" spans="15:16" hidden="1" x14ac:dyDescent="0.25">
      <c r="O4232"/>
      <c r="P4232"/>
    </row>
    <row r="4233" spans="15:16" hidden="1" x14ac:dyDescent="0.25">
      <c r="O4233"/>
      <c r="P4233"/>
    </row>
    <row r="4234" spans="15:16" hidden="1" x14ac:dyDescent="0.25">
      <c r="O4234"/>
      <c r="P4234"/>
    </row>
    <row r="4235" spans="15:16" hidden="1" x14ac:dyDescent="0.25">
      <c r="O4235"/>
      <c r="P4235"/>
    </row>
    <row r="4236" spans="15:16" hidden="1" x14ac:dyDescent="0.25">
      <c r="O4236"/>
      <c r="P4236"/>
    </row>
    <row r="4237" spans="15:16" hidden="1" x14ac:dyDescent="0.25">
      <c r="O4237"/>
      <c r="P4237"/>
    </row>
    <row r="4238" spans="15:16" hidden="1" x14ac:dyDescent="0.25">
      <c r="O4238"/>
      <c r="P4238"/>
    </row>
    <row r="4239" spans="15:16" hidden="1" x14ac:dyDescent="0.25">
      <c r="O4239"/>
      <c r="P4239"/>
    </row>
    <row r="4240" spans="15:16" hidden="1" x14ac:dyDescent="0.25">
      <c r="O4240"/>
      <c r="P4240"/>
    </row>
    <row r="4241" spans="15:16" hidden="1" x14ac:dyDescent="0.25">
      <c r="O4241"/>
      <c r="P4241"/>
    </row>
    <row r="4242" spans="15:16" hidden="1" x14ac:dyDescent="0.25">
      <c r="O4242"/>
      <c r="P4242"/>
    </row>
    <row r="4243" spans="15:16" hidden="1" x14ac:dyDescent="0.25">
      <c r="O4243"/>
      <c r="P4243"/>
    </row>
    <row r="4244" spans="15:16" hidden="1" x14ac:dyDescent="0.25">
      <c r="O4244"/>
      <c r="P4244"/>
    </row>
    <row r="4245" spans="15:16" hidden="1" x14ac:dyDescent="0.25">
      <c r="O4245"/>
      <c r="P4245"/>
    </row>
    <row r="4246" spans="15:16" hidden="1" x14ac:dyDescent="0.25">
      <c r="O4246"/>
      <c r="P4246"/>
    </row>
    <row r="4247" spans="15:16" hidden="1" x14ac:dyDescent="0.25">
      <c r="O4247"/>
      <c r="P4247"/>
    </row>
    <row r="4248" spans="15:16" hidden="1" x14ac:dyDescent="0.25">
      <c r="O4248"/>
      <c r="P4248"/>
    </row>
    <row r="4249" spans="15:16" hidden="1" x14ac:dyDescent="0.25">
      <c r="O4249"/>
      <c r="P4249"/>
    </row>
    <row r="4250" spans="15:16" hidden="1" x14ac:dyDescent="0.25">
      <c r="O4250"/>
      <c r="P4250"/>
    </row>
    <row r="4251" spans="15:16" hidden="1" x14ac:dyDescent="0.25">
      <c r="O4251"/>
      <c r="P4251"/>
    </row>
    <row r="4252" spans="15:16" hidden="1" x14ac:dyDescent="0.25">
      <c r="O4252"/>
      <c r="P4252"/>
    </row>
    <row r="4253" spans="15:16" hidden="1" x14ac:dyDescent="0.25">
      <c r="O4253"/>
      <c r="P4253"/>
    </row>
    <row r="4254" spans="15:16" hidden="1" x14ac:dyDescent="0.25">
      <c r="O4254"/>
      <c r="P4254"/>
    </row>
    <row r="4255" spans="15:16" hidden="1" x14ac:dyDescent="0.25">
      <c r="O4255"/>
      <c r="P4255"/>
    </row>
    <row r="4256" spans="15:16" hidden="1" x14ac:dyDescent="0.25">
      <c r="O4256"/>
      <c r="P4256"/>
    </row>
    <row r="4257" spans="15:16" hidden="1" x14ac:dyDescent="0.25">
      <c r="O4257"/>
      <c r="P4257"/>
    </row>
    <row r="4258" spans="15:16" hidden="1" x14ac:dyDescent="0.25">
      <c r="O4258"/>
      <c r="P4258"/>
    </row>
    <row r="4259" spans="15:16" hidden="1" x14ac:dyDescent="0.25">
      <c r="O4259"/>
      <c r="P4259"/>
    </row>
    <row r="4260" spans="15:16" hidden="1" x14ac:dyDescent="0.25">
      <c r="O4260"/>
      <c r="P4260"/>
    </row>
    <row r="4261" spans="15:16" hidden="1" x14ac:dyDescent="0.25">
      <c r="O4261"/>
      <c r="P4261"/>
    </row>
    <row r="4262" spans="15:16" hidden="1" x14ac:dyDescent="0.25">
      <c r="O4262"/>
      <c r="P4262"/>
    </row>
    <row r="4263" spans="15:16" hidden="1" x14ac:dyDescent="0.25">
      <c r="O4263"/>
      <c r="P4263"/>
    </row>
    <row r="4264" spans="15:16" hidden="1" x14ac:dyDescent="0.25">
      <c r="O4264"/>
      <c r="P4264"/>
    </row>
    <row r="4265" spans="15:16" hidden="1" x14ac:dyDescent="0.25">
      <c r="O4265"/>
      <c r="P4265"/>
    </row>
    <row r="4266" spans="15:16" hidden="1" x14ac:dyDescent="0.25">
      <c r="O4266"/>
      <c r="P4266"/>
    </row>
    <row r="4267" spans="15:16" hidden="1" x14ac:dyDescent="0.25">
      <c r="O4267"/>
      <c r="P4267"/>
    </row>
    <row r="4268" spans="15:16" hidden="1" x14ac:dyDescent="0.25">
      <c r="O4268"/>
      <c r="P4268"/>
    </row>
    <row r="4269" spans="15:16" hidden="1" x14ac:dyDescent="0.25">
      <c r="O4269"/>
      <c r="P4269"/>
    </row>
    <row r="4270" spans="15:16" hidden="1" x14ac:dyDescent="0.25">
      <c r="O4270"/>
      <c r="P4270"/>
    </row>
    <row r="4271" spans="15:16" hidden="1" x14ac:dyDescent="0.25">
      <c r="O4271"/>
      <c r="P4271"/>
    </row>
    <row r="4272" spans="15:16" hidden="1" x14ac:dyDescent="0.25">
      <c r="O4272"/>
      <c r="P4272"/>
    </row>
    <row r="4273" spans="15:16" hidden="1" x14ac:dyDescent="0.25">
      <c r="O4273"/>
      <c r="P4273"/>
    </row>
    <row r="4274" spans="15:16" hidden="1" x14ac:dyDescent="0.25">
      <c r="O4274"/>
      <c r="P4274"/>
    </row>
    <row r="4275" spans="15:16" hidden="1" x14ac:dyDescent="0.25">
      <c r="O4275"/>
      <c r="P4275"/>
    </row>
    <row r="4276" spans="15:16" hidden="1" x14ac:dyDescent="0.25">
      <c r="O4276"/>
      <c r="P4276"/>
    </row>
    <row r="4277" spans="15:16" hidden="1" x14ac:dyDescent="0.25">
      <c r="O4277"/>
      <c r="P4277"/>
    </row>
    <row r="4278" spans="15:16" hidden="1" x14ac:dyDescent="0.25">
      <c r="O4278"/>
      <c r="P4278"/>
    </row>
    <row r="4279" spans="15:16" hidden="1" x14ac:dyDescent="0.25">
      <c r="O4279"/>
      <c r="P4279"/>
    </row>
    <row r="4280" spans="15:16" hidden="1" x14ac:dyDescent="0.25">
      <c r="O4280"/>
      <c r="P4280"/>
    </row>
    <row r="4281" spans="15:16" hidden="1" x14ac:dyDescent="0.25">
      <c r="O4281"/>
      <c r="P4281"/>
    </row>
    <row r="4282" spans="15:16" hidden="1" x14ac:dyDescent="0.25">
      <c r="O4282"/>
      <c r="P4282"/>
    </row>
    <row r="4283" spans="15:16" hidden="1" x14ac:dyDescent="0.25">
      <c r="O4283"/>
      <c r="P4283"/>
    </row>
    <row r="4284" spans="15:16" hidden="1" x14ac:dyDescent="0.25">
      <c r="O4284"/>
      <c r="P4284"/>
    </row>
    <row r="4285" spans="15:16" hidden="1" x14ac:dyDescent="0.25">
      <c r="O4285"/>
      <c r="P4285"/>
    </row>
    <row r="4286" spans="15:16" hidden="1" x14ac:dyDescent="0.25">
      <c r="O4286"/>
      <c r="P4286"/>
    </row>
    <row r="4287" spans="15:16" hidden="1" x14ac:dyDescent="0.25">
      <c r="O4287"/>
      <c r="P4287"/>
    </row>
    <row r="4288" spans="15:16" hidden="1" x14ac:dyDescent="0.25">
      <c r="O4288"/>
      <c r="P4288"/>
    </row>
    <row r="4289" spans="15:16" hidden="1" x14ac:dyDescent="0.25">
      <c r="O4289"/>
      <c r="P4289"/>
    </row>
    <row r="4290" spans="15:16" hidden="1" x14ac:dyDescent="0.25">
      <c r="O4290"/>
      <c r="P4290"/>
    </row>
    <row r="4291" spans="15:16" hidden="1" x14ac:dyDescent="0.25">
      <c r="O4291"/>
      <c r="P4291"/>
    </row>
    <row r="4292" spans="15:16" hidden="1" x14ac:dyDescent="0.25">
      <c r="O4292"/>
      <c r="P4292"/>
    </row>
    <row r="4293" spans="15:16" hidden="1" x14ac:dyDescent="0.25">
      <c r="O4293"/>
      <c r="P4293"/>
    </row>
    <row r="4294" spans="15:16" hidden="1" x14ac:dyDescent="0.25">
      <c r="O4294"/>
      <c r="P4294"/>
    </row>
    <row r="4295" spans="15:16" hidden="1" x14ac:dyDescent="0.25">
      <c r="O4295"/>
      <c r="P4295"/>
    </row>
    <row r="4296" spans="15:16" hidden="1" x14ac:dyDescent="0.25">
      <c r="O4296"/>
      <c r="P4296"/>
    </row>
    <row r="4297" spans="15:16" hidden="1" x14ac:dyDescent="0.25">
      <c r="O4297"/>
      <c r="P4297"/>
    </row>
    <row r="4298" spans="15:16" hidden="1" x14ac:dyDescent="0.25">
      <c r="O4298"/>
      <c r="P4298"/>
    </row>
    <row r="4299" spans="15:16" hidden="1" x14ac:dyDescent="0.25">
      <c r="O4299"/>
      <c r="P4299"/>
    </row>
    <row r="4300" spans="15:16" hidden="1" x14ac:dyDescent="0.25">
      <c r="O4300"/>
      <c r="P4300"/>
    </row>
    <row r="4301" spans="15:16" hidden="1" x14ac:dyDescent="0.25">
      <c r="O4301"/>
      <c r="P4301"/>
    </row>
    <row r="4302" spans="15:16" hidden="1" x14ac:dyDescent="0.25">
      <c r="O4302"/>
      <c r="P4302"/>
    </row>
    <row r="4303" spans="15:16" hidden="1" x14ac:dyDescent="0.25">
      <c r="O4303"/>
      <c r="P4303"/>
    </row>
    <row r="4304" spans="15:16" hidden="1" x14ac:dyDescent="0.25">
      <c r="O4304"/>
      <c r="P4304"/>
    </row>
    <row r="4305" spans="15:16" hidden="1" x14ac:dyDescent="0.25">
      <c r="O4305"/>
      <c r="P4305"/>
    </row>
    <row r="4306" spans="15:16" hidden="1" x14ac:dyDescent="0.25">
      <c r="O4306"/>
      <c r="P4306"/>
    </row>
    <row r="4307" spans="15:16" hidden="1" x14ac:dyDescent="0.25">
      <c r="O4307"/>
      <c r="P4307"/>
    </row>
    <row r="4308" spans="15:16" hidden="1" x14ac:dyDescent="0.25">
      <c r="O4308"/>
      <c r="P4308"/>
    </row>
    <row r="4309" spans="15:16" hidden="1" x14ac:dyDescent="0.25">
      <c r="O4309"/>
      <c r="P4309"/>
    </row>
    <row r="4310" spans="15:16" hidden="1" x14ac:dyDescent="0.25">
      <c r="O4310"/>
      <c r="P4310"/>
    </row>
    <row r="4311" spans="15:16" hidden="1" x14ac:dyDescent="0.25">
      <c r="O4311"/>
      <c r="P4311"/>
    </row>
    <row r="4312" spans="15:16" hidden="1" x14ac:dyDescent="0.25">
      <c r="O4312"/>
      <c r="P4312"/>
    </row>
    <row r="4313" spans="15:16" hidden="1" x14ac:dyDescent="0.25">
      <c r="O4313"/>
      <c r="P4313"/>
    </row>
    <row r="4314" spans="15:16" hidden="1" x14ac:dyDescent="0.25">
      <c r="O4314"/>
      <c r="P4314"/>
    </row>
    <row r="4315" spans="15:16" hidden="1" x14ac:dyDescent="0.25">
      <c r="O4315"/>
      <c r="P4315"/>
    </row>
    <row r="4316" spans="15:16" hidden="1" x14ac:dyDescent="0.25">
      <c r="O4316"/>
      <c r="P4316"/>
    </row>
    <row r="4317" spans="15:16" hidden="1" x14ac:dyDescent="0.25">
      <c r="O4317"/>
      <c r="P4317"/>
    </row>
    <row r="4318" spans="15:16" hidden="1" x14ac:dyDescent="0.25">
      <c r="O4318"/>
      <c r="P4318"/>
    </row>
    <row r="4319" spans="15:16" hidden="1" x14ac:dyDescent="0.25">
      <c r="O4319"/>
      <c r="P4319"/>
    </row>
    <row r="4320" spans="15:16" hidden="1" x14ac:dyDescent="0.25">
      <c r="O4320"/>
      <c r="P4320"/>
    </row>
    <row r="4321" spans="15:16" hidden="1" x14ac:dyDescent="0.25">
      <c r="O4321"/>
      <c r="P4321"/>
    </row>
    <row r="4322" spans="15:16" hidden="1" x14ac:dyDescent="0.25">
      <c r="O4322"/>
      <c r="P4322"/>
    </row>
    <row r="4323" spans="15:16" hidden="1" x14ac:dyDescent="0.25">
      <c r="O4323"/>
      <c r="P4323"/>
    </row>
    <row r="4324" spans="15:16" hidden="1" x14ac:dyDescent="0.25">
      <c r="O4324"/>
      <c r="P4324"/>
    </row>
    <row r="4325" spans="15:16" hidden="1" x14ac:dyDescent="0.25">
      <c r="O4325"/>
      <c r="P4325"/>
    </row>
    <row r="4326" spans="15:16" hidden="1" x14ac:dyDescent="0.25">
      <c r="O4326"/>
      <c r="P4326"/>
    </row>
    <row r="4327" spans="15:16" hidden="1" x14ac:dyDescent="0.25">
      <c r="O4327"/>
      <c r="P4327"/>
    </row>
    <row r="4328" spans="15:16" hidden="1" x14ac:dyDescent="0.25">
      <c r="O4328"/>
      <c r="P4328"/>
    </row>
    <row r="4329" spans="15:16" hidden="1" x14ac:dyDescent="0.25">
      <c r="O4329"/>
      <c r="P4329"/>
    </row>
    <row r="4330" spans="15:16" hidden="1" x14ac:dyDescent="0.25">
      <c r="O4330"/>
      <c r="P4330"/>
    </row>
    <row r="4331" spans="15:16" hidden="1" x14ac:dyDescent="0.25">
      <c r="O4331"/>
      <c r="P4331"/>
    </row>
    <row r="4332" spans="15:16" hidden="1" x14ac:dyDescent="0.25">
      <c r="O4332"/>
      <c r="P4332"/>
    </row>
    <row r="4333" spans="15:16" hidden="1" x14ac:dyDescent="0.25">
      <c r="O4333"/>
      <c r="P4333"/>
    </row>
    <row r="4334" spans="15:16" hidden="1" x14ac:dyDescent="0.25">
      <c r="O4334"/>
      <c r="P4334"/>
    </row>
    <row r="4335" spans="15:16" hidden="1" x14ac:dyDescent="0.25">
      <c r="O4335"/>
      <c r="P4335"/>
    </row>
    <row r="4336" spans="15:16" hidden="1" x14ac:dyDescent="0.25">
      <c r="O4336"/>
      <c r="P4336"/>
    </row>
    <row r="4337" spans="15:16" hidden="1" x14ac:dyDescent="0.25">
      <c r="O4337"/>
      <c r="P4337"/>
    </row>
    <row r="4338" spans="15:16" hidden="1" x14ac:dyDescent="0.25">
      <c r="O4338"/>
      <c r="P4338"/>
    </row>
    <row r="4339" spans="15:16" hidden="1" x14ac:dyDescent="0.25">
      <c r="O4339"/>
      <c r="P4339"/>
    </row>
    <row r="4340" spans="15:16" hidden="1" x14ac:dyDescent="0.25">
      <c r="O4340"/>
      <c r="P4340"/>
    </row>
    <row r="4341" spans="15:16" hidden="1" x14ac:dyDescent="0.25">
      <c r="O4341"/>
      <c r="P4341"/>
    </row>
    <row r="4342" spans="15:16" hidden="1" x14ac:dyDescent="0.25">
      <c r="O4342"/>
      <c r="P4342"/>
    </row>
    <row r="4343" spans="15:16" hidden="1" x14ac:dyDescent="0.25">
      <c r="O4343"/>
      <c r="P4343"/>
    </row>
    <row r="4344" spans="15:16" hidden="1" x14ac:dyDescent="0.25">
      <c r="O4344"/>
      <c r="P4344"/>
    </row>
    <row r="4345" spans="15:16" hidden="1" x14ac:dyDescent="0.25">
      <c r="O4345"/>
      <c r="P4345"/>
    </row>
    <row r="4346" spans="15:16" hidden="1" x14ac:dyDescent="0.25">
      <c r="O4346"/>
      <c r="P4346"/>
    </row>
    <row r="4347" spans="15:16" hidden="1" x14ac:dyDescent="0.25">
      <c r="O4347"/>
      <c r="P4347"/>
    </row>
    <row r="4348" spans="15:16" hidden="1" x14ac:dyDescent="0.25">
      <c r="O4348"/>
      <c r="P4348"/>
    </row>
    <row r="4349" spans="15:16" hidden="1" x14ac:dyDescent="0.25">
      <c r="O4349"/>
      <c r="P4349"/>
    </row>
    <row r="4350" spans="15:16" hidden="1" x14ac:dyDescent="0.25">
      <c r="O4350"/>
      <c r="P4350"/>
    </row>
    <row r="4351" spans="15:16" hidden="1" x14ac:dyDescent="0.25">
      <c r="O4351"/>
      <c r="P4351"/>
    </row>
    <row r="4352" spans="15:16" hidden="1" x14ac:dyDescent="0.25">
      <c r="O4352"/>
      <c r="P4352"/>
    </row>
    <row r="4353" spans="15:16" hidden="1" x14ac:dyDescent="0.25">
      <c r="O4353"/>
      <c r="P4353"/>
    </row>
    <row r="4354" spans="15:16" hidden="1" x14ac:dyDescent="0.25">
      <c r="O4354"/>
      <c r="P4354"/>
    </row>
    <row r="4355" spans="15:16" hidden="1" x14ac:dyDescent="0.25">
      <c r="O4355"/>
      <c r="P4355"/>
    </row>
    <row r="4356" spans="15:16" hidden="1" x14ac:dyDescent="0.25">
      <c r="O4356"/>
      <c r="P4356"/>
    </row>
    <row r="4357" spans="15:16" hidden="1" x14ac:dyDescent="0.25">
      <c r="O4357"/>
      <c r="P4357"/>
    </row>
    <row r="4358" spans="15:16" hidden="1" x14ac:dyDescent="0.25">
      <c r="O4358"/>
      <c r="P4358"/>
    </row>
    <row r="4359" spans="15:16" hidden="1" x14ac:dyDescent="0.25">
      <c r="O4359"/>
      <c r="P4359"/>
    </row>
    <row r="4360" spans="15:16" hidden="1" x14ac:dyDescent="0.25">
      <c r="O4360"/>
      <c r="P4360"/>
    </row>
    <row r="4361" spans="15:16" hidden="1" x14ac:dyDescent="0.25">
      <c r="O4361"/>
      <c r="P4361"/>
    </row>
    <row r="4362" spans="15:16" hidden="1" x14ac:dyDescent="0.25">
      <c r="O4362"/>
      <c r="P4362"/>
    </row>
    <row r="4363" spans="15:16" hidden="1" x14ac:dyDescent="0.25">
      <c r="O4363"/>
      <c r="P4363"/>
    </row>
    <row r="4364" spans="15:16" hidden="1" x14ac:dyDescent="0.25">
      <c r="O4364"/>
      <c r="P4364"/>
    </row>
    <row r="4365" spans="15:16" hidden="1" x14ac:dyDescent="0.25">
      <c r="O4365"/>
      <c r="P4365"/>
    </row>
    <row r="4366" spans="15:16" hidden="1" x14ac:dyDescent="0.25">
      <c r="O4366"/>
      <c r="P4366"/>
    </row>
    <row r="4367" spans="15:16" hidden="1" x14ac:dyDescent="0.25">
      <c r="O4367"/>
      <c r="P4367"/>
    </row>
    <row r="4368" spans="15:16" hidden="1" x14ac:dyDescent="0.25">
      <c r="O4368"/>
      <c r="P4368"/>
    </row>
    <row r="4369" spans="15:16" hidden="1" x14ac:dyDescent="0.25">
      <c r="O4369"/>
      <c r="P4369"/>
    </row>
    <row r="4370" spans="15:16" hidden="1" x14ac:dyDescent="0.25">
      <c r="O4370"/>
      <c r="P4370"/>
    </row>
    <row r="4371" spans="15:16" hidden="1" x14ac:dyDescent="0.25">
      <c r="O4371"/>
      <c r="P4371"/>
    </row>
    <row r="4372" spans="15:16" hidden="1" x14ac:dyDescent="0.25">
      <c r="O4372"/>
      <c r="P4372"/>
    </row>
    <row r="4373" spans="15:16" hidden="1" x14ac:dyDescent="0.25">
      <c r="O4373"/>
      <c r="P4373"/>
    </row>
    <row r="4374" spans="15:16" hidden="1" x14ac:dyDescent="0.25">
      <c r="O4374"/>
      <c r="P4374"/>
    </row>
    <row r="4375" spans="15:16" hidden="1" x14ac:dyDescent="0.25">
      <c r="O4375"/>
      <c r="P4375"/>
    </row>
    <row r="4376" spans="15:16" hidden="1" x14ac:dyDescent="0.25">
      <c r="O4376"/>
      <c r="P4376"/>
    </row>
    <row r="4377" spans="15:16" hidden="1" x14ac:dyDescent="0.25">
      <c r="O4377"/>
      <c r="P4377"/>
    </row>
    <row r="4378" spans="15:16" hidden="1" x14ac:dyDescent="0.25">
      <c r="O4378"/>
      <c r="P4378"/>
    </row>
    <row r="4379" spans="15:16" hidden="1" x14ac:dyDescent="0.25">
      <c r="O4379"/>
      <c r="P4379"/>
    </row>
    <row r="4380" spans="15:16" hidden="1" x14ac:dyDescent="0.25">
      <c r="O4380"/>
      <c r="P4380"/>
    </row>
    <row r="4381" spans="15:16" hidden="1" x14ac:dyDescent="0.25">
      <c r="O4381"/>
      <c r="P4381"/>
    </row>
    <row r="4382" spans="15:16" hidden="1" x14ac:dyDescent="0.25">
      <c r="O4382"/>
      <c r="P4382"/>
    </row>
    <row r="4383" spans="15:16" hidden="1" x14ac:dyDescent="0.25">
      <c r="O4383"/>
      <c r="P4383"/>
    </row>
    <row r="4384" spans="15:16" hidden="1" x14ac:dyDescent="0.25">
      <c r="O4384"/>
      <c r="P4384"/>
    </row>
    <row r="4385" spans="15:16" hidden="1" x14ac:dyDescent="0.25">
      <c r="O4385"/>
      <c r="P4385"/>
    </row>
    <row r="4386" spans="15:16" hidden="1" x14ac:dyDescent="0.25">
      <c r="O4386"/>
      <c r="P4386"/>
    </row>
    <row r="4387" spans="15:16" hidden="1" x14ac:dyDescent="0.25">
      <c r="O4387"/>
      <c r="P4387"/>
    </row>
    <row r="4388" spans="15:16" hidden="1" x14ac:dyDescent="0.25">
      <c r="O4388"/>
      <c r="P4388"/>
    </row>
    <row r="4389" spans="15:16" hidden="1" x14ac:dyDescent="0.25">
      <c r="O4389"/>
      <c r="P4389"/>
    </row>
    <row r="4390" spans="15:16" hidden="1" x14ac:dyDescent="0.25">
      <c r="O4390"/>
      <c r="P4390"/>
    </row>
    <row r="4391" spans="15:16" hidden="1" x14ac:dyDescent="0.25">
      <c r="O4391"/>
      <c r="P4391"/>
    </row>
    <row r="4392" spans="15:16" hidden="1" x14ac:dyDescent="0.25">
      <c r="O4392"/>
      <c r="P4392"/>
    </row>
    <row r="4393" spans="15:16" hidden="1" x14ac:dyDescent="0.25">
      <c r="O4393"/>
      <c r="P4393"/>
    </row>
    <row r="4394" spans="15:16" hidden="1" x14ac:dyDescent="0.25">
      <c r="O4394"/>
      <c r="P4394"/>
    </row>
    <row r="4395" spans="15:16" hidden="1" x14ac:dyDescent="0.25">
      <c r="O4395"/>
      <c r="P4395"/>
    </row>
    <row r="4396" spans="15:16" hidden="1" x14ac:dyDescent="0.25">
      <c r="O4396"/>
      <c r="P4396"/>
    </row>
    <row r="4397" spans="15:16" hidden="1" x14ac:dyDescent="0.25">
      <c r="O4397"/>
      <c r="P4397"/>
    </row>
    <row r="4398" spans="15:16" hidden="1" x14ac:dyDescent="0.25">
      <c r="O4398"/>
      <c r="P4398"/>
    </row>
    <row r="4399" spans="15:16" hidden="1" x14ac:dyDescent="0.25">
      <c r="O4399"/>
      <c r="P4399"/>
    </row>
    <row r="4400" spans="15:16" hidden="1" x14ac:dyDescent="0.25">
      <c r="O4400"/>
      <c r="P4400"/>
    </row>
    <row r="4401" spans="15:16" hidden="1" x14ac:dyDescent="0.25">
      <c r="O4401"/>
      <c r="P4401"/>
    </row>
    <row r="4402" spans="15:16" hidden="1" x14ac:dyDescent="0.25">
      <c r="O4402"/>
      <c r="P4402"/>
    </row>
    <row r="4403" spans="15:16" hidden="1" x14ac:dyDescent="0.25">
      <c r="O4403"/>
      <c r="P4403"/>
    </row>
    <row r="4404" spans="15:16" hidden="1" x14ac:dyDescent="0.25">
      <c r="O4404"/>
      <c r="P4404"/>
    </row>
    <row r="4405" spans="15:16" hidden="1" x14ac:dyDescent="0.25">
      <c r="O4405"/>
      <c r="P4405"/>
    </row>
    <row r="4406" spans="15:16" hidden="1" x14ac:dyDescent="0.25">
      <c r="O4406"/>
      <c r="P4406"/>
    </row>
    <row r="4407" spans="15:16" hidden="1" x14ac:dyDescent="0.25">
      <c r="O4407"/>
      <c r="P4407"/>
    </row>
    <row r="4408" spans="15:16" hidden="1" x14ac:dyDescent="0.25">
      <c r="O4408"/>
      <c r="P4408"/>
    </row>
    <row r="4409" spans="15:16" hidden="1" x14ac:dyDescent="0.25">
      <c r="O4409"/>
      <c r="P4409"/>
    </row>
    <row r="4410" spans="15:16" hidden="1" x14ac:dyDescent="0.25">
      <c r="O4410"/>
      <c r="P4410"/>
    </row>
    <row r="4411" spans="15:16" hidden="1" x14ac:dyDescent="0.25">
      <c r="O4411"/>
      <c r="P4411"/>
    </row>
    <row r="4412" spans="15:16" hidden="1" x14ac:dyDescent="0.25">
      <c r="O4412"/>
      <c r="P4412"/>
    </row>
    <row r="4413" spans="15:16" hidden="1" x14ac:dyDescent="0.25">
      <c r="O4413"/>
      <c r="P4413"/>
    </row>
    <row r="4414" spans="15:16" hidden="1" x14ac:dyDescent="0.25">
      <c r="O4414"/>
      <c r="P4414"/>
    </row>
    <row r="4415" spans="15:16" hidden="1" x14ac:dyDescent="0.25">
      <c r="O4415"/>
      <c r="P4415"/>
    </row>
    <row r="4416" spans="15:16" hidden="1" x14ac:dyDescent="0.25">
      <c r="O4416"/>
      <c r="P4416"/>
    </row>
    <row r="4417" spans="15:16" hidden="1" x14ac:dyDescent="0.25">
      <c r="O4417"/>
      <c r="P4417"/>
    </row>
    <row r="4418" spans="15:16" hidden="1" x14ac:dyDescent="0.25">
      <c r="O4418"/>
      <c r="P4418"/>
    </row>
    <row r="4419" spans="15:16" hidden="1" x14ac:dyDescent="0.25">
      <c r="O4419"/>
      <c r="P4419"/>
    </row>
    <row r="4420" spans="15:16" hidden="1" x14ac:dyDescent="0.25">
      <c r="O4420"/>
      <c r="P4420"/>
    </row>
    <row r="4421" spans="15:16" hidden="1" x14ac:dyDescent="0.25">
      <c r="O4421"/>
      <c r="P4421"/>
    </row>
    <row r="4422" spans="15:16" hidden="1" x14ac:dyDescent="0.25">
      <c r="O4422"/>
      <c r="P4422"/>
    </row>
    <row r="4423" spans="15:16" hidden="1" x14ac:dyDescent="0.25">
      <c r="O4423"/>
      <c r="P4423"/>
    </row>
    <row r="4424" spans="15:16" hidden="1" x14ac:dyDescent="0.25">
      <c r="O4424"/>
      <c r="P4424"/>
    </row>
    <row r="4425" spans="15:16" hidden="1" x14ac:dyDescent="0.25">
      <c r="O4425"/>
      <c r="P4425"/>
    </row>
    <row r="4426" spans="15:16" hidden="1" x14ac:dyDescent="0.25">
      <c r="O4426"/>
      <c r="P4426"/>
    </row>
    <row r="4427" spans="15:16" hidden="1" x14ac:dyDescent="0.25">
      <c r="O4427"/>
      <c r="P4427"/>
    </row>
    <row r="4428" spans="15:16" hidden="1" x14ac:dyDescent="0.25">
      <c r="O4428"/>
      <c r="P4428"/>
    </row>
    <row r="4429" spans="15:16" hidden="1" x14ac:dyDescent="0.25">
      <c r="O4429"/>
      <c r="P4429"/>
    </row>
    <row r="4430" spans="15:16" hidden="1" x14ac:dyDescent="0.25">
      <c r="O4430"/>
      <c r="P4430"/>
    </row>
    <row r="4431" spans="15:16" hidden="1" x14ac:dyDescent="0.25">
      <c r="O4431"/>
      <c r="P4431"/>
    </row>
    <row r="4432" spans="15:16" hidden="1" x14ac:dyDescent="0.25">
      <c r="O4432"/>
      <c r="P4432"/>
    </row>
    <row r="4433" spans="15:16" hidden="1" x14ac:dyDescent="0.25">
      <c r="O4433"/>
      <c r="P4433"/>
    </row>
    <row r="4434" spans="15:16" hidden="1" x14ac:dyDescent="0.25">
      <c r="O4434"/>
      <c r="P4434"/>
    </row>
    <row r="4435" spans="15:16" hidden="1" x14ac:dyDescent="0.25">
      <c r="O4435"/>
      <c r="P4435"/>
    </row>
    <row r="4436" spans="15:16" hidden="1" x14ac:dyDescent="0.25">
      <c r="O4436"/>
      <c r="P4436"/>
    </row>
    <row r="4437" spans="15:16" hidden="1" x14ac:dyDescent="0.25">
      <c r="O4437"/>
      <c r="P4437"/>
    </row>
    <row r="4438" spans="15:16" hidden="1" x14ac:dyDescent="0.25">
      <c r="O4438"/>
      <c r="P4438"/>
    </row>
    <row r="4439" spans="15:16" hidden="1" x14ac:dyDescent="0.25">
      <c r="O4439"/>
      <c r="P4439"/>
    </row>
    <row r="4440" spans="15:16" hidden="1" x14ac:dyDescent="0.25">
      <c r="O4440"/>
      <c r="P4440"/>
    </row>
    <row r="4441" spans="15:16" hidden="1" x14ac:dyDescent="0.25">
      <c r="O4441"/>
      <c r="P4441"/>
    </row>
    <row r="4442" spans="15:16" hidden="1" x14ac:dyDescent="0.25">
      <c r="O4442"/>
      <c r="P4442"/>
    </row>
    <row r="4443" spans="15:16" hidden="1" x14ac:dyDescent="0.25">
      <c r="O4443"/>
      <c r="P4443"/>
    </row>
    <row r="4444" spans="15:16" hidden="1" x14ac:dyDescent="0.25">
      <c r="O4444"/>
      <c r="P4444"/>
    </row>
    <row r="4445" spans="15:16" hidden="1" x14ac:dyDescent="0.25">
      <c r="O4445"/>
      <c r="P4445"/>
    </row>
    <row r="4446" spans="15:16" hidden="1" x14ac:dyDescent="0.25">
      <c r="O4446"/>
      <c r="P4446"/>
    </row>
    <row r="4447" spans="15:16" hidden="1" x14ac:dyDescent="0.25">
      <c r="O4447"/>
      <c r="P4447"/>
    </row>
    <row r="4448" spans="15:16" hidden="1" x14ac:dyDescent="0.25">
      <c r="O4448"/>
      <c r="P4448"/>
    </row>
    <row r="4449" spans="15:16" hidden="1" x14ac:dyDescent="0.25">
      <c r="O4449"/>
      <c r="P4449"/>
    </row>
    <row r="4450" spans="15:16" hidden="1" x14ac:dyDescent="0.25">
      <c r="O4450"/>
      <c r="P4450"/>
    </row>
    <row r="4451" spans="15:16" hidden="1" x14ac:dyDescent="0.25">
      <c r="O4451"/>
      <c r="P4451"/>
    </row>
    <row r="4452" spans="15:16" hidden="1" x14ac:dyDescent="0.25">
      <c r="O4452"/>
      <c r="P4452"/>
    </row>
    <row r="4453" spans="15:16" hidden="1" x14ac:dyDescent="0.25">
      <c r="O4453"/>
      <c r="P4453"/>
    </row>
    <row r="4454" spans="15:16" hidden="1" x14ac:dyDescent="0.25">
      <c r="O4454"/>
      <c r="P4454"/>
    </row>
    <row r="4455" spans="15:16" hidden="1" x14ac:dyDescent="0.25">
      <c r="O4455"/>
      <c r="P4455"/>
    </row>
    <row r="4456" spans="15:16" hidden="1" x14ac:dyDescent="0.25">
      <c r="O4456"/>
      <c r="P4456"/>
    </row>
    <row r="4457" spans="15:16" hidden="1" x14ac:dyDescent="0.25">
      <c r="O4457"/>
      <c r="P4457"/>
    </row>
    <row r="4458" spans="15:16" hidden="1" x14ac:dyDescent="0.25">
      <c r="O4458"/>
      <c r="P4458"/>
    </row>
    <row r="4459" spans="15:16" hidden="1" x14ac:dyDescent="0.25">
      <c r="O4459"/>
      <c r="P4459"/>
    </row>
    <row r="4460" spans="15:16" hidden="1" x14ac:dyDescent="0.25">
      <c r="O4460"/>
      <c r="P4460"/>
    </row>
    <row r="4461" spans="15:16" hidden="1" x14ac:dyDescent="0.25">
      <c r="O4461"/>
      <c r="P4461"/>
    </row>
    <row r="4462" spans="15:16" hidden="1" x14ac:dyDescent="0.25">
      <c r="O4462"/>
      <c r="P4462"/>
    </row>
    <row r="4463" spans="15:16" hidden="1" x14ac:dyDescent="0.25">
      <c r="O4463"/>
      <c r="P4463"/>
    </row>
    <row r="4464" spans="15:16" hidden="1" x14ac:dyDescent="0.25">
      <c r="O4464"/>
      <c r="P4464"/>
    </row>
    <row r="4465" spans="15:16" hidden="1" x14ac:dyDescent="0.25">
      <c r="O4465"/>
      <c r="P4465"/>
    </row>
    <row r="4466" spans="15:16" hidden="1" x14ac:dyDescent="0.25">
      <c r="O4466"/>
      <c r="P4466"/>
    </row>
    <row r="4467" spans="15:16" hidden="1" x14ac:dyDescent="0.25">
      <c r="O4467"/>
      <c r="P4467"/>
    </row>
    <row r="4468" spans="15:16" hidden="1" x14ac:dyDescent="0.25">
      <c r="O4468"/>
      <c r="P4468"/>
    </row>
    <row r="4469" spans="15:16" hidden="1" x14ac:dyDescent="0.25">
      <c r="O4469"/>
      <c r="P4469"/>
    </row>
    <row r="4470" spans="15:16" hidden="1" x14ac:dyDescent="0.25">
      <c r="O4470"/>
      <c r="P4470"/>
    </row>
    <row r="4471" spans="15:16" hidden="1" x14ac:dyDescent="0.25">
      <c r="O4471"/>
      <c r="P4471"/>
    </row>
    <row r="4472" spans="15:16" hidden="1" x14ac:dyDescent="0.25">
      <c r="O4472"/>
      <c r="P4472"/>
    </row>
    <row r="4473" spans="15:16" hidden="1" x14ac:dyDescent="0.25">
      <c r="O4473"/>
      <c r="P4473"/>
    </row>
    <row r="4474" spans="15:16" hidden="1" x14ac:dyDescent="0.25">
      <c r="O4474"/>
      <c r="P4474"/>
    </row>
    <row r="4475" spans="15:16" hidden="1" x14ac:dyDescent="0.25">
      <c r="O4475"/>
      <c r="P4475"/>
    </row>
    <row r="4476" spans="15:16" hidden="1" x14ac:dyDescent="0.25">
      <c r="O4476"/>
      <c r="P4476"/>
    </row>
    <row r="4477" spans="15:16" hidden="1" x14ac:dyDescent="0.25">
      <c r="O4477"/>
      <c r="P4477"/>
    </row>
    <row r="4478" spans="15:16" hidden="1" x14ac:dyDescent="0.25">
      <c r="O4478"/>
      <c r="P4478"/>
    </row>
    <row r="4479" spans="15:16" hidden="1" x14ac:dyDescent="0.25">
      <c r="O4479"/>
      <c r="P4479"/>
    </row>
    <row r="4480" spans="15:16" hidden="1" x14ac:dyDescent="0.25">
      <c r="O4480"/>
      <c r="P4480"/>
    </row>
    <row r="4481" spans="15:16" hidden="1" x14ac:dyDescent="0.25">
      <c r="O4481"/>
      <c r="P4481"/>
    </row>
    <row r="4482" spans="15:16" hidden="1" x14ac:dyDescent="0.25">
      <c r="O4482"/>
      <c r="P4482"/>
    </row>
    <row r="4483" spans="15:16" hidden="1" x14ac:dyDescent="0.25">
      <c r="O4483"/>
      <c r="P4483"/>
    </row>
    <row r="4484" spans="15:16" hidden="1" x14ac:dyDescent="0.25">
      <c r="O4484"/>
      <c r="P4484"/>
    </row>
    <row r="4485" spans="15:16" hidden="1" x14ac:dyDescent="0.25">
      <c r="O4485"/>
      <c r="P4485"/>
    </row>
    <row r="4486" spans="15:16" hidden="1" x14ac:dyDescent="0.25">
      <c r="O4486"/>
      <c r="P4486"/>
    </row>
    <row r="4487" spans="15:16" hidden="1" x14ac:dyDescent="0.25">
      <c r="O4487"/>
      <c r="P4487"/>
    </row>
    <row r="4488" spans="15:16" hidden="1" x14ac:dyDescent="0.25">
      <c r="O4488"/>
      <c r="P4488"/>
    </row>
    <row r="4489" spans="15:16" hidden="1" x14ac:dyDescent="0.25">
      <c r="O4489"/>
      <c r="P4489"/>
    </row>
    <row r="4490" spans="15:16" hidden="1" x14ac:dyDescent="0.25">
      <c r="O4490"/>
      <c r="P4490"/>
    </row>
    <row r="4491" spans="15:16" hidden="1" x14ac:dyDescent="0.25">
      <c r="O4491"/>
      <c r="P4491"/>
    </row>
    <row r="4492" spans="15:16" hidden="1" x14ac:dyDescent="0.25">
      <c r="O4492"/>
      <c r="P4492"/>
    </row>
    <row r="4493" spans="15:16" hidden="1" x14ac:dyDescent="0.25">
      <c r="O4493"/>
      <c r="P4493"/>
    </row>
    <row r="4494" spans="15:16" hidden="1" x14ac:dyDescent="0.25">
      <c r="O4494"/>
      <c r="P4494"/>
    </row>
    <row r="4495" spans="15:16" hidden="1" x14ac:dyDescent="0.25">
      <c r="O4495"/>
      <c r="P4495"/>
    </row>
    <row r="4496" spans="15:16" hidden="1" x14ac:dyDescent="0.25">
      <c r="O4496"/>
      <c r="P4496"/>
    </row>
    <row r="4497" spans="15:16" hidden="1" x14ac:dyDescent="0.25">
      <c r="O4497"/>
      <c r="P4497"/>
    </row>
    <row r="4498" spans="15:16" hidden="1" x14ac:dyDescent="0.25">
      <c r="O4498"/>
      <c r="P4498"/>
    </row>
    <row r="4499" spans="15:16" hidden="1" x14ac:dyDescent="0.25">
      <c r="O4499"/>
      <c r="P4499"/>
    </row>
    <row r="4500" spans="15:16" hidden="1" x14ac:dyDescent="0.25">
      <c r="O4500"/>
      <c r="P4500"/>
    </row>
    <row r="4501" spans="15:16" hidden="1" x14ac:dyDescent="0.25">
      <c r="O4501"/>
      <c r="P4501"/>
    </row>
    <row r="4502" spans="15:16" hidden="1" x14ac:dyDescent="0.25">
      <c r="O4502"/>
      <c r="P4502"/>
    </row>
    <row r="4503" spans="15:16" hidden="1" x14ac:dyDescent="0.25">
      <c r="O4503"/>
      <c r="P4503"/>
    </row>
    <row r="4504" spans="15:16" hidden="1" x14ac:dyDescent="0.25">
      <c r="O4504"/>
      <c r="P4504"/>
    </row>
    <row r="4505" spans="15:16" hidden="1" x14ac:dyDescent="0.25">
      <c r="O4505"/>
      <c r="P4505"/>
    </row>
    <row r="4506" spans="15:16" hidden="1" x14ac:dyDescent="0.25">
      <c r="O4506"/>
      <c r="P4506"/>
    </row>
    <row r="4507" spans="15:16" hidden="1" x14ac:dyDescent="0.25">
      <c r="O4507"/>
      <c r="P4507"/>
    </row>
    <row r="4508" spans="15:16" hidden="1" x14ac:dyDescent="0.25">
      <c r="O4508"/>
      <c r="P4508"/>
    </row>
    <row r="4509" spans="15:16" hidden="1" x14ac:dyDescent="0.25">
      <c r="O4509"/>
      <c r="P4509"/>
    </row>
    <row r="4510" spans="15:16" hidden="1" x14ac:dyDescent="0.25">
      <c r="O4510"/>
      <c r="P4510"/>
    </row>
    <row r="4511" spans="15:16" hidden="1" x14ac:dyDescent="0.25">
      <c r="O4511"/>
      <c r="P4511"/>
    </row>
    <row r="4512" spans="15:16" hidden="1" x14ac:dyDescent="0.25">
      <c r="O4512"/>
      <c r="P4512"/>
    </row>
    <row r="4513" spans="15:16" hidden="1" x14ac:dyDescent="0.25">
      <c r="O4513"/>
      <c r="P4513"/>
    </row>
    <row r="4514" spans="15:16" hidden="1" x14ac:dyDescent="0.25">
      <c r="O4514"/>
      <c r="P4514"/>
    </row>
    <row r="4515" spans="15:16" hidden="1" x14ac:dyDescent="0.25">
      <c r="O4515"/>
      <c r="P4515"/>
    </row>
    <row r="4516" spans="15:16" hidden="1" x14ac:dyDescent="0.25">
      <c r="O4516"/>
      <c r="P4516"/>
    </row>
    <row r="4517" spans="15:16" hidden="1" x14ac:dyDescent="0.25">
      <c r="O4517"/>
      <c r="P4517"/>
    </row>
    <row r="4518" spans="15:16" hidden="1" x14ac:dyDescent="0.25">
      <c r="O4518"/>
      <c r="P4518"/>
    </row>
    <row r="4519" spans="15:16" hidden="1" x14ac:dyDescent="0.25">
      <c r="O4519"/>
      <c r="P4519"/>
    </row>
    <row r="4520" spans="15:16" hidden="1" x14ac:dyDescent="0.25">
      <c r="O4520"/>
      <c r="P4520"/>
    </row>
    <row r="4521" spans="15:16" hidden="1" x14ac:dyDescent="0.25">
      <c r="O4521"/>
      <c r="P4521"/>
    </row>
    <row r="4522" spans="15:16" hidden="1" x14ac:dyDescent="0.25">
      <c r="O4522"/>
      <c r="P4522"/>
    </row>
    <row r="4523" spans="15:16" hidden="1" x14ac:dyDescent="0.25">
      <c r="O4523"/>
      <c r="P4523"/>
    </row>
    <row r="4524" spans="15:16" hidden="1" x14ac:dyDescent="0.25">
      <c r="O4524"/>
      <c r="P4524"/>
    </row>
    <row r="4525" spans="15:16" hidden="1" x14ac:dyDescent="0.25">
      <c r="O4525"/>
      <c r="P4525"/>
    </row>
    <row r="4526" spans="15:16" hidden="1" x14ac:dyDescent="0.25">
      <c r="O4526"/>
      <c r="P4526"/>
    </row>
    <row r="4527" spans="15:16" hidden="1" x14ac:dyDescent="0.25">
      <c r="O4527"/>
      <c r="P4527"/>
    </row>
    <row r="4528" spans="15:16" hidden="1" x14ac:dyDescent="0.25">
      <c r="O4528"/>
      <c r="P4528"/>
    </row>
    <row r="4529" spans="15:16" hidden="1" x14ac:dyDescent="0.25">
      <c r="O4529"/>
      <c r="P4529"/>
    </row>
    <row r="4530" spans="15:16" hidden="1" x14ac:dyDescent="0.25">
      <c r="O4530"/>
      <c r="P4530"/>
    </row>
    <row r="4531" spans="15:16" hidden="1" x14ac:dyDescent="0.25">
      <c r="O4531"/>
      <c r="P4531"/>
    </row>
    <row r="4532" spans="15:16" hidden="1" x14ac:dyDescent="0.25">
      <c r="O4532"/>
      <c r="P4532"/>
    </row>
    <row r="4533" spans="15:16" hidden="1" x14ac:dyDescent="0.25">
      <c r="O4533"/>
      <c r="P4533"/>
    </row>
    <row r="4534" spans="15:16" hidden="1" x14ac:dyDescent="0.25">
      <c r="O4534"/>
      <c r="P4534"/>
    </row>
    <row r="4535" spans="15:16" hidden="1" x14ac:dyDescent="0.25">
      <c r="O4535"/>
      <c r="P4535"/>
    </row>
    <row r="4536" spans="15:16" hidden="1" x14ac:dyDescent="0.25">
      <c r="O4536"/>
      <c r="P4536"/>
    </row>
    <row r="4537" spans="15:16" hidden="1" x14ac:dyDescent="0.25">
      <c r="O4537"/>
      <c r="P4537"/>
    </row>
    <row r="4538" spans="15:16" hidden="1" x14ac:dyDescent="0.25">
      <c r="O4538"/>
      <c r="P4538"/>
    </row>
    <row r="4539" spans="15:16" hidden="1" x14ac:dyDescent="0.25">
      <c r="O4539"/>
      <c r="P4539"/>
    </row>
    <row r="4540" spans="15:16" hidden="1" x14ac:dyDescent="0.25">
      <c r="O4540"/>
      <c r="P4540"/>
    </row>
    <row r="4541" spans="15:16" hidden="1" x14ac:dyDescent="0.25">
      <c r="O4541"/>
      <c r="P4541"/>
    </row>
    <row r="4542" spans="15:16" hidden="1" x14ac:dyDescent="0.25">
      <c r="O4542"/>
      <c r="P4542"/>
    </row>
    <row r="4543" spans="15:16" hidden="1" x14ac:dyDescent="0.25">
      <c r="O4543"/>
      <c r="P4543"/>
    </row>
    <row r="4544" spans="15:16" hidden="1" x14ac:dyDescent="0.25">
      <c r="O4544"/>
      <c r="P4544"/>
    </row>
    <row r="4545" spans="15:16" hidden="1" x14ac:dyDescent="0.25">
      <c r="O4545"/>
      <c r="P4545"/>
    </row>
    <row r="4546" spans="15:16" hidden="1" x14ac:dyDescent="0.25">
      <c r="O4546"/>
      <c r="P4546"/>
    </row>
    <row r="4547" spans="15:16" hidden="1" x14ac:dyDescent="0.25">
      <c r="O4547"/>
      <c r="P4547"/>
    </row>
    <row r="4548" spans="15:16" hidden="1" x14ac:dyDescent="0.25">
      <c r="O4548"/>
      <c r="P4548"/>
    </row>
    <row r="4549" spans="15:16" hidden="1" x14ac:dyDescent="0.25">
      <c r="O4549"/>
      <c r="P4549"/>
    </row>
    <row r="4550" spans="15:16" hidden="1" x14ac:dyDescent="0.25">
      <c r="O4550"/>
      <c r="P4550"/>
    </row>
    <row r="4551" spans="15:16" hidden="1" x14ac:dyDescent="0.25">
      <c r="O4551"/>
      <c r="P4551"/>
    </row>
    <row r="4552" spans="15:16" hidden="1" x14ac:dyDescent="0.25">
      <c r="O4552"/>
      <c r="P4552"/>
    </row>
    <row r="4553" spans="15:16" hidden="1" x14ac:dyDescent="0.25">
      <c r="O4553"/>
      <c r="P4553"/>
    </row>
    <row r="4554" spans="15:16" hidden="1" x14ac:dyDescent="0.25">
      <c r="O4554"/>
      <c r="P4554"/>
    </row>
    <row r="4555" spans="15:16" hidden="1" x14ac:dyDescent="0.25">
      <c r="O4555"/>
      <c r="P4555"/>
    </row>
    <row r="4556" spans="15:16" hidden="1" x14ac:dyDescent="0.25">
      <c r="O4556"/>
      <c r="P4556"/>
    </row>
    <row r="4557" spans="15:16" hidden="1" x14ac:dyDescent="0.25">
      <c r="O4557"/>
      <c r="P4557"/>
    </row>
    <row r="4558" spans="15:16" hidden="1" x14ac:dyDescent="0.25">
      <c r="O4558"/>
      <c r="P4558"/>
    </row>
    <row r="4559" spans="15:16" hidden="1" x14ac:dyDescent="0.25">
      <c r="O4559"/>
      <c r="P4559"/>
    </row>
    <row r="4560" spans="15:16" hidden="1" x14ac:dyDescent="0.25">
      <c r="O4560"/>
      <c r="P4560"/>
    </row>
    <row r="4561" spans="15:16" hidden="1" x14ac:dyDescent="0.25">
      <c r="O4561"/>
      <c r="P4561"/>
    </row>
    <row r="4562" spans="15:16" hidden="1" x14ac:dyDescent="0.25">
      <c r="O4562"/>
      <c r="P4562"/>
    </row>
    <row r="4563" spans="15:16" hidden="1" x14ac:dyDescent="0.25">
      <c r="O4563"/>
      <c r="P4563"/>
    </row>
    <row r="4564" spans="15:16" hidden="1" x14ac:dyDescent="0.25">
      <c r="O4564"/>
      <c r="P4564"/>
    </row>
    <row r="4565" spans="15:16" hidden="1" x14ac:dyDescent="0.25">
      <c r="O4565"/>
      <c r="P4565"/>
    </row>
    <row r="4566" spans="15:16" hidden="1" x14ac:dyDescent="0.25">
      <c r="O4566"/>
      <c r="P4566"/>
    </row>
    <row r="4567" spans="15:16" hidden="1" x14ac:dyDescent="0.25">
      <c r="O4567"/>
      <c r="P4567"/>
    </row>
    <row r="4568" spans="15:16" hidden="1" x14ac:dyDescent="0.25">
      <c r="O4568"/>
      <c r="P4568"/>
    </row>
    <row r="4569" spans="15:16" hidden="1" x14ac:dyDescent="0.25">
      <c r="O4569"/>
      <c r="P4569"/>
    </row>
    <row r="4570" spans="15:16" hidden="1" x14ac:dyDescent="0.25">
      <c r="O4570"/>
      <c r="P4570"/>
    </row>
    <row r="4571" spans="15:16" hidden="1" x14ac:dyDescent="0.25">
      <c r="O4571"/>
      <c r="P4571"/>
    </row>
    <row r="4572" spans="15:16" hidden="1" x14ac:dyDescent="0.25">
      <c r="O4572"/>
      <c r="P4572"/>
    </row>
    <row r="4573" spans="15:16" hidden="1" x14ac:dyDescent="0.25">
      <c r="O4573"/>
      <c r="P4573"/>
    </row>
    <row r="4574" spans="15:16" hidden="1" x14ac:dyDescent="0.25">
      <c r="O4574"/>
      <c r="P4574"/>
    </row>
    <row r="4575" spans="15:16" hidden="1" x14ac:dyDescent="0.25">
      <c r="O4575"/>
      <c r="P4575"/>
    </row>
    <row r="4576" spans="15:16" hidden="1" x14ac:dyDescent="0.25">
      <c r="O4576"/>
      <c r="P4576"/>
    </row>
    <row r="4577" spans="15:16" hidden="1" x14ac:dyDescent="0.25">
      <c r="O4577"/>
      <c r="P4577"/>
    </row>
    <row r="4578" spans="15:16" hidden="1" x14ac:dyDescent="0.25">
      <c r="O4578"/>
      <c r="P4578"/>
    </row>
    <row r="4579" spans="15:16" hidden="1" x14ac:dyDescent="0.25">
      <c r="O4579"/>
      <c r="P4579"/>
    </row>
    <row r="4580" spans="15:16" hidden="1" x14ac:dyDescent="0.25">
      <c r="O4580"/>
      <c r="P4580"/>
    </row>
    <row r="4581" spans="15:16" hidden="1" x14ac:dyDescent="0.25">
      <c r="O4581"/>
      <c r="P4581"/>
    </row>
    <row r="4582" spans="15:16" hidden="1" x14ac:dyDescent="0.25">
      <c r="O4582"/>
      <c r="P4582"/>
    </row>
    <row r="4583" spans="15:16" hidden="1" x14ac:dyDescent="0.25">
      <c r="O4583"/>
      <c r="P4583"/>
    </row>
    <row r="4584" spans="15:16" hidden="1" x14ac:dyDescent="0.25">
      <c r="O4584"/>
      <c r="P4584"/>
    </row>
    <row r="4585" spans="15:16" hidden="1" x14ac:dyDescent="0.25">
      <c r="O4585"/>
      <c r="P4585"/>
    </row>
    <row r="4586" spans="15:16" hidden="1" x14ac:dyDescent="0.25">
      <c r="O4586"/>
      <c r="P4586"/>
    </row>
    <row r="4587" spans="15:16" hidden="1" x14ac:dyDescent="0.25">
      <c r="O4587"/>
      <c r="P4587"/>
    </row>
    <row r="4588" spans="15:16" hidden="1" x14ac:dyDescent="0.25">
      <c r="O4588"/>
      <c r="P4588"/>
    </row>
    <row r="4589" spans="15:16" hidden="1" x14ac:dyDescent="0.25">
      <c r="O4589"/>
      <c r="P4589"/>
    </row>
    <row r="4590" spans="15:16" hidden="1" x14ac:dyDescent="0.25">
      <c r="O4590"/>
      <c r="P4590"/>
    </row>
    <row r="4591" spans="15:16" hidden="1" x14ac:dyDescent="0.25">
      <c r="O4591"/>
      <c r="P4591"/>
    </row>
    <row r="4592" spans="15:16" hidden="1" x14ac:dyDescent="0.25">
      <c r="O4592"/>
      <c r="P4592"/>
    </row>
    <row r="4593" spans="15:16" hidden="1" x14ac:dyDescent="0.25">
      <c r="O4593"/>
      <c r="P4593"/>
    </row>
    <row r="4594" spans="15:16" hidden="1" x14ac:dyDescent="0.25">
      <c r="O4594"/>
      <c r="P4594"/>
    </row>
    <row r="4595" spans="15:16" hidden="1" x14ac:dyDescent="0.25">
      <c r="O4595"/>
      <c r="P4595"/>
    </row>
    <row r="4596" spans="15:16" hidden="1" x14ac:dyDescent="0.25">
      <c r="O4596"/>
      <c r="P4596"/>
    </row>
    <row r="4597" spans="15:16" hidden="1" x14ac:dyDescent="0.25">
      <c r="O4597"/>
      <c r="P4597"/>
    </row>
    <row r="4598" spans="15:16" hidden="1" x14ac:dyDescent="0.25">
      <c r="O4598"/>
      <c r="P4598"/>
    </row>
    <row r="4599" spans="15:16" hidden="1" x14ac:dyDescent="0.25">
      <c r="O4599"/>
      <c r="P4599"/>
    </row>
    <row r="4600" spans="15:16" hidden="1" x14ac:dyDescent="0.25">
      <c r="O4600"/>
      <c r="P4600"/>
    </row>
    <row r="4601" spans="15:16" hidden="1" x14ac:dyDescent="0.25">
      <c r="O4601"/>
      <c r="P4601"/>
    </row>
    <row r="4602" spans="15:16" hidden="1" x14ac:dyDescent="0.25">
      <c r="O4602"/>
      <c r="P4602"/>
    </row>
    <row r="4603" spans="15:16" hidden="1" x14ac:dyDescent="0.25">
      <c r="O4603"/>
      <c r="P4603"/>
    </row>
    <row r="4604" spans="15:16" hidden="1" x14ac:dyDescent="0.25">
      <c r="O4604"/>
      <c r="P4604"/>
    </row>
    <row r="4605" spans="15:16" hidden="1" x14ac:dyDescent="0.25">
      <c r="O4605"/>
      <c r="P4605"/>
    </row>
    <row r="4606" spans="15:16" hidden="1" x14ac:dyDescent="0.25">
      <c r="O4606"/>
      <c r="P4606"/>
    </row>
    <row r="4607" spans="15:16" hidden="1" x14ac:dyDescent="0.25">
      <c r="O4607"/>
      <c r="P4607"/>
    </row>
    <row r="4608" spans="15:16" hidden="1" x14ac:dyDescent="0.25">
      <c r="O4608"/>
      <c r="P4608"/>
    </row>
    <row r="4609" spans="15:16" hidden="1" x14ac:dyDescent="0.25">
      <c r="O4609"/>
      <c r="P4609"/>
    </row>
    <row r="4610" spans="15:16" hidden="1" x14ac:dyDescent="0.25">
      <c r="O4610"/>
      <c r="P4610"/>
    </row>
    <row r="4611" spans="15:16" hidden="1" x14ac:dyDescent="0.25">
      <c r="O4611"/>
      <c r="P4611"/>
    </row>
    <row r="4612" spans="15:16" hidden="1" x14ac:dyDescent="0.25">
      <c r="O4612"/>
      <c r="P4612"/>
    </row>
    <row r="4613" spans="15:16" hidden="1" x14ac:dyDescent="0.25">
      <c r="O4613"/>
      <c r="P4613"/>
    </row>
    <row r="4614" spans="15:16" hidden="1" x14ac:dyDescent="0.25">
      <c r="O4614"/>
      <c r="P4614"/>
    </row>
    <row r="4615" spans="15:16" hidden="1" x14ac:dyDescent="0.25">
      <c r="O4615"/>
      <c r="P4615"/>
    </row>
    <row r="4616" spans="15:16" hidden="1" x14ac:dyDescent="0.25">
      <c r="O4616"/>
      <c r="P4616"/>
    </row>
    <row r="4617" spans="15:16" hidden="1" x14ac:dyDescent="0.25">
      <c r="O4617"/>
      <c r="P4617"/>
    </row>
    <row r="4618" spans="15:16" hidden="1" x14ac:dyDescent="0.25">
      <c r="O4618"/>
      <c r="P4618"/>
    </row>
    <row r="4619" spans="15:16" hidden="1" x14ac:dyDescent="0.25">
      <c r="O4619"/>
      <c r="P4619"/>
    </row>
    <row r="4620" spans="15:16" hidden="1" x14ac:dyDescent="0.25">
      <c r="O4620"/>
      <c r="P4620"/>
    </row>
    <row r="4621" spans="15:16" hidden="1" x14ac:dyDescent="0.25">
      <c r="O4621"/>
      <c r="P4621"/>
    </row>
    <row r="4622" spans="15:16" hidden="1" x14ac:dyDescent="0.25">
      <c r="O4622"/>
      <c r="P4622"/>
    </row>
    <row r="4623" spans="15:16" hidden="1" x14ac:dyDescent="0.25">
      <c r="O4623"/>
      <c r="P4623"/>
    </row>
    <row r="4624" spans="15:16" hidden="1" x14ac:dyDescent="0.25">
      <c r="O4624"/>
      <c r="P4624"/>
    </row>
    <row r="4625" spans="15:16" hidden="1" x14ac:dyDescent="0.25">
      <c r="O4625"/>
      <c r="P4625"/>
    </row>
    <row r="4626" spans="15:16" hidden="1" x14ac:dyDescent="0.25">
      <c r="O4626"/>
      <c r="P4626"/>
    </row>
    <row r="4627" spans="15:16" hidden="1" x14ac:dyDescent="0.25">
      <c r="O4627"/>
      <c r="P4627"/>
    </row>
    <row r="4628" spans="15:16" hidden="1" x14ac:dyDescent="0.25">
      <c r="O4628"/>
      <c r="P4628"/>
    </row>
    <row r="4629" spans="15:16" hidden="1" x14ac:dyDescent="0.25">
      <c r="O4629"/>
      <c r="P4629"/>
    </row>
    <row r="4630" spans="15:16" hidden="1" x14ac:dyDescent="0.25">
      <c r="O4630"/>
      <c r="P4630"/>
    </row>
    <row r="4631" spans="15:16" hidden="1" x14ac:dyDescent="0.25">
      <c r="O4631"/>
      <c r="P4631"/>
    </row>
    <row r="4632" spans="15:16" hidden="1" x14ac:dyDescent="0.25">
      <c r="O4632"/>
      <c r="P4632"/>
    </row>
    <row r="4633" spans="15:16" hidden="1" x14ac:dyDescent="0.25">
      <c r="O4633"/>
      <c r="P4633"/>
    </row>
    <row r="4634" spans="15:16" hidden="1" x14ac:dyDescent="0.25">
      <c r="O4634"/>
      <c r="P4634"/>
    </row>
    <row r="4635" spans="15:16" hidden="1" x14ac:dyDescent="0.25">
      <c r="O4635"/>
      <c r="P4635"/>
    </row>
    <row r="4636" spans="15:16" hidden="1" x14ac:dyDescent="0.25">
      <c r="O4636"/>
      <c r="P4636"/>
    </row>
    <row r="4637" spans="15:16" hidden="1" x14ac:dyDescent="0.25">
      <c r="O4637"/>
      <c r="P4637"/>
    </row>
    <row r="4638" spans="15:16" hidden="1" x14ac:dyDescent="0.25">
      <c r="O4638"/>
      <c r="P4638"/>
    </row>
    <row r="4639" spans="15:16" hidden="1" x14ac:dyDescent="0.25">
      <c r="O4639"/>
      <c r="P4639"/>
    </row>
    <row r="4640" spans="15:16" hidden="1" x14ac:dyDescent="0.25">
      <c r="O4640"/>
      <c r="P4640"/>
    </row>
    <row r="4641" spans="15:16" hidden="1" x14ac:dyDescent="0.25">
      <c r="O4641"/>
      <c r="P4641"/>
    </row>
    <row r="4642" spans="15:16" hidden="1" x14ac:dyDescent="0.25">
      <c r="O4642"/>
      <c r="P4642"/>
    </row>
    <row r="4643" spans="15:16" hidden="1" x14ac:dyDescent="0.25">
      <c r="O4643"/>
      <c r="P4643"/>
    </row>
    <row r="4644" spans="15:16" hidden="1" x14ac:dyDescent="0.25">
      <c r="O4644"/>
      <c r="P4644"/>
    </row>
    <row r="4645" spans="15:16" hidden="1" x14ac:dyDescent="0.25">
      <c r="O4645"/>
      <c r="P4645"/>
    </row>
    <row r="4646" spans="15:16" hidden="1" x14ac:dyDescent="0.25">
      <c r="O4646"/>
      <c r="P4646"/>
    </row>
    <row r="4647" spans="15:16" hidden="1" x14ac:dyDescent="0.25">
      <c r="O4647"/>
      <c r="P4647"/>
    </row>
    <row r="4648" spans="15:16" hidden="1" x14ac:dyDescent="0.25">
      <c r="O4648"/>
      <c r="P4648"/>
    </row>
    <row r="4649" spans="15:16" hidden="1" x14ac:dyDescent="0.25">
      <c r="O4649"/>
      <c r="P4649"/>
    </row>
    <row r="4650" spans="15:16" hidden="1" x14ac:dyDescent="0.25">
      <c r="O4650"/>
      <c r="P4650"/>
    </row>
    <row r="4651" spans="15:16" hidden="1" x14ac:dyDescent="0.25">
      <c r="O4651"/>
      <c r="P4651"/>
    </row>
    <row r="4652" spans="15:16" hidden="1" x14ac:dyDescent="0.25">
      <c r="O4652"/>
      <c r="P4652"/>
    </row>
    <row r="4653" spans="15:16" hidden="1" x14ac:dyDescent="0.25">
      <c r="O4653"/>
      <c r="P4653"/>
    </row>
    <row r="4654" spans="15:16" hidden="1" x14ac:dyDescent="0.25">
      <c r="O4654"/>
      <c r="P4654"/>
    </row>
    <row r="4655" spans="15:16" hidden="1" x14ac:dyDescent="0.25">
      <c r="O4655"/>
      <c r="P4655"/>
    </row>
    <row r="4656" spans="15:16" hidden="1" x14ac:dyDescent="0.25">
      <c r="O4656"/>
      <c r="P4656"/>
    </row>
    <row r="4657" spans="15:16" hidden="1" x14ac:dyDescent="0.25">
      <c r="O4657"/>
      <c r="P4657"/>
    </row>
    <row r="4658" spans="15:16" hidden="1" x14ac:dyDescent="0.25">
      <c r="O4658"/>
      <c r="P4658"/>
    </row>
    <row r="4659" spans="15:16" hidden="1" x14ac:dyDescent="0.25">
      <c r="O4659"/>
      <c r="P4659"/>
    </row>
    <row r="4660" spans="15:16" hidden="1" x14ac:dyDescent="0.25">
      <c r="O4660"/>
      <c r="P4660"/>
    </row>
    <row r="4661" spans="15:16" hidden="1" x14ac:dyDescent="0.25">
      <c r="O4661"/>
      <c r="P4661"/>
    </row>
    <row r="4662" spans="15:16" hidden="1" x14ac:dyDescent="0.25">
      <c r="O4662"/>
      <c r="P4662"/>
    </row>
    <row r="4663" spans="15:16" hidden="1" x14ac:dyDescent="0.25">
      <c r="O4663"/>
      <c r="P4663"/>
    </row>
    <row r="4664" spans="15:16" hidden="1" x14ac:dyDescent="0.25">
      <c r="O4664"/>
      <c r="P4664"/>
    </row>
    <row r="4665" spans="15:16" hidden="1" x14ac:dyDescent="0.25">
      <c r="O4665"/>
      <c r="P4665"/>
    </row>
    <row r="4666" spans="15:16" hidden="1" x14ac:dyDescent="0.25">
      <c r="O4666"/>
      <c r="P4666"/>
    </row>
    <row r="4667" spans="15:16" hidden="1" x14ac:dyDescent="0.25">
      <c r="O4667"/>
      <c r="P4667"/>
    </row>
    <row r="4668" spans="15:16" hidden="1" x14ac:dyDescent="0.25">
      <c r="O4668"/>
      <c r="P4668"/>
    </row>
    <row r="4669" spans="15:16" hidden="1" x14ac:dyDescent="0.25">
      <c r="O4669"/>
      <c r="P4669"/>
    </row>
    <row r="4670" spans="15:16" hidden="1" x14ac:dyDescent="0.25">
      <c r="O4670"/>
      <c r="P4670"/>
    </row>
    <row r="4671" spans="15:16" hidden="1" x14ac:dyDescent="0.25">
      <c r="O4671"/>
      <c r="P4671"/>
    </row>
    <row r="4672" spans="15:16" hidden="1" x14ac:dyDescent="0.25">
      <c r="O4672"/>
      <c r="P4672"/>
    </row>
    <row r="4673" spans="15:16" hidden="1" x14ac:dyDescent="0.25">
      <c r="O4673"/>
      <c r="P4673"/>
    </row>
    <row r="4674" spans="15:16" hidden="1" x14ac:dyDescent="0.25">
      <c r="O4674"/>
      <c r="P4674"/>
    </row>
    <row r="4675" spans="15:16" hidden="1" x14ac:dyDescent="0.25">
      <c r="O4675"/>
      <c r="P4675"/>
    </row>
    <row r="4676" spans="15:16" hidden="1" x14ac:dyDescent="0.25">
      <c r="O4676"/>
      <c r="P4676"/>
    </row>
    <row r="4677" spans="15:16" hidden="1" x14ac:dyDescent="0.25">
      <c r="O4677"/>
      <c r="P4677"/>
    </row>
    <row r="4678" spans="15:16" hidden="1" x14ac:dyDescent="0.25">
      <c r="O4678"/>
      <c r="P4678"/>
    </row>
    <row r="4679" spans="15:16" hidden="1" x14ac:dyDescent="0.25">
      <c r="O4679"/>
      <c r="P4679"/>
    </row>
    <row r="4680" spans="15:16" hidden="1" x14ac:dyDescent="0.25">
      <c r="O4680"/>
      <c r="P4680"/>
    </row>
    <row r="4681" spans="15:16" hidden="1" x14ac:dyDescent="0.25">
      <c r="O4681"/>
      <c r="P4681"/>
    </row>
    <row r="4682" spans="15:16" hidden="1" x14ac:dyDescent="0.25">
      <c r="O4682"/>
      <c r="P4682"/>
    </row>
    <row r="4683" spans="15:16" hidden="1" x14ac:dyDescent="0.25">
      <c r="O4683"/>
      <c r="P4683"/>
    </row>
    <row r="4684" spans="15:16" hidden="1" x14ac:dyDescent="0.25">
      <c r="O4684"/>
      <c r="P4684"/>
    </row>
    <row r="4685" spans="15:16" hidden="1" x14ac:dyDescent="0.25">
      <c r="O4685"/>
      <c r="P4685"/>
    </row>
    <row r="4686" spans="15:16" hidden="1" x14ac:dyDescent="0.25">
      <c r="O4686"/>
      <c r="P4686"/>
    </row>
    <row r="4687" spans="15:16" hidden="1" x14ac:dyDescent="0.25">
      <c r="O4687"/>
      <c r="P4687"/>
    </row>
    <row r="4688" spans="15:16" hidden="1" x14ac:dyDescent="0.25">
      <c r="O4688"/>
      <c r="P4688"/>
    </row>
    <row r="4689" spans="15:16" hidden="1" x14ac:dyDescent="0.25">
      <c r="O4689"/>
      <c r="P4689"/>
    </row>
    <row r="4690" spans="15:16" hidden="1" x14ac:dyDescent="0.25">
      <c r="O4690"/>
      <c r="P4690"/>
    </row>
    <row r="4691" spans="15:16" hidden="1" x14ac:dyDescent="0.25">
      <c r="O4691"/>
      <c r="P4691"/>
    </row>
    <row r="4692" spans="15:16" hidden="1" x14ac:dyDescent="0.25">
      <c r="O4692"/>
      <c r="P4692"/>
    </row>
    <row r="4693" spans="15:16" hidden="1" x14ac:dyDescent="0.25">
      <c r="O4693"/>
      <c r="P4693"/>
    </row>
    <row r="4694" spans="15:16" hidden="1" x14ac:dyDescent="0.25">
      <c r="O4694"/>
      <c r="P4694"/>
    </row>
    <row r="4695" spans="15:16" hidden="1" x14ac:dyDescent="0.25">
      <c r="O4695"/>
      <c r="P4695"/>
    </row>
    <row r="4696" spans="15:16" hidden="1" x14ac:dyDescent="0.25">
      <c r="O4696"/>
      <c r="P4696"/>
    </row>
    <row r="4697" spans="15:16" hidden="1" x14ac:dyDescent="0.25">
      <c r="O4697"/>
      <c r="P4697"/>
    </row>
    <row r="4698" spans="15:16" hidden="1" x14ac:dyDescent="0.25">
      <c r="O4698"/>
      <c r="P4698"/>
    </row>
    <row r="4699" spans="15:16" hidden="1" x14ac:dyDescent="0.25">
      <c r="O4699"/>
      <c r="P4699"/>
    </row>
    <row r="4700" spans="15:16" hidden="1" x14ac:dyDescent="0.25">
      <c r="O4700"/>
      <c r="P4700"/>
    </row>
    <row r="4701" spans="15:16" hidden="1" x14ac:dyDescent="0.25">
      <c r="O4701"/>
      <c r="P4701"/>
    </row>
    <row r="4702" spans="15:16" hidden="1" x14ac:dyDescent="0.25">
      <c r="O4702"/>
      <c r="P4702"/>
    </row>
    <row r="4703" spans="15:16" hidden="1" x14ac:dyDescent="0.25">
      <c r="O4703"/>
      <c r="P4703"/>
    </row>
    <row r="4704" spans="15:16" hidden="1" x14ac:dyDescent="0.25">
      <c r="O4704"/>
      <c r="P4704"/>
    </row>
    <row r="4705" spans="15:16" hidden="1" x14ac:dyDescent="0.25">
      <c r="O4705"/>
      <c r="P4705"/>
    </row>
    <row r="4706" spans="15:16" hidden="1" x14ac:dyDescent="0.25">
      <c r="O4706"/>
      <c r="P4706"/>
    </row>
    <row r="4707" spans="15:16" hidden="1" x14ac:dyDescent="0.25">
      <c r="O4707"/>
      <c r="P4707"/>
    </row>
    <row r="4708" spans="15:16" hidden="1" x14ac:dyDescent="0.25">
      <c r="O4708"/>
      <c r="P4708"/>
    </row>
    <row r="4709" spans="15:16" hidden="1" x14ac:dyDescent="0.25">
      <c r="O4709"/>
      <c r="P4709"/>
    </row>
    <row r="4710" spans="15:16" hidden="1" x14ac:dyDescent="0.25">
      <c r="O4710"/>
      <c r="P4710"/>
    </row>
    <row r="4711" spans="15:16" hidden="1" x14ac:dyDescent="0.25">
      <c r="O4711"/>
      <c r="P4711"/>
    </row>
    <row r="4712" spans="15:16" hidden="1" x14ac:dyDescent="0.25">
      <c r="O4712"/>
      <c r="P4712"/>
    </row>
    <row r="4713" spans="15:16" hidden="1" x14ac:dyDescent="0.25">
      <c r="O4713"/>
      <c r="P4713"/>
    </row>
    <row r="4714" spans="15:16" hidden="1" x14ac:dyDescent="0.25">
      <c r="O4714"/>
      <c r="P4714"/>
    </row>
    <row r="4715" spans="15:16" hidden="1" x14ac:dyDescent="0.25">
      <c r="O4715"/>
      <c r="P4715"/>
    </row>
    <row r="4716" spans="15:16" hidden="1" x14ac:dyDescent="0.25">
      <c r="O4716"/>
      <c r="P4716"/>
    </row>
    <row r="4717" spans="15:16" hidden="1" x14ac:dyDescent="0.25">
      <c r="O4717"/>
      <c r="P4717"/>
    </row>
    <row r="4718" spans="15:16" hidden="1" x14ac:dyDescent="0.25">
      <c r="O4718"/>
      <c r="P4718"/>
    </row>
    <row r="4719" spans="15:16" hidden="1" x14ac:dyDescent="0.25">
      <c r="O4719"/>
      <c r="P4719"/>
    </row>
    <row r="4720" spans="15:16" hidden="1" x14ac:dyDescent="0.25">
      <c r="O4720"/>
      <c r="P4720"/>
    </row>
    <row r="4721" spans="15:16" hidden="1" x14ac:dyDescent="0.25">
      <c r="O4721"/>
      <c r="P4721"/>
    </row>
    <row r="4722" spans="15:16" hidden="1" x14ac:dyDescent="0.25">
      <c r="O4722"/>
      <c r="P4722"/>
    </row>
    <row r="4723" spans="15:16" hidden="1" x14ac:dyDescent="0.25">
      <c r="O4723"/>
      <c r="P4723"/>
    </row>
    <row r="4724" spans="15:16" hidden="1" x14ac:dyDescent="0.25">
      <c r="O4724"/>
      <c r="P4724"/>
    </row>
    <row r="4725" spans="15:16" hidden="1" x14ac:dyDescent="0.25">
      <c r="O4725"/>
      <c r="P4725"/>
    </row>
    <row r="4726" spans="15:16" hidden="1" x14ac:dyDescent="0.25">
      <c r="O4726"/>
      <c r="P4726"/>
    </row>
    <row r="4727" spans="15:16" hidden="1" x14ac:dyDescent="0.25">
      <c r="O4727"/>
      <c r="P4727"/>
    </row>
    <row r="4728" spans="15:16" hidden="1" x14ac:dyDescent="0.25">
      <c r="O4728"/>
      <c r="P4728"/>
    </row>
    <row r="4729" spans="15:16" hidden="1" x14ac:dyDescent="0.25">
      <c r="O4729"/>
      <c r="P4729"/>
    </row>
    <row r="4730" spans="15:16" hidden="1" x14ac:dyDescent="0.25">
      <c r="O4730"/>
      <c r="P4730"/>
    </row>
    <row r="4731" spans="15:16" hidden="1" x14ac:dyDescent="0.25">
      <c r="O4731"/>
      <c r="P4731"/>
    </row>
    <row r="4732" spans="15:16" hidden="1" x14ac:dyDescent="0.25">
      <c r="O4732"/>
      <c r="P4732"/>
    </row>
    <row r="4733" spans="15:16" hidden="1" x14ac:dyDescent="0.25">
      <c r="O4733"/>
      <c r="P4733"/>
    </row>
    <row r="4734" spans="15:16" hidden="1" x14ac:dyDescent="0.25">
      <c r="O4734"/>
      <c r="P4734"/>
    </row>
    <row r="4735" spans="15:16" hidden="1" x14ac:dyDescent="0.25">
      <c r="O4735"/>
      <c r="P4735"/>
    </row>
    <row r="4736" spans="15:16" hidden="1" x14ac:dyDescent="0.25">
      <c r="O4736"/>
      <c r="P4736"/>
    </row>
    <row r="4737" spans="15:16" hidden="1" x14ac:dyDescent="0.25">
      <c r="O4737"/>
      <c r="P4737"/>
    </row>
    <row r="4738" spans="15:16" hidden="1" x14ac:dyDescent="0.25">
      <c r="O4738"/>
      <c r="P4738"/>
    </row>
    <row r="4739" spans="15:16" hidden="1" x14ac:dyDescent="0.25">
      <c r="O4739"/>
      <c r="P4739"/>
    </row>
    <row r="4740" spans="15:16" hidden="1" x14ac:dyDescent="0.25">
      <c r="O4740"/>
      <c r="P4740"/>
    </row>
    <row r="4741" spans="15:16" hidden="1" x14ac:dyDescent="0.25">
      <c r="O4741"/>
      <c r="P4741"/>
    </row>
    <row r="4742" spans="15:16" hidden="1" x14ac:dyDescent="0.25">
      <c r="O4742"/>
      <c r="P4742"/>
    </row>
    <row r="4743" spans="15:16" hidden="1" x14ac:dyDescent="0.25">
      <c r="O4743"/>
      <c r="P4743"/>
    </row>
    <row r="4744" spans="15:16" hidden="1" x14ac:dyDescent="0.25">
      <c r="O4744"/>
      <c r="P4744"/>
    </row>
    <row r="4745" spans="15:16" hidden="1" x14ac:dyDescent="0.25">
      <c r="O4745"/>
      <c r="P4745"/>
    </row>
    <row r="4746" spans="15:16" hidden="1" x14ac:dyDescent="0.25">
      <c r="O4746"/>
      <c r="P4746"/>
    </row>
    <row r="4747" spans="15:16" hidden="1" x14ac:dyDescent="0.25">
      <c r="O4747"/>
      <c r="P4747"/>
    </row>
    <row r="4748" spans="15:16" hidden="1" x14ac:dyDescent="0.25">
      <c r="O4748"/>
      <c r="P4748"/>
    </row>
    <row r="4749" spans="15:16" hidden="1" x14ac:dyDescent="0.25">
      <c r="O4749"/>
      <c r="P4749"/>
    </row>
    <row r="4750" spans="15:16" hidden="1" x14ac:dyDescent="0.25">
      <c r="O4750"/>
      <c r="P4750"/>
    </row>
    <row r="4751" spans="15:16" hidden="1" x14ac:dyDescent="0.25">
      <c r="O4751"/>
      <c r="P4751"/>
    </row>
    <row r="4752" spans="15:16" hidden="1" x14ac:dyDescent="0.25">
      <c r="O4752"/>
      <c r="P4752"/>
    </row>
    <row r="4753" spans="15:16" hidden="1" x14ac:dyDescent="0.25">
      <c r="O4753"/>
      <c r="P4753"/>
    </row>
    <row r="4754" spans="15:16" hidden="1" x14ac:dyDescent="0.25">
      <c r="O4754"/>
      <c r="P4754"/>
    </row>
    <row r="4755" spans="15:16" hidden="1" x14ac:dyDescent="0.25">
      <c r="O4755"/>
      <c r="P4755"/>
    </row>
    <row r="4756" spans="15:16" hidden="1" x14ac:dyDescent="0.25">
      <c r="O4756"/>
      <c r="P4756"/>
    </row>
    <row r="4757" spans="15:16" hidden="1" x14ac:dyDescent="0.25">
      <c r="O4757"/>
      <c r="P4757"/>
    </row>
    <row r="4758" spans="15:16" hidden="1" x14ac:dyDescent="0.25">
      <c r="O4758"/>
      <c r="P4758"/>
    </row>
    <row r="4759" spans="15:16" hidden="1" x14ac:dyDescent="0.25">
      <c r="O4759"/>
      <c r="P4759"/>
    </row>
    <row r="4760" spans="15:16" hidden="1" x14ac:dyDescent="0.25">
      <c r="O4760"/>
      <c r="P4760"/>
    </row>
    <row r="4761" spans="15:16" hidden="1" x14ac:dyDescent="0.25">
      <c r="O4761"/>
      <c r="P4761"/>
    </row>
    <row r="4762" spans="15:16" hidden="1" x14ac:dyDescent="0.25">
      <c r="O4762"/>
      <c r="P4762"/>
    </row>
    <row r="4763" spans="15:16" hidden="1" x14ac:dyDescent="0.25">
      <c r="O4763"/>
      <c r="P4763"/>
    </row>
    <row r="4764" spans="15:16" hidden="1" x14ac:dyDescent="0.25">
      <c r="O4764"/>
      <c r="P4764"/>
    </row>
    <row r="4765" spans="15:16" hidden="1" x14ac:dyDescent="0.25">
      <c r="O4765"/>
      <c r="P4765"/>
    </row>
    <row r="4766" spans="15:16" hidden="1" x14ac:dyDescent="0.25">
      <c r="O4766"/>
      <c r="P4766"/>
    </row>
    <row r="4767" spans="15:16" hidden="1" x14ac:dyDescent="0.25">
      <c r="O4767"/>
      <c r="P4767"/>
    </row>
    <row r="4768" spans="15:16" hidden="1" x14ac:dyDescent="0.25">
      <c r="O4768"/>
      <c r="P4768"/>
    </row>
    <row r="4769" spans="15:16" hidden="1" x14ac:dyDescent="0.25">
      <c r="O4769"/>
      <c r="P4769"/>
    </row>
    <row r="4770" spans="15:16" hidden="1" x14ac:dyDescent="0.25">
      <c r="O4770"/>
      <c r="P4770"/>
    </row>
    <row r="4771" spans="15:16" hidden="1" x14ac:dyDescent="0.25">
      <c r="O4771"/>
      <c r="P4771"/>
    </row>
    <row r="4772" spans="15:16" hidden="1" x14ac:dyDescent="0.25">
      <c r="O4772"/>
      <c r="P4772"/>
    </row>
    <row r="4773" spans="15:16" hidden="1" x14ac:dyDescent="0.25">
      <c r="O4773"/>
      <c r="P4773"/>
    </row>
    <row r="4774" spans="15:16" hidden="1" x14ac:dyDescent="0.25">
      <c r="O4774"/>
      <c r="P4774"/>
    </row>
    <row r="4775" spans="15:16" hidden="1" x14ac:dyDescent="0.25">
      <c r="O4775"/>
      <c r="P4775"/>
    </row>
    <row r="4776" spans="15:16" hidden="1" x14ac:dyDescent="0.25">
      <c r="O4776"/>
      <c r="P4776"/>
    </row>
    <row r="4777" spans="15:16" hidden="1" x14ac:dyDescent="0.25">
      <c r="O4777"/>
      <c r="P4777"/>
    </row>
    <row r="4778" spans="15:16" hidden="1" x14ac:dyDescent="0.25">
      <c r="O4778"/>
      <c r="P4778"/>
    </row>
    <row r="4779" spans="15:16" hidden="1" x14ac:dyDescent="0.25">
      <c r="O4779"/>
      <c r="P4779"/>
    </row>
    <row r="4780" spans="15:16" hidden="1" x14ac:dyDescent="0.25">
      <c r="O4780"/>
      <c r="P4780"/>
    </row>
    <row r="4781" spans="15:16" hidden="1" x14ac:dyDescent="0.25">
      <c r="O4781"/>
      <c r="P4781"/>
    </row>
    <row r="4782" spans="15:16" hidden="1" x14ac:dyDescent="0.25">
      <c r="O4782"/>
      <c r="P4782"/>
    </row>
    <row r="4783" spans="15:16" hidden="1" x14ac:dyDescent="0.25">
      <c r="O4783"/>
      <c r="P4783"/>
    </row>
    <row r="4784" spans="15:16" hidden="1" x14ac:dyDescent="0.25">
      <c r="O4784"/>
      <c r="P4784"/>
    </row>
    <row r="4785" spans="15:16" hidden="1" x14ac:dyDescent="0.25">
      <c r="O4785"/>
      <c r="P4785"/>
    </row>
    <row r="4786" spans="15:16" hidden="1" x14ac:dyDescent="0.25">
      <c r="O4786"/>
      <c r="P4786"/>
    </row>
    <row r="4787" spans="15:16" hidden="1" x14ac:dyDescent="0.25">
      <c r="O4787"/>
      <c r="P4787"/>
    </row>
    <row r="4788" spans="15:16" hidden="1" x14ac:dyDescent="0.25">
      <c r="O4788"/>
      <c r="P4788"/>
    </row>
    <row r="4789" spans="15:16" hidden="1" x14ac:dyDescent="0.25">
      <c r="O4789"/>
      <c r="P4789"/>
    </row>
    <row r="4790" spans="15:16" hidden="1" x14ac:dyDescent="0.25">
      <c r="O4790"/>
      <c r="P4790"/>
    </row>
    <row r="4791" spans="15:16" hidden="1" x14ac:dyDescent="0.25">
      <c r="O4791"/>
      <c r="P4791"/>
    </row>
    <row r="4792" spans="15:16" hidden="1" x14ac:dyDescent="0.25">
      <c r="O4792"/>
      <c r="P4792"/>
    </row>
    <row r="4793" spans="15:16" hidden="1" x14ac:dyDescent="0.25">
      <c r="O4793"/>
      <c r="P4793"/>
    </row>
    <row r="4794" spans="15:16" hidden="1" x14ac:dyDescent="0.25">
      <c r="O4794"/>
      <c r="P4794"/>
    </row>
    <row r="4795" spans="15:16" hidden="1" x14ac:dyDescent="0.25">
      <c r="O4795"/>
      <c r="P4795"/>
    </row>
    <row r="4796" spans="15:16" hidden="1" x14ac:dyDescent="0.25">
      <c r="O4796"/>
      <c r="P4796"/>
    </row>
    <row r="4797" spans="15:16" hidden="1" x14ac:dyDescent="0.25">
      <c r="O4797"/>
      <c r="P4797"/>
    </row>
    <row r="4798" spans="15:16" hidden="1" x14ac:dyDescent="0.25">
      <c r="O4798"/>
      <c r="P4798"/>
    </row>
    <row r="4799" spans="15:16" hidden="1" x14ac:dyDescent="0.25">
      <c r="O4799"/>
      <c r="P4799"/>
    </row>
    <row r="4800" spans="15:16" hidden="1" x14ac:dyDescent="0.25">
      <c r="O4800"/>
      <c r="P4800"/>
    </row>
    <row r="4801" spans="15:16" hidden="1" x14ac:dyDescent="0.25">
      <c r="O4801"/>
      <c r="P4801"/>
    </row>
    <row r="4802" spans="15:16" hidden="1" x14ac:dyDescent="0.25">
      <c r="O4802"/>
      <c r="P4802"/>
    </row>
    <row r="4803" spans="15:16" hidden="1" x14ac:dyDescent="0.25">
      <c r="O4803"/>
      <c r="P4803"/>
    </row>
    <row r="4804" spans="15:16" hidden="1" x14ac:dyDescent="0.25">
      <c r="O4804"/>
      <c r="P4804"/>
    </row>
    <row r="4805" spans="15:16" hidden="1" x14ac:dyDescent="0.25">
      <c r="O4805"/>
      <c r="P4805"/>
    </row>
    <row r="4806" spans="15:16" hidden="1" x14ac:dyDescent="0.25">
      <c r="O4806"/>
      <c r="P4806"/>
    </row>
    <row r="4807" spans="15:16" hidden="1" x14ac:dyDescent="0.25">
      <c r="O4807"/>
      <c r="P4807"/>
    </row>
    <row r="4808" spans="15:16" hidden="1" x14ac:dyDescent="0.25">
      <c r="O4808"/>
      <c r="P4808"/>
    </row>
    <row r="4809" spans="15:16" hidden="1" x14ac:dyDescent="0.25">
      <c r="O4809"/>
      <c r="P4809"/>
    </row>
    <row r="4810" spans="15:16" hidden="1" x14ac:dyDescent="0.25">
      <c r="O4810"/>
      <c r="P4810"/>
    </row>
    <row r="4811" spans="15:16" hidden="1" x14ac:dyDescent="0.25">
      <c r="O4811"/>
      <c r="P4811"/>
    </row>
    <row r="4812" spans="15:16" hidden="1" x14ac:dyDescent="0.25">
      <c r="O4812"/>
      <c r="P4812"/>
    </row>
    <row r="4813" spans="15:16" hidden="1" x14ac:dyDescent="0.25">
      <c r="O4813"/>
      <c r="P4813"/>
    </row>
    <row r="4814" spans="15:16" hidden="1" x14ac:dyDescent="0.25">
      <c r="O4814"/>
      <c r="P4814"/>
    </row>
    <row r="4815" spans="15:16" hidden="1" x14ac:dyDescent="0.25">
      <c r="O4815"/>
      <c r="P4815"/>
    </row>
    <row r="4816" spans="15:16" hidden="1" x14ac:dyDescent="0.25">
      <c r="O4816"/>
      <c r="P4816"/>
    </row>
    <row r="4817" spans="15:16" hidden="1" x14ac:dyDescent="0.25">
      <c r="O4817"/>
      <c r="P4817"/>
    </row>
    <row r="4818" spans="15:16" hidden="1" x14ac:dyDescent="0.25">
      <c r="O4818"/>
      <c r="P4818"/>
    </row>
    <row r="4819" spans="15:16" hidden="1" x14ac:dyDescent="0.25">
      <c r="O4819"/>
      <c r="P4819"/>
    </row>
    <row r="4820" spans="15:16" hidden="1" x14ac:dyDescent="0.25">
      <c r="O4820"/>
      <c r="P4820"/>
    </row>
    <row r="4821" spans="15:16" hidden="1" x14ac:dyDescent="0.25">
      <c r="O4821"/>
      <c r="P4821"/>
    </row>
    <row r="4822" spans="15:16" hidden="1" x14ac:dyDescent="0.25">
      <c r="O4822"/>
      <c r="P4822"/>
    </row>
    <row r="4823" spans="15:16" hidden="1" x14ac:dyDescent="0.25">
      <c r="O4823"/>
      <c r="P4823"/>
    </row>
    <row r="4824" spans="15:16" hidden="1" x14ac:dyDescent="0.25">
      <c r="O4824"/>
      <c r="P4824"/>
    </row>
    <row r="4825" spans="15:16" hidden="1" x14ac:dyDescent="0.25">
      <c r="O4825"/>
      <c r="P4825"/>
    </row>
    <row r="4826" spans="15:16" hidden="1" x14ac:dyDescent="0.25">
      <c r="O4826"/>
      <c r="P4826"/>
    </row>
    <row r="4827" spans="15:16" hidden="1" x14ac:dyDescent="0.25">
      <c r="O4827"/>
    </row>
    <row r="4828" spans="15:16" hidden="1" x14ac:dyDescent="0.25">
      <c r="O4828"/>
    </row>
    <row r="4829" spans="15:16" hidden="1" x14ac:dyDescent="0.25">
      <c r="O4829"/>
    </row>
    <row r="4830" spans="15:16" hidden="1" x14ac:dyDescent="0.25">
      <c r="O4830"/>
    </row>
    <row r="4831" spans="15:16" hidden="1" x14ac:dyDescent="0.25">
      <c r="O4831"/>
    </row>
    <row r="4832" spans="15:16" hidden="1" x14ac:dyDescent="0.25">
      <c r="O4832"/>
    </row>
    <row r="4833" spans="15:15" hidden="1" x14ac:dyDescent="0.25">
      <c r="O4833"/>
    </row>
    <row r="4834" spans="15:15" hidden="1" x14ac:dyDescent="0.25">
      <c r="O4834"/>
    </row>
    <row r="4835" spans="15:15" hidden="1" x14ac:dyDescent="0.25">
      <c r="O4835"/>
    </row>
    <row r="4836" spans="15:15" hidden="1" x14ac:dyDescent="0.25">
      <c r="O4836"/>
    </row>
    <row r="4837" spans="15:15" hidden="1" x14ac:dyDescent="0.25">
      <c r="O4837"/>
    </row>
    <row r="4838" spans="15:15" hidden="1" x14ac:dyDescent="0.25">
      <c r="O4838"/>
    </row>
    <row r="4839" spans="15:15" hidden="1" x14ac:dyDescent="0.25">
      <c r="O4839"/>
    </row>
    <row r="4840" spans="15:15" hidden="1" x14ac:dyDescent="0.25">
      <c r="O4840"/>
    </row>
    <row r="4841" spans="15:15" hidden="1" x14ac:dyDescent="0.25">
      <c r="O4841"/>
    </row>
    <row r="4842" spans="15:15" hidden="1" x14ac:dyDescent="0.25">
      <c r="O4842"/>
    </row>
    <row r="4843" spans="15:15" hidden="1" x14ac:dyDescent="0.25">
      <c r="O4843"/>
    </row>
    <row r="4844" spans="15:15" hidden="1" x14ac:dyDescent="0.25">
      <c r="O4844"/>
    </row>
    <row r="4845" spans="15:15" hidden="1" x14ac:dyDescent="0.25">
      <c r="O4845"/>
    </row>
    <row r="4846" spans="15:15" hidden="1" x14ac:dyDescent="0.25">
      <c r="O4846"/>
    </row>
    <row r="4847" spans="15:15" hidden="1" x14ac:dyDescent="0.25">
      <c r="O4847"/>
    </row>
    <row r="4848" spans="15:15" hidden="1" x14ac:dyDescent="0.25">
      <c r="O4848"/>
    </row>
    <row r="4849" spans="15:15" hidden="1" x14ac:dyDescent="0.25">
      <c r="O4849"/>
    </row>
    <row r="4850" spans="15:15" hidden="1" x14ac:dyDescent="0.25">
      <c r="O4850"/>
    </row>
    <row r="4851" spans="15:15" hidden="1" x14ac:dyDescent="0.25">
      <c r="O4851"/>
    </row>
    <row r="4852" spans="15:15" hidden="1" x14ac:dyDescent="0.25">
      <c r="O4852"/>
    </row>
    <row r="4853" spans="15:15" hidden="1" x14ac:dyDescent="0.25">
      <c r="O4853"/>
    </row>
    <row r="4854" spans="15:15" hidden="1" x14ac:dyDescent="0.25">
      <c r="O4854"/>
    </row>
    <row r="4855" spans="15:15" hidden="1" x14ac:dyDescent="0.25">
      <c r="O4855"/>
    </row>
    <row r="4856" spans="15:15" hidden="1" x14ac:dyDescent="0.25">
      <c r="O4856"/>
    </row>
    <row r="4857" spans="15:15" hidden="1" x14ac:dyDescent="0.25">
      <c r="O4857"/>
    </row>
    <row r="4858" spans="15:15" hidden="1" x14ac:dyDescent="0.25">
      <c r="O4858"/>
    </row>
    <row r="4859" spans="15:15" hidden="1" x14ac:dyDescent="0.25">
      <c r="O4859"/>
    </row>
    <row r="4860" spans="15:15" hidden="1" x14ac:dyDescent="0.25">
      <c r="O4860"/>
    </row>
    <row r="4861" spans="15:15" hidden="1" x14ac:dyDescent="0.25">
      <c r="O4861"/>
    </row>
    <row r="4862" spans="15:15" hidden="1" x14ac:dyDescent="0.25">
      <c r="O4862"/>
    </row>
    <row r="4863" spans="15:15" hidden="1" x14ac:dyDescent="0.25">
      <c r="O4863"/>
    </row>
    <row r="4864" spans="15:15" hidden="1" x14ac:dyDescent="0.25">
      <c r="O4864"/>
    </row>
    <row r="4865" spans="15:15" hidden="1" x14ac:dyDescent="0.25">
      <c r="O4865"/>
    </row>
    <row r="4866" spans="15:15" hidden="1" x14ac:dyDescent="0.25">
      <c r="O4866"/>
    </row>
    <row r="4867" spans="15:15" hidden="1" x14ac:dyDescent="0.25">
      <c r="O4867"/>
    </row>
    <row r="4868" spans="15:15" hidden="1" x14ac:dyDescent="0.25">
      <c r="O4868"/>
    </row>
    <row r="4869" spans="15:15" hidden="1" x14ac:dyDescent="0.25">
      <c r="O4869"/>
    </row>
    <row r="4870" spans="15:15" hidden="1" x14ac:dyDescent="0.25">
      <c r="O4870"/>
    </row>
    <row r="4871" spans="15:15" hidden="1" x14ac:dyDescent="0.25">
      <c r="O4871"/>
    </row>
    <row r="4872" spans="15:15" hidden="1" x14ac:dyDescent="0.25">
      <c r="O4872"/>
    </row>
    <row r="4873" spans="15:15" hidden="1" x14ac:dyDescent="0.25">
      <c r="O4873"/>
    </row>
    <row r="4874" spans="15:15" hidden="1" x14ac:dyDescent="0.25">
      <c r="O4874"/>
    </row>
    <row r="4875" spans="15:15" hidden="1" x14ac:dyDescent="0.25">
      <c r="O4875"/>
    </row>
    <row r="4876" spans="15:15" hidden="1" x14ac:dyDescent="0.25">
      <c r="O4876"/>
    </row>
    <row r="4877" spans="15:15" hidden="1" x14ac:dyDescent="0.25">
      <c r="O4877"/>
    </row>
    <row r="4878" spans="15:15" hidden="1" x14ac:dyDescent="0.25">
      <c r="O4878"/>
    </row>
    <row r="4879" spans="15:15" hidden="1" x14ac:dyDescent="0.25">
      <c r="O4879"/>
    </row>
    <row r="4880" spans="15:15" hidden="1" x14ac:dyDescent="0.25">
      <c r="O4880"/>
    </row>
    <row r="4881" spans="15:15" hidden="1" x14ac:dyDescent="0.25">
      <c r="O4881"/>
    </row>
    <row r="4882" spans="15:15" hidden="1" x14ac:dyDescent="0.25">
      <c r="O4882"/>
    </row>
    <row r="4883" spans="15:15" hidden="1" x14ac:dyDescent="0.25">
      <c r="O4883"/>
    </row>
    <row r="4884" spans="15:15" hidden="1" x14ac:dyDescent="0.25">
      <c r="O4884"/>
    </row>
    <row r="4885" spans="15:15" hidden="1" x14ac:dyDescent="0.25">
      <c r="O4885"/>
    </row>
    <row r="4886" spans="15:15" hidden="1" x14ac:dyDescent="0.25">
      <c r="O4886"/>
    </row>
    <row r="4887" spans="15:15" hidden="1" x14ac:dyDescent="0.25">
      <c r="O4887"/>
    </row>
    <row r="4888" spans="15:15" hidden="1" x14ac:dyDescent="0.25">
      <c r="O4888"/>
    </row>
    <row r="4889" spans="15:15" hidden="1" x14ac:dyDescent="0.25">
      <c r="O4889"/>
    </row>
    <row r="4890" spans="15:15" hidden="1" x14ac:dyDescent="0.25">
      <c r="O4890"/>
    </row>
    <row r="4891" spans="15:15" hidden="1" x14ac:dyDescent="0.25">
      <c r="O4891"/>
    </row>
    <row r="4892" spans="15:15" hidden="1" x14ac:dyDescent="0.25">
      <c r="O4892"/>
    </row>
    <row r="4893" spans="15:15" hidden="1" x14ac:dyDescent="0.25">
      <c r="O4893"/>
    </row>
    <row r="4894" spans="15:15" hidden="1" x14ac:dyDescent="0.25">
      <c r="O4894"/>
    </row>
    <row r="4895" spans="15:15" hidden="1" x14ac:dyDescent="0.25">
      <c r="O4895"/>
    </row>
    <row r="4896" spans="15:15" hidden="1" x14ac:dyDescent="0.25">
      <c r="O4896"/>
    </row>
    <row r="4897" spans="15:15" hidden="1" x14ac:dyDescent="0.25">
      <c r="O4897"/>
    </row>
    <row r="4898" spans="15:15" hidden="1" x14ac:dyDescent="0.25">
      <c r="O4898"/>
    </row>
    <row r="4899" spans="15:15" hidden="1" x14ac:dyDescent="0.25">
      <c r="O4899"/>
    </row>
    <row r="4900" spans="15:15" hidden="1" x14ac:dyDescent="0.25">
      <c r="O4900"/>
    </row>
    <row r="4901" spans="15:15" hidden="1" x14ac:dyDescent="0.25">
      <c r="O4901"/>
    </row>
    <row r="4902" spans="15:15" hidden="1" x14ac:dyDescent="0.25">
      <c r="O4902"/>
    </row>
    <row r="4903" spans="15:15" hidden="1" x14ac:dyDescent="0.25">
      <c r="O4903"/>
    </row>
    <row r="4904" spans="15:15" hidden="1" x14ac:dyDescent="0.25">
      <c r="O4904"/>
    </row>
    <row r="4905" spans="15:15" hidden="1" x14ac:dyDescent="0.25">
      <c r="O4905"/>
    </row>
    <row r="4906" spans="15:15" hidden="1" x14ac:dyDescent="0.25">
      <c r="O4906"/>
    </row>
    <row r="4907" spans="15:15" hidden="1" x14ac:dyDescent="0.25">
      <c r="O4907"/>
    </row>
    <row r="4908" spans="15:15" hidden="1" x14ac:dyDescent="0.25">
      <c r="O4908"/>
    </row>
    <row r="4909" spans="15:15" hidden="1" x14ac:dyDescent="0.25">
      <c r="O4909"/>
    </row>
    <row r="4910" spans="15:15" hidden="1" x14ac:dyDescent="0.25">
      <c r="O4910"/>
    </row>
    <row r="4911" spans="15:15" hidden="1" x14ac:dyDescent="0.25">
      <c r="O4911"/>
    </row>
    <row r="4912" spans="15:15" hidden="1" x14ac:dyDescent="0.25">
      <c r="O4912"/>
    </row>
    <row r="4913" spans="15:15" hidden="1" x14ac:dyDescent="0.25">
      <c r="O4913"/>
    </row>
    <row r="4914" spans="15:15" hidden="1" x14ac:dyDescent="0.25">
      <c r="O4914"/>
    </row>
    <row r="4915" spans="15:15" hidden="1" x14ac:dyDescent="0.25">
      <c r="O4915"/>
    </row>
    <row r="4916" spans="15:15" hidden="1" x14ac:dyDescent="0.25">
      <c r="O4916"/>
    </row>
    <row r="4917" spans="15:15" hidden="1" x14ac:dyDescent="0.25">
      <c r="O4917"/>
    </row>
    <row r="4918" spans="15:15" hidden="1" x14ac:dyDescent="0.25">
      <c r="O4918"/>
    </row>
    <row r="4919" spans="15:15" hidden="1" x14ac:dyDescent="0.25">
      <c r="O4919"/>
    </row>
    <row r="4920" spans="15:15" hidden="1" x14ac:dyDescent="0.25">
      <c r="O4920"/>
    </row>
    <row r="4921" spans="15:15" hidden="1" x14ac:dyDescent="0.25">
      <c r="O4921"/>
    </row>
    <row r="4922" spans="15:15" hidden="1" x14ac:dyDescent="0.25">
      <c r="O4922"/>
    </row>
    <row r="4923" spans="15:15" hidden="1" x14ac:dyDescent="0.25">
      <c r="O4923"/>
    </row>
    <row r="4924" spans="15:15" hidden="1" x14ac:dyDescent="0.25">
      <c r="O4924"/>
    </row>
    <row r="4925" spans="15:15" hidden="1" x14ac:dyDescent="0.25">
      <c r="O4925"/>
    </row>
    <row r="4926" spans="15:15" hidden="1" x14ac:dyDescent="0.25">
      <c r="O4926"/>
    </row>
    <row r="4927" spans="15:15" hidden="1" x14ac:dyDescent="0.25">
      <c r="O4927"/>
    </row>
    <row r="4928" spans="15:15" hidden="1" x14ac:dyDescent="0.25">
      <c r="O4928"/>
    </row>
    <row r="4929" spans="15:15" hidden="1" x14ac:dyDescent="0.25">
      <c r="O4929"/>
    </row>
    <row r="4930" spans="15:15" hidden="1" x14ac:dyDescent="0.25">
      <c r="O4930"/>
    </row>
    <row r="4931" spans="15:15" hidden="1" x14ac:dyDescent="0.25">
      <c r="O4931"/>
    </row>
    <row r="4932" spans="15:15" hidden="1" x14ac:dyDescent="0.25">
      <c r="O4932"/>
    </row>
    <row r="4933" spans="15:15" hidden="1" x14ac:dyDescent="0.25">
      <c r="O4933"/>
    </row>
    <row r="4934" spans="15:15" hidden="1" x14ac:dyDescent="0.25">
      <c r="O4934"/>
    </row>
    <row r="4935" spans="15:15" hidden="1" x14ac:dyDescent="0.25">
      <c r="O4935"/>
    </row>
    <row r="4936" spans="15:15" hidden="1" x14ac:dyDescent="0.25">
      <c r="O4936"/>
    </row>
    <row r="4937" spans="15:15" hidden="1" x14ac:dyDescent="0.25">
      <c r="O4937"/>
    </row>
    <row r="4938" spans="15:15" hidden="1" x14ac:dyDescent="0.25">
      <c r="O4938"/>
    </row>
    <row r="4939" spans="15:15" hidden="1" x14ac:dyDescent="0.25">
      <c r="O4939"/>
    </row>
    <row r="4940" spans="15:15" hidden="1" x14ac:dyDescent="0.25">
      <c r="O4940"/>
    </row>
    <row r="4941" spans="15:15" hidden="1" x14ac:dyDescent="0.25">
      <c r="O4941"/>
    </row>
    <row r="4942" spans="15:15" hidden="1" x14ac:dyDescent="0.25">
      <c r="O4942"/>
    </row>
    <row r="4943" spans="15:15" hidden="1" x14ac:dyDescent="0.25">
      <c r="O4943"/>
    </row>
    <row r="4944" spans="15:15" hidden="1" x14ac:dyDescent="0.25">
      <c r="O4944"/>
    </row>
    <row r="4945" spans="15:15" hidden="1" x14ac:dyDescent="0.25">
      <c r="O4945"/>
    </row>
    <row r="4946" spans="15:15" hidden="1" x14ac:dyDescent="0.25">
      <c r="O4946"/>
    </row>
    <row r="4947" spans="15:15" hidden="1" x14ac:dyDescent="0.25">
      <c r="O4947"/>
    </row>
    <row r="4948" spans="15:15" hidden="1" x14ac:dyDescent="0.25">
      <c r="O4948"/>
    </row>
    <row r="4949" spans="15:15" hidden="1" x14ac:dyDescent="0.25">
      <c r="O4949"/>
    </row>
    <row r="4950" spans="15:15" hidden="1" x14ac:dyDescent="0.25">
      <c r="O4950"/>
    </row>
    <row r="4951" spans="15:15" hidden="1" x14ac:dyDescent="0.25">
      <c r="O4951"/>
    </row>
    <row r="4952" spans="15:15" hidden="1" x14ac:dyDescent="0.25">
      <c r="O4952"/>
    </row>
    <row r="4953" spans="15:15" hidden="1" x14ac:dyDescent="0.25">
      <c r="O4953"/>
    </row>
    <row r="4954" spans="15:15" hidden="1" x14ac:dyDescent="0.25">
      <c r="O4954"/>
    </row>
    <row r="4955" spans="15:15" hidden="1" x14ac:dyDescent="0.25">
      <c r="O4955"/>
    </row>
    <row r="4956" spans="15:15" hidden="1" x14ac:dyDescent="0.25">
      <c r="O4956"/>
    </row>
    <row r="4957" spans="15:15" hidden="1" x14ac:dyDescent="0.25">
      <c r="O4957"/>
    </row>
    <row r="4958" spans="15:15" hidden="1" x14ac:dyDescent="0.25">
      <c r="O4958"/>
    </row>
    <row r="4959" spans="15:15" hidden="1" x14ac:dyDescent="0.25">
      <c r="O4959"/>
    </row>
    <row r="4960" spans="15:15" hidden="1" x14ac:dyDescent="0.25">
      <c r="O4960"/>
    </row>
    <row r="4961" spans="15:15" hidden="1" x14ac:dyDescent="0.25">
      <c r="O4961"/>
    </row>
    <row r="4962" spans="15:15" hidden="1" x14ac:dyDescent="0.25">
      <c r="O4962"/>
    </row>
    <row r="4963" spans="15:15" hidden="1" x14ac:dyDescent="0.25">
      <c r="O4963"/>
    </row>
    <row r="4964" spans="15:15" hidden="1" x14ac:dyDescent="0.25">
      <c r="O4964"/>
    </row>
    <row r="4965" spans="15:15" hidden="1" x14ac:dyDescent="0.25">
      <c r="O4965"/>
    </row>
    <row r="4966" spans="15:15" hidden="1" x14ac:dyDescent="0.25">
      <c r="O4966"/>
    </row>
    <row r="4967" spans="15:15" hidden="1" x14ac:dyDescent="0.25">
      <c r="O4967"/>
    </row>
    <row r="4968" spans="15:15" hidden="1" x14ac:dyDescent="0.25">
      <c r="O4968"/>
    </row>
    <row r="4969" spans="15:15" hidden="1" x14ac:dyDescent="0.25">
      <c r="O4969"/>
    </row>
    <row r="4970" spans="15:15" hidden="1" x14ac:dyDescent="0.25">
      <c r="O4970"/>
    </row>
    <row r="4971" spans="15:15" hidden="1" x14ac:dyDescent="0.25">
      <c r="O4971"/>
    </row>
    <row r="4972" spans="15:15" hidden="1" x14ac:dyDescent="0.25">
      <c r="O4972"/>
    </row>
    <row r="4973" spans="15:15" hidden="1" x14ac:dyDescent="0.25">
      <c r="O4973"/>
    </row>
    <row r="4974" spans="15:15" hidden="1" x14ac:dyDescent="0.25">
      <c r="O4974"/>
    </row>
    <row r="4975" spans="15:15" hidden="1" x14ac:dyDescent="0.25">
      <c r="O4975"/>
    </row>
    <row r="4976" spans="15:15" hidden="1" x14ac:dyDescent="0.25">
      <c r="O4976"/>
    </row>
    <row r="4977" spans="15:15" hidden="1" x14ac:dyDescent="0.25">
      <c r="O4977"/>
    </row>
    <row r="4978" spans="15:15" hidden="1" x14ac:dyDescent="0.25">
      <c r="O4978"/>
    </row>
    <row r="4979" spans="15:15" hidden="1" x14ac:dyDescent="0.25">
      <c r="O4979"/>
    </row>
    <row r="4980" spans="15:15" hidden="1" x14ac:dyDescent="0.25">
      <c r="O4980"/>
    </row>
    <row r="4981" spans="15:15" hidden="1" x14ac:dyDescent="0.25">
      <c r="O4981"/>
    </row>
    <row r="4982" spans="15:15" hidden="1" x14ac:dyDescent="0.25">
      <c r="O4982"/>
    </row>
    <row r="4983" spans="15:15" hidden="1" x14ac:dyDescent="0.25">
      <c r="O4983"/>
    </row>
    <row r="4984" spans="15:15" hidden="1" x14ac:dyDescent="0.25">
      <c r="O4984"/>
    </row>
    <row r="4985" spans="15:15" hidden="1" x14ac:dyDescent="0.25">
      <c r="O4985"/>
    </row>
    <row r="4986" spans="15:15" hidden="1" x14ac:dyDescent="0.25">
      <c r="O4986"/>
    </row>
    <row r="4987" spans="15:15" hidden="1" x14ac:dyDescent="0.25">
      <c r="O4987"/>
    </row>
    <row r="4988" spans="15:15" hidden="1" x14ac:dyDescent="0.25">
      <c r="O4988"/>
    </row>
    <row r="4989" spans="15:15" hidden="1" x14ac:dyDescent="0.25">
      <c r="O4989"/>
    </row>
    <row r="4990" spans="15:15" hidden="1" x14ac:dyDescent="0.25">
      <c r="O4990"/>
    </row>
    <row r="4991" spans="15:15" hidden="1" x14ac:dyDescent="0.25">
      <c r="O4991"/>
    </row>
    <row r="4992" spans="15:15" hidden="1" x14ac:dyDescent="0.25">
      <c r="O4992"/>
    </row>
    <row r="4993" spans="15:15" hidden="1" x14ac:dyDescent="0.25">
      <c r="O4993"/>
    </row>
    <row r="4994" spans="15:15" hidden="1" x14ac:dyDescent="0.25">
      <c r="O4994"/>
    </row>
    <row r="4995" spans="15:15" hidden="1" x14ac:dyDescent="0.25">
      <c r="O4995"/>
    </row>
    <row r="4996" spans="15:15" hidden="1" x14ac:dyDescent="0.25">
      <c r="O4996"/>
    </row>
    <row r="4997" spans="15:15" hidden="1" x14ac:dyDescent="0.25">
      <c r="O4997"/>
    </row>
    <row r="4998" spans="15:15" hidden="1" x14ac:dyDescent="0.25">
      <c r="O4998"/>
    </row>
    <row r="4999" spans="15:15" hidden="1" x14ac:dyDescent="0.25">
      <c r="O4999"/>
    </row>
    <row r="5000" spans="15:15" hidden="1" x14ac:dyDescent="0.25">
      <c r="O5000"/>
    </row>
    <row r="5001" spans="15:15" hidden="1" x14ac:dyDescent="0.25">
      <c r="O5001"/>
    </row>
    <row r="5002" spans="15:15" hidden="1" x14ac:dyDescent="0.25">
      <c r="O5002"/>
    </row>
    <row r="5003" spans="15:15" hidden="1" x14ac:dyDescent="0.25">
      <c r="O5003"/>
    </row>
    <row r="5004" spans="15:15" hidden="1" x14ac:dyDescent="0.25">
      <c r="O5004"/>
    </row>
    <row r="5005" spans="15:15" hidden="1" x14ac:dyDescent="0.25">
      <c r="O5005"/>
    </row>
    <row r="5006" spans="15:15" hidden="1" x14ac:dyDescent="0.25">
      <c r="O5006"/>
    </row>
    <row r="5007" spans="15:15" hidden="1" x14ac:dyDescent="0.25">
      <c r="O5007"/>
    </row>
    <row r="5008" spans="15:15" hidden="1" x14ac:dyDescent="0.25">
      <c r="O5008"/>
    </row>
    <row r="5009" spans="15:15" hidden="1" x14ac:dyDescent="0.25">
      <c r="O5009"/>
    </row>
    <row r="5010" spans="15:15" hidden="1" x14ac:dyDescent="0.25">
      <c r="O5010"/>
    </row>
    <row r="5011" spans="15:15" hidden="1" x14ac:dyDescent="0.25">
      <c r="O5011"/>
    </row>
    <row r="5012" spans="15:15" hidden="1" x14ac:dyDescent="0.25">
      <c r="O5012"/>
    </row>
    <row r="5013" spans="15:15" hidden="1" x14ac:dyDescent="0.25">
      <c r="O5013"/>
    </row>
    <row r="5014" spans="15:15" hidden="1" x14ac:dyDescent="0.25">
      <c r="O5014"/>
    </row>
    <row r="5015" spans="15:15" hidden="1" x14ac:dyDescent="0.25">
      <c r="O5015"/>
    </row>
    <row r="5016" spans="15:15" hidden="1" x14ac:dyDescent="0.25">
      <c r="O5016"/>
    </row>
    <row r="5017" spans="15:15" hidden="1" x14ac:dyDescent="0.25">
      <c r="O5017"/>
    </row>
    <row r="5018" spans="15:15" hidden="1" x14ac:dyDescent="0.25">
      <c r="O5018"/>
    </row>
    <row r="5019" spans="15:15" hidden="1" x14ac:dyDescent="0.25">
      <c r="O5019"/>
    </row>
    <row r="5020" spans="15:15" hidden="1" x14ac:dyDescent="0.25">
      <c r="O5020"/>
    </row>
    <row r="5021" spans="15:15" hidden="1" x14ac:dyDescent="0.25">
      <c r="O5021"/>
    </row>
    <row r="5022" spans="15:15" hidden="1" x14ac:dyDescent="0.25">
      <c r="O5022"/>
    </row>
    <row r="5023" spans="15:15" hidden="1" x14ac:dyDescent="0.25">
      <c r="O5023"/>
    </row>
    <row r="5024" spans="15:15" hidden="1" x14ac:dyDescent="0.25">
      <c r="O5024"/>
    </row>
    <row r="5025" spans="15:15" hidden="1" x14ac:dyDescent="0.25">
      <c r="O5025"/>
    </row>
    <row r="5026" spans="15:15" hidden="1" x14ac:dyDescent="0.25">
      <c r="O5026"/>
    </row>
    <row r="5027" spans="15:15" hidden="1" x14ac:dyDescent="0.25">
      <c r="O5027"/>
    </row>
    <row r="5028" spans="15:15" hidden="1" x14ac:dyDescent="0.25">
      <c r="O5028"/>
    </row>
    <row r="5029" spans="15:15" hidden="1" x14ac:dyDescent="0.25">
      <c r="O5029"/>
    </row>
    <row r="5030" spans="15:15" hidden="1" x14ac:dyDescent="0.25">
      <c r="O5030"/>
    </row>
    <row r="5031" spans="15:15" hidden="1" x14ac:dyDescent="0.25">
      <c r="O5031"/>
    </row>
    <row r="5032" spans="15:15" hidden="1" x14ac:dyDescent="0.25">
      <c r="O5032"/>
    </row>
    <row r="5033" spans="15:15" hidden="1" x14ac:dyDescent="0.25">
      <c r="O5033"/>
    </row>
    <row r="5034" spans="15:15" hidden="1" x14ac:dyDescent="0.25">
      <c r="O5034"/>
    </row>
    <row r="5035" spans="15:15" hidden="1" x14ac:dyDescent="0.25">
      <c r="O5035"/>
    </row>
    <row r="5036" spans="15:15" hidden="1" x14ac:dyDescent="0.25">
      <c r="O5036"/>
    </row>
    <row r="5037" spans="15:15" hidden="1" x14ac:dyDescent="0.25">
      <c r="O5037"/>
    </row>
    <row r="5038" spans="15:15" hidden="1" x14ac:dyDescent="0.25">
      <c r="O5038"/>
    </row>
    <row r="5039" spans="15:15" hidden="1" x14ac:dyDescent="0.25">
      <c r="O5039"/>
    </row>
    <row r="5040" spans="15:15" hidden="1" x14ac:dyDescent="0.25">
      <c r="O5040"/>
    </row>
    <row r="5041" spans="15:15" hidden="1" x14ac:dyDescent="0.25">
      <c r="O5041"/>
    </row>
    <row r="5042" spans="15:15" hidden="1" x14ac:dyDescent="0.25">
      <c r="O5042"/>
    </row>
    <row r="5043" spans="15:15" hidden="1" x14ac:dyDescent="0.25">
      <c r="O5043"/>
    </row>
    <row r="5044" spans="15:15" hidden="1" x14ac:dyDescent="0.25">
      <c r="O5044"/>
    </row>
    <row r="5045" spans="15:15" hidden="1" x14ac:dyDescent="0.25">
      <c r="O5045"/>
    </row>
    <row r="5046" spans="15:15" hidden="1" x14ac:dyDescent="0.25">
      <c r="O5046"/>
    </row>
    <row r="5047" spans="15:15" hidden="1" x14ac:dyDescent="0.25">
      <c r="O5047"/>
    </row>
    <row r="5048" spans="15:15" hidden="1" x14ac:dyDescent="0.25">
      <c r="O5048"/>
    </row>
    <row r="5049" spans="15:15" hidden="1" x14ac:dyDescent="0.25">
      <c r="O5049"/>
    </row>
    <row r="5050" spans="15:15" hidden="1" x14ac:dyDescent="0.25">
      <c r="O5050"/>
    </row>
    <row r="5051" spans="15:15" hidden="1" x14ac:dyDescent="0.25">
      <c r="O5051"/>
    </row>
    <row r="5052" spans="15:15" hidden="1" x14ac:dyDescent="0.25">
      <c r="O5052"/>
    </row>
    <row r="5053" spans="15:15" hidden="1" x14ac:dyDescent="0.25">
      <c r="O5053"/>
    </row>
    <row r="5054" spans="15:15" hidden="1" x14ac:dyDescent="0.25">
      <c r="O5054"/>
    </row>
    <row r="5055" spans="15:15" hidden="1" x14ac:dyDescent="0.25">
      <c r="O5055"/>
    </row>
    <row r="5056" spans="15:15" hidden="1" x14ac:dyDescent="0.25">
      <c r="O5056"/>
    </row>
    <row r="5057" spans="15:15" hidden="1" x14ac:dyDescent="0.25">
      <c r="O5057"/>
    </row>
    <row r="5058" spans="15:15" hidden="1" x14ac:dyDescent="0.25">
      <c r="O5058"/>
    </row>
    <row r="5059" spans="15:15" hidden="1" x14ac:dyDescent="0.25">
      <c r="O5059"/>
    </row>
    <row r="5060" spans="15:15" hidden="1" x14ac:dyDescent="0.25">
      <c r="O5060"/>
    </row>
    <row r="5061" spans="15:15" hidden="1" x14ac:dyDescent="0.25">
      <c r="O5061"/>
    </row>
    <row r="5062" spans="15:15" hidden="1" x14ac:dyDescent="0.25">
      <c r="O5062"/>
    </row>
    <row r="5063" spans="15:15" hidden="1" x14ac:dyDescent="0.25">
      <c r="O5063"/>
    </row>
    <row r="5064" spans="15:15" hidden="1" x14ac:dyDescent="0.25">
      <c r="O5064"/>
    </row>
    <row r="5065" spans="15:15" hidden="1" x14ac:dyDescent="0.25">
      <c r="O5065"/>
    </row>
    <row r="5066" spans="15:15" hidden="1" x14ac:dyDescent="0.25">
      <c r="O5066"/>
    </row>
    <row r="5067" spans="15:15" hidden="1" x14ac:dyDescent="0.25">
      <c r="O5067"/>
    </row>
    <row r="5068" spans="15:15" hidden="1" x14ac:dyDescent="0.25">
      <c r="O5068"/>
    </row>
    <row r="5069" spans="15:15" hidden="1" x14ac:dyDescent="0.25">
      <c r="O5069"/>
    </row>
    <row r="5070" spans="15:15" hidden="1" x14ac:dyDescent="0.25">
      <c r="O5070"/>
    </row>
    <row r="5071" spans="15:15" hidden="1" x14ac:dyDescent="0.25">
      <c r="O5071"/>
    </row>
    <row r="5072" spans="15:15" hidden="1" x14ac:dyDescent="0.25">
      <c r="O5072"/>
    </row>
    <row r="5073" spans="15:15" hidden="1" x14ac:dyDescent="0.25">
      <c r="O5073"/>
    </row>
    <row r="5074" spans="15:15" hidden="1" x14ac:dyDescent="0.25">
      <c r="O5074"/>
    </row>
    <row r="5075" spans="15:15" hidden="1" x14ac:dyDescent="0.25">
      <c r="O5075"/>
    </row>
    <row r="5076" spans="15:15" hidden="1" x14ac:dyDescent="0.25">
      <c r="O5076"/>
    </row>
    <row r="5077" spans="15:15" hidden="1" x14ac:dyDescent="0.25">
      <c r="O5077"/>
    </row>
    <row r="5078" spans="15:15" hidden="1" x14ac:dyDescent="0.25">
      <c r="O5078"/>
    </row>
    <row r="5079" spans="15:15" hidden="1" x14ac:dyDescent="0.25">
      <c r="O5079"/>
    </row>
    <row r="5080" spans="15:15" hidden="1" x14ac:dyDescent="0.25">
      <c r="O5080"/>
    </row>
    <row r="5081" spans="15:15" hidden="1" x14ac:dyDescent="0.25">
      <c r="O5081"/>
    </row>
    <row r="5082" spans="15:15" hidden="1" x14ac:dyDescent="0.25">
      <c r="O5082"/>
    </row>
    <row r="5083" spans="15:15" hidden="1" x14ac:dyDescent="0.25">
      <c r="O5083"/>
    </row>
    <row r="5084" spans="15:15" hidden="1" x14ac:dyDescent="0.25">
      <c r="O5084"/>
    </row>
    <row r="5085" spans="15:15" hidden="1" x14ac:dyDescent="0.25">
      <c r="O5085"/>
    </row>
    <row r="5086" spans="15:15" hidden="1" x14ac:dyDescent="0.25">
      <c r="O5086"/>
    </row>
    <row r="5087" spans="15:15" hidden="1" x14ac:dyDescent="0.25">
      <c r="O5087"/>
    </row>
    <row r="5088" spans="15:15" hidden="1" x14ac:dyDescent="0.25">
      <c r="O5088"/>
    </row>
    <row r="5089" spans="15:15" hidden="1" x14ac:dyDescent="0.25">
      <c r="O5089"/>
    </row>
    <row r="5090" spans="15:15" hidden="1" x14ac:dyDescent="0.25">
      <c r="O5090"/>
    </row>
    <row r="5091" spans="15:15" hidden="1" x14ac:dyDescent="0.25">
      <c r="O5091"/>
    </row>
    <row r="5092" spans="15:15" hidden="1" x14ac:dyDescent="0.25">
      <c r="O5092"/>
    </row>
    <row r="5093" spans="15:15" hidden="1" x14ac:dyDescent="0.25">
      <c r="O5093"/>
    </row>
    <row r="5094" spans="15:15" hidden="1" x14ac:dyDescent="0.25">
      <c r="O5094"/>
    </row>
    <row r="5095" spans="15:15" hidden="1" x14ac:dyDescent="0.25">
      <c r="O5095"/>
    </row>
    <row r="5096" spans="15:15" hidden="1" x14ac:dyDescent="0.25">
      <c r="O5096"/>
    </row>
    <row r="5097" spans="15:15" hidden="1" x14ac:dyDescent="0.25">
      <c r="O5097"/>
    </row>
    <row r="5098" spans="15:15" hidden="1" x14ac:dyDescent="0.25">
      <c r="O5098"/>
    </row>
    <row r="5099" spans="15:15" hidden="1" x14ac:dyDescent="0.25">
      <c r="O5099"/>
    </row>
    <row r="5100" spans="15:15" hidden="1" x14ac:dyDescent="0.25">
      <c r="O5100"/>
    </row>
    <row r="5101" spans="15:15" hidden="1" x14ac:dyDescent="0.25">
      <c r="O5101"/>
    </row>
    <row r="5102" spans="15:15" hidden="1" x14ac:dyDescent="0.25">
      <c r="O5102"/>
    </row>
    <row r="5103" spans="15:15" hidden="1" x14ac:dyDescent="0.25">
      <c r="O5103"/>
    </row>
    <row r="5104" spans="15:15" hidden="1" x14ac:dyDescent="0.25">
      <c r="O5104"/>
    </row>
    <row r="5105" spans="15:15" hidden="1" x14ac:dyDescent="0.25">
      <c r="O5105"/>
    </row>
    <row r="5106" spans="15:15" hidden="1" x14ac:dyDescent="0.25">
      <c r="O5106"/>
    </row>
    <row r="5107" spans="15:15" hidden="1" x14ac:dyDescent="0.25">
      <c r="O5107"/>
    </row>
    <row r="5108" spans="15:15" hidden="1" x14ac:dyDescent="0.25">
      <c r="O5108"/>
    </row>
    <row r="5109" spans="15:15" hidden="1" x14ac:dyDescent="0.25">
      <c r="O5109"/>
    </row>
    <row r="5110" spans="15:15" hidden="1" x14ac:dyDescent="0.25">
      <c r="O5110"/>
    </row>
    <row r="5111" spans="15:15" hidden="1" x14ac:dyDescent="0.25">
      <c r="O5111"/>
    </row>
    <row r="5112" spans="15:15" hidden="1" x14ac:dyDescent="0.25">
      <c r="O5112"/>
    </row>
    <row r="5113" spans="15:15" hidden="1" x14ac:dyDescent="0.25">
      <c r="O5113"/>
    </row>
    <row r="5114" spans="15:15" hidden="1" x14ac:dyDescent="0.25">
      <c r="O5114"/>
    </row>
    <row r="5115" spans="15:15" hidden="1" x14ac:dyDescent="0.25">
      <c r="O5115"/>
    </row>
    <row r="5116" spans="15:15" hidden="1" x14ac:dyDescent="0.25">
      <c r="O5116"/>
    </row>
    <row r="5117" spans="15:15" hidden="1" x14ac:dyDescent="0.25">
      <c r="O5117"/>
    </row>
    <row r="5118" spans="15:15" hidden="1" x14ac:dyDescent="0.25">
      <c r="O5118"/>
    </row>
    <row r="5119" spans="15:15" hidden="1" x14ac:dyDescent="0.25">
      <c r="O5119"/>
    </row>
    <row r="5120" spans="15:15" hidden="1" x14ac:dyDescent="0.25">
      <c r="O5120"/>
    </row>
    <row r="5121" spans="15:15" hidden="1" x14ac:dyDescent="0.25">
      <c r="O5121"/>
    </row>
    <row r="5122" spans="15:15" hidden="1" x14ac:dyDescent="0.25">
      <c r="O5122"/>
    </row>
    <row r="5123" spans="15:15" hidden="1" x14ac:dyDescent="0.25">
      <c r="O5123"/>
    </row>
    <row r="5124" spans="15:15" hidden="1" x14ac:dyDescent="0.25">
      <c r="O5124"/>
    </row>
    <row r="5125" spans="15:15" hidden="1" x14ac:dyDescent="0.25">
      <c r="O5125"/>
    </row>
    <row r="5126" spans="15:15" hidden="1" x14ac:dyDescent="0.25">
      <c r="O5126"/>
    </row>
    <row r="5127" spans="15:15" hidden="1" x14ac:dyDescent="0.25">
      <c r="O5127"/>
    </row>
    <row r="5128" spans="15:15" hidden="1" x14ac:dyDescent="0.25">
      <c r="O5128"/>
    </row>
    <row r="5129" spans="15:15" hidden="1" x14ac:dyDescent="0.25">
      <c r="O5129"/>
    </row>
    <row r="5130" spans="15:15" hidden="1" x14ac:dyDescent="0.25">
      <c r="O5130"/>
    </row>
    <row r="5131" spans="15:15" hidden="1" x14ac:dyDescent="0.25">
      <c r="O5131"/>
    </row>
    <row r="5132" spans="15:15" hidden="1" x14ac:dyDescent="0.25">
      <c r="O5132"/>
    </row>
    <row r="5133" spans="15:15" hidden="1" x14ac:dyDescent="0.25">
      <c r="O5133"/>
    </row>
    <row r="5134" spans="15:15" hidden="1" x14ac:dyDescent="0.25">
      <c r="O5134"/>
    </row>
    <row r="5135" spans="15:15" hidden="1" x14ac:dyDescent="0.25">
      <c r="O5135"/>
    </row>
    <row r="5136" spans="15:15" hidden="1" x14ac:dyDescent="0.25">
      <c r="O5136"/>
    </row>
    <row r="5137" spans="15:15" hidden="1" x14ac:dyDescent="0.25">
      <c r="O5137"/>
    </row>
    <row r="5138" spans="15:15" hidden="1" x14ac:dyDescent="0.25">
      <c r="O5138"/>
    </row>
    <row r="5139" spans="15:15" hidden="1" x14ac:dyDescent="0.25">
      <c r="O5139"/>
    </row>
    <row r="5140" spans="15:15" hidden="1" x14ac:dyDescent="0.25">
      <c r="O5140"/>
    </row>
    <row r="5141" spans="15:15" hidden="1" x14ac:dyDescent="0.25">
      <c r="O5141"/>
    </row>
    <row r="5142" spans="15:15" hidden="1" x14ac:dyDescent="0.25">
      <c r="O5142"/>
    </row>
    <row r="5143" spans="15:15" hidden="1" x14ac:dyDescent="0.25">
      <c r="O5143"/>
    </row>
    <row r="5144" spans="15:15" hidden="1" x14ac:dyDescent="0.25">
      <c r="O5144"/>
    </row>
    <row r="5145" spans="15:15" hidden="1" x14ac:dyDescent="0.25">
      <c r="O5145"/>
    </row>
    <row r="5146" spans="15:15" hidden="1" x14ac:dyDescent="0.25">
      <c r="O5146"/>
    </row>
    <row r="5147" spans="15:15" hidden="1" x14ac:dyDescent="0.25">
      <c r="O5147"/>
    </row>
    <row r="5148" spans="15:15" hidden="1" x14ac:dyDescent="0.25">
      <c r="O5148"/>
    </row>
    <row r="5149" spans="15:15" hidden="1" x14ac:dyDescent="0.25">
      <c r="O5149"/>
    </row>
    <row r="5150" spans="15:15" hidden="1" x14ac:dyDescent="0.25">
      <c r="O5150"/>
    </row>
    <row r="5151" spans="15:15" hidden="1" x14ac:dyDescent="0.25">
      <c r="O5151"/>
    </row>
    <row r="5152" spans="15:15" hidden="1" x14ac:dyDescent="0.25">
      <c r="O5152"/>
    </row>
    <row r="5153" spans="15:15" hidden="1" x14ac:dyDescent="0.25">
      <c r="O5153"/>
    </row>
    <row r="5154" spans="15:15" hidden="1" x14ac:dyDescent="0.25">
      <c r="O5154"/>
    </row>
    <row r="5155" spans="15:15" hidden="1" x14ac:dyDescent="0.25">
      <c r="O5155"/>
    </row>
    <row r="5156" spans="15:15" hidden="1" x14ac:dyDescent="0.25">
      <c r="O5156"/>
    </row>
    <row r="5157" spans="15:15" hidden="1" x14ac:dyDescent="0.25">
      <c r="O5157"/>
    </row>
    <row r="5158" spans="15:15" hidden="1" x14ac:dyDescent="0.25">
      <c r="O5158"/>
    </row>
    <row r="5159" spans="15:15" hidden="1" x14ac:dyDescent="0.25">
      <c r="O5159"/>
    </row>
    <row r="5160" spans="15:15" hidden="1" x14ac:dyDescent="0.25">
      <c r="O5160"/>
    </row>
    <row r="5161" spans="15:15" hidden="1" x14ac:dyDescent="0.25">
      <c r="O5161"/>
    </row>
    <row r="5162" spans="15:15" hidden="1" x14ac:dyDescent="0.25">
      <c r="O5162"/>
    </row>
    <row r="5163" spans="15:15" hidden="1" x14ac:dyDescent="0.25">
      <c r="O5163"/>
    </row>
    <row r="5164" spans="15:15" hidden="1" x14ac:dyDescent="0.25">
      <c r="O5164"/>
    </row>
    <row r="5165" spans="15:15" hidden="1" x14ac:dyDescent="0.25">
      <c r="O5165"/>
    </row>
    <row r="5166" spans="15:15" hidden="1" x14ac:dyDescent="0.25">
      <c r="O5166"/>
    </row>
    <row r="5167" spans="15:15" hidden="1" x14ac:dyDescent="0.25">
      <c r="O5167"/>
    </row>
    <row r="5168" spans="15:15" hidden="1" x14ac:dyDescent="0.25">
      <c r="O5168"/>
    </row>
    <row r="5169" spans="15:15" hidden="1" x14ac:dyDescent="0.25">
      <c r="O5169"/>
    </row>
    <row r="5170" spans="15:15" hidden="1" x14ac:dyDescent="0.25">
      <c r="O5170"/>
    </row>
    <row r="5171" spans="15:15" hidden="1" x14ac:dyDescent="0.25">
      <c r="O5171"/>
    </row>
    <row r="5172" spans="15:15" hidden="1" x14ac:dyDescent="0.25">
      <c r="O5172"/>
    </row>
    <row r="5173" spans="15:15" hidden="1" x14ac:dyDescent="0.25">
      <c r="O5173"/>
    </row>
    <row r="5174" spans="15:15" hidden="1" x14ac:dyDescent="0.25">
      <c r="O5174"/>
    </row>
    <row r="5175" spans="15:15" hidden="1" x14ac:dyDescent="0.25">
      <c r="O5175"/>
    </row>
    <row r="5176" spans="15:15" hidden="1" x14ac:dyDescent="0.25">
      <c r="O5176"/>
    </row>
    <row r="5177" spans="15:15" hidden="1" x14ac:dyDescent="0.25">
      <c r="O5177"/>
    </row>
    <row r="5178" spans="15:15" hidden="1" x14ac:dyDescent="0.25">
      <c r="O5178"/>
    </row>
    <row r="5179" spans="15:15" hidden="1" x14ac:dyDescent="0.25">
      <c r="O5179"/>
    </row>
    <row r="5180" spans="15:15" hidden="1" x14ac:dyDescent="0.25">
      <c r="O5180"/>
    </row>
    <row r="5181" spans="15:15" hidden="1" x14ac:dyDescent="0.25">
      <c r="O5181"/>
    </row>
    <row r="5182" spans="15:15" hidden="1" x14ac:dyDescent="0.25">
      <c r="O5182"/>
    </row>
    <row r="5183" spans="15:15" hidden="1" x14ac:dyDescent="0.25">
      <c r="O5183"/>
    </row>
    <row r="5184" spans="15:15" hidden="1" x14ac:dyDescent="0.25">
      <c r="O5184"/>
    </row>
    <row r="5185" spans="15:15" hidden="1" x14ac:dyDescent="0.25">
      <c r="O5185"/>
    </row>
    <row r="5186" spans="15:15" hidden="1" x14ac:dyDescent="0.25">
      <c r="O5186"/>
    </row>
    <row r="5187" spans="15:15" hidden="1" x14ac:dyDescent="0.25">
      <c r="O5187"/>
    </row>
    <row r="5188" spans="15:15" hidden="1" x14ac:dyDescent="0.25">
      <c r="O5188"/>
    </row>
    <row r="5189" spans="15:15" hidden="1" x14ac:dyDescent="0.25">
      <c r="O5189"/>
    </row>
    <row r="5190" spans="15:15" hidden="1" x14ac:dyDescent="0.25">
      <c r="O5190"/>
    </row>
    <row r="5191" spans="15:15" hidden="1" x14ac:dyDescent="0.25">
      <c r="O5191"/>
    </row>
    <row r="5192" spans="15:15" hidden="1" x14ac:dyDescent="0.25">
      <c r="O5192"/>
    </row>
    <row r="5193" spans="15:15" hidden="1" x14ac:dyDescent="0.25">
      <c r="O5193"/>
    </row>
    <row r="5194" spans="15:15" hidden="1" x14ac:dyDescent="0.25">
      <c r="O5194"/>
    </row>
    <row r="5195" spans="15:15" hidden="1" x14ac:dyDescent="0.25">
      <c r="O5195"/>
    </row>
    <row r="5196" spans="15:15" hidden="1" x14ac:dyDescent="0.25">
      <c r="O5196"/>
    </row>
    <row r="5197" spans="15:15" hidden="1" x14ac:dyDescent="0.25">
      <c r="O5197"/>
    </row>
    <row r="5198" spans="15:15" hidden="1" x14ac:dyDescent="0.25">
      <c r="O5198"/>
    </row>
    <row r="5199" spans="15:15" hidden="1" x14ac:dyDescent="0.25">
      <c r="O5199"/>
    </row>
    <row r="5200" spans="15:15" hidden="1" x14ac:dyDescent="0.25">
      <c r="O5200"/>
    </row>
    <row r="5201" spans="15:15" hidden="1" x14ac:dyDescent="0.25">
      <c r="O5201"/>
    </row>
    <row r="5202" spans="15:15" hidden="1" x14ac:dyDescent="0.25">
      <c r="O5202"/>
    </row>
    <row r="5203" spans="15:15" hidden="1" x14ac:dyDescent="0.25">
      <c r="O5203"/>
    </row>
    <row r="5204" spans="15:15" hidden="1" x14ac:dyDescent="0.25">
      <c r="O5204"/>
    </row>
    <row r="5205" spans="15:15" hidden="1" x14ac:dyDescent="0.25">
      <c r="O5205"/>
    </row>
    <row r="5206" spans="15:15" hidden="1" x14ac:dyDescent="0.25">
      <c r="O5206"/>
    </row>
    <row r="5207" spans="15:15" hidden="1" x14ac:dyDescent="0.25">
      <c r="O5207"/>
    </row>
    <row r="5208" spans="15:15" hidden="1" x14ac:dyDescent="0.25">
      <c r="O5208"/>
    </row>
    <row r="5209" spans="15:15" hidden="1" x14ac:dyDescent="0.25">
      <c r="O5209"/>
    </row>
    <row r="5210" spans="15:15" hidden="1" x14ac:dyDescent="0.25">
      <c r="O5210"/>
    </row>
    <row r="5211" spans="15:15" hidden="1" x14ac:dyDescent="0.25">
      <c r="O5211"/>
    </row>
    <row r="5212" spans="15:15" hidden="1" x14ac:dyDescent="0.25">
      <c r="O5212"/>
    </row>
    <row r="5213" spans="15:15" hidden="1" x14ac:dyDescent="0.25">
      <c r="O5213"/>
    </row>
    <row r="5214" spans="15:15" hidden="1" x14ac:dyDescent="0.25">
      <c r="O5214"/>
    </row>
    <row r="5215" spans="15:15" hidden="1" x14ac:dyDescent="0.25">
      <c r="O5215"/>
    </row>
    <row r="5216" spans="15:15" hidden="1" x14ac:dyDescent="0.25">
      <c r="O5216"/>
    </row>
    <row r="5217" spans="15:15" hidden="1" x14ac:dyDescent="0.25">
      <c r="O5217"/>
    </row>
    <row r="5218" spans="15:15" hidden="1" x14ac:dyDescent="0.25">
      <c r="O5218"/>
    </row>
    <row r="5219" spans="15:15" hidden="1" x14ac:dyDescent="0.25">
      <c r="O5219"/>
    </row>
    <row r="5220" spans="15:15" hidden="1" x14ac:dyDescent="0.25">
      <c r="O5220"/>
    </row>
    <row r="5221" spans="15:15" hidden="1" x14ac:dyDescent="0.25">
      <c r="O5221"/>
    </row>
    <row r="5222" spans="15:15" hidden="1" x14ac:dyDescent="0.25">
      <c r="O5222"/>
    </row>
    <row r="5223" spans="15:15" hidden="1" x14ac:dyDescent="0.25">
      <c r="O5223"/>
    </row>
    <row r="5224" spans="15:15" hidden="1" x14ac:dyDescent="0.25">
      <c r="O5224"/>
    </row>
    <row r="5225" spans="15:15" hidden="1" x14ac:dyDescent="0.25">
      <c r="O5225"/>
    </row>
    <row r="5226" spans="15:15" hidden="1" x14ac:dyDescent="0.25">
      <c r="O5226"/>
    </row>
    <row r="5227" spans="15:15" hidden="1" x14ac:dyDescent="0.25">
      <c r="O5227"/>
    </row>
    <row r="5228" spans="15:15" hidden="1" x14ac:dyDescent="0.25">
      <c r="O5228"/>
    </row>
    <row r="5229" spans="15:15" hidden="1" x14ac:dyDescent="0.25">
      <c r="O5229"/>
    </row>
    <row r="5230" spans="15:15" hidden="1" x14ac:dyDescent="0.25">
      <c r="O5230"/>
    </row>
    <row r="5231" spans="15:15" hidden="1" x14ac:dyDescent="0.25">
      <c r="O5231"/>
    </row>
    <row r="5232" spans="15:15" hidden="1" x14ac:dyDescent="0.25">
      <c r="O5232"/>
    </row>
    <row r="5233" spans="15:15" hidden="1" x14ac:dyDescent="0.25">
      <c r="O5233"/>
    </row>
    <row r="5234" spans="15:15" hidden="1" x14ac:dyDescent="0.25">
      <c r="O5234"/>
    </row>
    <row r="5235" spans="15:15" hidden="1" x14ac:dyDescent="0.25">
      <c r="O5235"/>
    </row>
    <row r="5236" spans="15:15" hidden="1" x14ac:dyDescent="0.25">
      <c r="O5236"/>
    </row>
    <row r="5237" spans="15:15" hidden="1" x14ac:dyDescent="0.25">
      <c r="O5237"/>
    </row>
    <row r="5238" spans="15:15" hidden="1" x14ac:dyDescent="0.25">
      <c r="O5238"/>
    </row>
    <row r="5239" spans="15:15" hidden="1" x14ac:dyDescent="0.25">
      <c r="O5239"/>
    </row>
    <row r="5240" spans="15:15" hidden="1" x14ac:dyDescent="0.25">
      <c r="O5240"/>
    </row>
    <row r="5241" spans="15:15" hidden="1" x14ac:dyDescent="0.25">
      <c r="O5241"/>
    </row>
    <row r="5242" spans="15:15" hidden="1" x14ac:dyDescent="0.25">
      <c r="O5242"/>
    </row>
    <row r="5243" spans="15:15" hidden="1" x14ac:dyDescent="0.25">
      <c r="O5243"/>
    </row>
    <row r="5244" spans="15:15" hidden="1" x14ac:dyDescent="0.25">
      <c r="O5244"/>
    </row>
    <row r="5245" spans="15:15" hidden="1" x14ac:dyDescent="0.25">
      <c r="O5245"/>
    </row>
    <row r="5246" spans="15:15" hidden="1" x14ac:dyDescent="0.25">
      <c r="O5246"/>
    </row>
    <row r="5247" spans="15:15" hidden="1" x14ac:dyDescent="0.25">
      <c r="O5247"/>
    </row>
    <row r="5248" spans="15:15" hidden="1" x14ac:dyDescent="0.25">
      <c r="O5248"/>
    </row>
    <row r="5249" spans="15:15" hidden="1" x14ac:dyDescent="0.25">
      <c r="O5249"/>
    </row>
    <row r="5250" spans="15:15" hidden="1" x14ac:dyDescent="0.25">
      <c r="O5250"/>
    </row>
    <row r="5251" spans="15:15" hidden="1" x14ac:dyDescent="0.25">
      <c r="O5251"/>
    </row>
    <row r="5252" spans="15:15" hidden="1" x14ac:dyDescent="0.25">
      <c r="O5252"/>
    </row>
    <row r="5253" spans="15:15" hidden="1" x14ac:dyDescent="0.25">
      <c r="O5253"/>
    </row>
    <row r="5254" spans="15:15" hidden="1" x14ac:dyDescent="0.25">
      <c r="O5254"/>
    </row>
    <row r="5255" spans="15:15" hidden="1" x14ac:dyDescent="0.25">
      <c r="O5255"/>
    </row>
    <row r="5256" spans="15:15" hidden="1" x14ac:dyDescent="0.25">
      <c r="O5256"/>
    </row>
    <row r="5257" spans="15:15" hidden="1" x14ac:dyDescent="0.25">
      <c r="O5257"/>
    </row>
    <row r="5258" spans="15:15" hidden="1" x14ac:dyDescent="0.25">
      <c r="O5258"/>
    </row>
    <row r="5259" spans="15:15" hidden="1" x14ac:dyDescent="0.25">
      <c r="O5259"/>
    </row>
    <row r="5260" spans="15:15" hidden="1" x14ac:dyDescent="0.25">
      <c r="O5260"/>
    </row>
    <row r="5261" spans="15:15" hidden="1" x14ac:dyDescent="0.25">
      <c r="O5261"/>
    </row>
    <row r="5262" spans="15:15" hidden="1" x14ac:dyDescent="0.25">
      <c r="O5262"/>
    </row>
    <row r="5263" spans="15:15" hidden="1" x14ac:dyDescent="0.25">
      <c r="O5263"/>
    </row>
    <row r="5264" spans="15:15" hidden="1" x14ac:dyDescent="0.25">
      <c r="O5264"/>
    </row>
    <row r="5265" spans="15:15" hidden="1" x14ac:dyDescent="0.25">
      <c r="O5265"/>
    </row>
    <row r="5266" spans="15:15" hidden="1" x14ac:dyDescent="0.25">
      <c r="O5266"/>
    </row>
    <row r="5267" spans="15:15" hidden="1" x14ac:dyDescent="0.25">
      <c r="O5267"/>
    </row>
    <row r="5268" spans="15:15" hidden="1" x14ac:dyDescent="0.25">
      <c r="O5268"/>
    </row>
    <row r="5269" spans="15:15" hidden="1" x14ac:dyDescent="0.25">
      <c r="O5269"/>
    </row>
    <row r="5270" spans="15:15" hidden="1" x14ac:dyDescent="0.25">
      <c r="O5270"/>
    </row>
    <row r="5271" spans="15:15" hidden="1" x14ac:dyDescent="0.25">
      <c r="O5271"/>
    </row>
    <row r="5272" spans="15:15" hidden="1" x14ac:dyDescent="0.25">
      <c r="O5272"/>
    </row>
    <row r="5273" spans="15:15" hidden="1" x14ac:dyDescent="0.25">
      <c r="O5273"/>
    </row>
    <row r="5274" spans="15:15" hidden="1" x14ac:dyDescent="0.25">
      <c r="O5274"/>
    </row>
    <row r="5275" spans="15:15" hidden="1" x14ac:dyDescent="0.25">
      <c r="O5275"/>
    </row>
    <row r="5276" spans="15:15" hidden="1" x14ac:dyDescent="0.25">
      <c r="O5276"/>
    </row>
    <row r="5277" spans="15:15" hidden="1" x14ac:dyDescent="0.25">
      <c r="O5277"/>
    </row>
    <row r="5278" spans="15:15" hidden="1" x14ac:dyDescent="0.25">
      <c r="O5278"/>
    </row>
    <row r="5279" spans="15:15" hidden="1" x14ac:dyDescent="0.25">
      <c r="O5279"/>
    </row>
    <row r="5280" spans="15:15" hidden="1" x14ac:dyDescent="0.25">
      <c r="O5280"/>
    </row>
    <row r="5281" spans="15:15" hidden="1" x14ac:dyDescent="0.25">
      <c r="O5281"/>
    </row>
    <row r="5282" spans="15:15" hidden="1" x14ac:dyDescent="0.25">
      <c r="O5282"/>
    </row>
    <row r="5283" spans="15:15" hidden="1" x14ac:dyDescent="0.25">
      <c r="O5283"/>
    </row>
    <row r="5284" spans="15:15" hidden="1" x14ac:dyDescent="0.25">
      <c r="O5284"/>
    </row>
    <row r="5285" spans="15:15" hidden="1" x14ac:dyDescent="0.25">
      <c r="O5285"/>
    </row>
    <row r="5286" spans="15:15" hidden="1" x14ac:dyDescent="0.25">
      <c r="O5286"/>
    </row>
    <row r="5287" spans="15:15" hidden="1" x14ac:dyDescent="0.25">
      <c r="O5287"/>
    </row>
    <row r="5288" spans="15:15" hidden="1" x14ac:dyDescent="0.25">
      <c r="O5288"/>
    </row>
    <row r="5289" spans="15:15" hidden="1" x14ac:dyDescent="0.25">
      <c r="O5289"/>
    </row>
    <row r="5290" spans="15:15" hidden="1" x14ac:dyDescent="0.25">
      <c r="O5290"/>
    </row>
    <row r="5291" spans="15:15" hidden="1" x14ac:dyDescent="0.25">
      <c r="O5291"/>
    </row>
    <row r="5292" spans="15:15" hidden="1" x14ac:dyDescent="0.25">
      <c r="O5292"/>
    </row>
    <row r="5293" spans="15:15" hidden="1" x14ac:dyDescent="0.25">
      <c r="O5293"/>
    </row>
    <row r="5294" spans="15:15" hidden="1" x14ac:dyDescent="0.25">
      <c r="O5294"/>
    </row>
    <row r="5295" spans="15:15" hidden="1" x14ac:dyDescent="0.25">
      <c r="O5295"/>
    </row>
    <row r="5296" spans="15:15" hidden="1" x14ac:dyDescent="0.25">
      <c r="O5296"/>
    </row>
    <row r="5297" spans="15:15" hidden="1" x14ac:dyDescent="0.25">
      <c r="O5297"/>
    </row>
    <row r="5298" spans="15:15" hidden="1" x14ac:dyDescent="0.25">
      <c r="O5298"/>
    </row>
    <row r="5299" spans="15:15" hidden="1" x14ac:dyDescent="0.25">
      <c r="O5299"/>
    </row>
    <row r="5300" spans="15:15" hidden="1" x14ac:dyDescent="0.25">
      <c r="O5300"/>
    </row>
    <row r="5301" spans="15:15" hidden="1" x14ac:dyDescent="0.25">
      <c r="O5301"/>
    </row>
    <row r="5302" spans="15:15" hidden="1" x14ac:dyDescent="0.25">
      <c r="O5302"/>
    </row>
    <row r="5303" spans="15:15" hidden="1" x14ac:dyDescent="0.25">
      <c r="O5303"/>
    </row>
    <row r="5304" spans="15:15" hidden="1" x14ac:dyDescent="0.25">
      <c r="O5304"/>
    </row>
    <row r="5305" spans="15:15" hidden="1" x14ac:dyDescent="0.25">
      <c r="O5305"/>
    </row>
    <row r="5306" spans="15:15" hidden="1" x14ac:dyDescent="0.25">
      <c r="O5306"/>
    </row>
    <row r="5307" spans="15:15" hidden="1" x14ac:dyDescent="0.25">
      <c r="O5307"/>
    </row>
    <row r="5308" spans="15:15" hidden="1" x14ac:dyDescent="0.25">
      <c r="O5308"/>
    </row>
    <row r="5309" spans="15:15" hidden="1" x14ac:dyDescent="0.25">
      <c r="O5309"/>
    </row>
    <row r="5310" spans="15:15" hidden="1" x14ac:dyDescent="0.25">
      <c r="O5310"/>
    </row>
    <row r="5311" spans="15:15" hidden="1" x14ac:dyDescent="0.25">
      <c r="O5311"/>
    </row>
    <row r="5312" spans="15:15" hidden="1" x14ac:dyDescent="0.25">
      <c r="O5312"/>
    </row>
    <row r="5313" spans="15:15" hidden="1" x14ac:dyDescent="0.25">
      <c r="O5313"/>
    </row>
    <row r="5314" spans="15:15" hidden="1" x14ac:dyDescent="0.25">
      <c r="O5314"/>
    </row>
    <row r="5315" spans="15:15" hidden="1" x14ac:dyDescent="0.25">
      <c r="O5315"/>
    </row>
    <row r="5316" spans="15:15" hidden="1" x14ac:dyDescent="0.25">
      <c r="O5316"/>
    </row>
    <row r="5317" spans="15:15" hidden="1" x14ac:dyDescent="0.25">
      <c r="O5317"/>
    </row>
    <row r="5318" spans="15:15" hidden="1" x14ac:dyDescent="0.25">
      <c r="O5318"/>
    </row>
    <row r="5319" spans="15:15" hidden="1" x14ac:dyDescent="0.25">
      <c r="O5319"/>
    </row>
    <row r="5320" spans="15:15" hidden="1" x14ac:dyDescent="0.25">
      <c r="O5320"/>
    </row>
    <row r="5321" spans="15:15" hidden="1" x14ac:dyDescent="0.25">
      <c r="O5321"/>
    </row>
    <row r="5322" spans="15:15" hidden="1" x14ac:dyDescent="0.25">
      <c r="O5322"/>
    </row>
    <row r="5323" spans="15:15" hidden="1" x14ac:dyDescent="0.25">
      <c r="O5323"/>
    </row>
    <row r="5324" spans="15:15" hidden="1" x14ac:dyDescent="0.25">
      <c r="O5324"/>
    </row>
    <row r="5325" spans="15:15" hidden="1" x14ac:dyDescent="0.25">
      <c r="O5325"/>
    </row>
    <row r="5326" spans="15:15" hidden="1" x14ac:dyDescent="0.25">
      <c r="O5326"/>
    </row>
    <row r="5327" spans="15:15" hidden="1" x14ac:dyDescent="0.25">
      <c r="O5327"/>
    </row>
    <row r="5328" spans="15:15" hidden="1" x14ac:dyDescent="0.25">
      <c r="O5328"/>
    </row>
    <row r="5329" spans="15:15" hidden="1" x14ac:dyDescent="0.25">
      <c r="O5329"/>
    </row>
    <row r="5330" spans="15:15" hidden="1" x14ac:dyDescent="0.25">
      <c r="O5330"/>
    </row>
    <row r="5331" spans="15:15" hidden="1" x14ac:dyDescent="0.25">
      <c r="O5331"/>
    </row>
    <row r="5332" spans="15:15" hidden="1" x14ac:dyDescent="0.25">
      <c r="O5332"/>
    </row>
    <row r="5333" spans="15:15" hidden="1" x14ac:dyDescent="0.25">
      <c r="O5333"/>
    </row>
    <row r="5334" spans="15:15" hidden="1" x14ac:dyDescent="0.25">
      <c r="O5334"/>
    </row>
    <row r="5335" spans="15:15" hidden="1" x14ac:dyDescent="0.25">
      <c r="O5335"/>
    </row>
    <row r="5336" spans="15:15" hidden="1" x14ac:dyDescent="0.25">
      <c r="O5336"/>
    </row>
    <row r="5337" spans="15:15" hidden="1" x14ac:dyDescent="0.25">
      <c r="O5337"/>
    </row>
    <row r="5338" spans="15:15" hidden="1" x14ac:dyDescent="0.25">
      <c r="O5338"/>
    </row>
    <row r="5339" spans="15:15" hidden="1" x14ac:dyDescent="0.25">
      <c r="O5339"/>
    </row>
    <row r="5340" spans="15:15" hidden="1" x14ac:dyDescent="0.25">
      <c r="O5340"/>
    </row>
    <row r="5341" spans="15:15" hidden="1" x14ac:dyDescent="0.25">
      <c r="O5341"/>
    </row>
    <row r="5342" spans="15:15" hidden="1" x14ac:dyDescent="0.25">
      <c r="O5342"/>
    </row>
    <row r="5343" spans="15:15" hidden="1" x14ac:dyDescent="0.25">
      <c r="O5343"/>
    </row>
    <row r="5344" spans="15:15" hidden="1" x14ac:dyDescent="0.25">
      <c r="O5344"/>
    </row>
    <row r="5345" spans="15:15" hidden="1" x14ac:dyDescent="0.25">
      <c r="O5345"/>
    </row>
    <row r="5346" spans="15:15" hidden="1" x14ac:dyDescent="0.25">
      <c r="O5346"/>
    </row>
    <row r="5347" spans="15:15" hidden="1" x14ac:dyDescent="0.25">
      <c r="O5347"/>
    </row>
    <row r="5348" spans="15:15" hidden="1" x14ac:dyDescent="0.25">
      <c r="O5348"/>
    </row>
    <row r="5349" spans="15:15" hidden="1" x14ac:dyDescent="0.25">
      <c r="O5349"/>
    </row>
    <row r="5350" spans="15:15" hidden="1" x14ac:dyDescent="0.25">
      <c r="O5350"/>
    </row>
    <row r="5351" spans="15:15" hidden="1" x14ac:dyDescent="0.25">
      <c r="O5351"/>
    </row>
    <row r="5352" spans="15:15" hidden="1" x14ac:dyDescent="0.25">
      <c r="O5352"/>
    </row>
    <row r="5353" spans="15:15" hidden="1" x14ac:dyDescent="0.25">
      <c r="O5353"/>
    </row>
    <row r="5354" spans="15:15" hidden="1" x14ac:dyDescent="0.25">
      <c r="O5354"/>
    </row>
    <row r="5355" spans="15:15" hidden="1" x14ac:dyDescent="0.25">
      <c r="O5355"/>
    </row>
    <row r="5356" spans="15:15" hidden="1" x14ac:dyDescent="0.25">
      <c r="O5356"/>
    </row>
    <row r="5357" spans="15:15" hidden="1" x14ac:dyDescent="0.25">
      <c r="O5357"/>
    </row>
    <row r="5358" spans="15:15" hidden="1" x14ac:dyDescent="0.25">
      <c r="O5358"/>
    </row>
    <row r="5359" spans="15:15" hidden="1" x14ac:dyDescent="0.25">
      <c r="O5359"/>
    </row>
    <row r="5360" spans="15:15" hidden="1" x14ac:dyDescent="0.25">
      <c r="O5360"/>
    </row>
    <row r="5361" spans="15:15" hidden="1" x14ac:dyDescent="0.25">
      <c r="O5361"/>
    </row>
    <row r="5362" spans="15:15" hidden="1" x14ac:dyDescent="0.25">
      <c r="O5362"/>
    </row>
    <row r="5363" spans="15:15" hidden="1" x14ac:dyDescent="0.25">
      <c r="O5363"/>
    </row>
    <row r="5364" spans="15:15" hidden="1" x14ac:dyDescent="0.25">
      <c r="O5364"/>
    </row>
    <row r="5365" spans="15:15" hidden="1" x14ac:dyDescent="0.25">
      <c r="O5365"/>
    </row>
    <row r="5366" spans="15:15" hidden="1" x14ac:dyDescent="0.25">
      <c r="O5366"/>
    </row>
    <row r="5367" spans="15:15" hidden="1" x14ac:dyDescent="0.25">
      <c r="O5367"/>
    </row>
    <row r="5368" spans="15:15" hidden="1" x14ac:dyDescent="0.25">
      <c r="O5368"/>
    </row>
    <row r="5369" spans="15:15" hidden="1" x14ac:dyDescent="0.25">
      <c r="O5369"/>
    </row>
    <row r="5370" spans="15:15" hidden="1" x14ac:dyDescent="0.25">
      <c r="O5370"/>
    </row>
    <row r="5371" spans="15:15" hidden="1" x14ac:dyDescent="0.25">
      <c r="O5371"/>
    </row>
    <row r="5372" spans="15:15" hidden="1" x14ac:dyDescent="0.25">
      <c r="O5372"/>
    </row>
    <row r="5373" spans="15:15" hidden="1" x14ac:dyDescent="0.25">
      <c r="O5373"/>
    </row>
    <row r="5374" spans="15:15" hidden="1" x14ac:dyDescent="0.25">
      <c r="O5374"/>
    </row>
    <row r="5375" spans="15:15" hidden="1" x14ac:dyDescent="0.25">
      <c r="O5375"/>
    </row>
    <row r="5376" spans="15:15" hidden="1" x14ac:dyDescent="0.25">
      <c r="O5376"/>
    </row>
    <row r="5377" spans="15:15" hidden="1" x14ac:dyDescent="0.25">
      <c r="O5377"/>
    </row>
    <row r="5378" spans="15:15" hidden="1" x14ac:dyDescent="0.25">
      <c r="O5378"/>
    </row>
    <row r="5379" spans="15:15" hidden="1" x14ac:dyDescent="0.25">
      <c r="O5379"/>
    </row>
    <row r="5380" spans="15:15" hidden="1" x14ac:dyDescent="0.25">
      <c r="O5380"/>
    </row>
    <row r="5381" spans="15:15" hidden="1" x14ac:dyDescent="0.25">
      <c r="O5381"/>
    </row>
    <row r="5382" spans="15:15" hidden="1" x14ac:dyDescent="0.25">
      <c r="O5382"/>
    </row>
    <row r="5383" spans="15:15" hidden="1" x14ac:dyDescent="0.25">
      <c r="O5383"/>
    </row>
    <row r="5384" spans="15:15" hidden="1" x14ac:dyDescent="0.25">
      <c r="O5384"/>
    </row>
    <row r="5385" spans="15:15" hidden="1" x14ac:dyDescent="0.25">
      <c r="O5385"/>
    </row>
    <row r="5386" spans="15:15" hidden="1" x14ac:dyDescent="0.25">
      <c r="O5386"/>
    </row>
    <row r="5387" spans="15:15" hidden="1" x14ac:dyDescent="0.25">
      <c r="O5387"/>
    </row>
    <row r="5388" spans="15:15" hidden="1" x14ac:dyDescent="0.25">
      <c r="O5388"/>
    </row>
    <row r="5389" spans="15:15" hidden="1" x14ac:dyDescent="0.25">
      <c r="O5389"/>
    </row>
    <row r="5390" spans="15:15" hidden="1" x14ac:dyDescent="0.25">
      <c r="O5390"/>
    </row>
    <row r="5391" spans="15:15" hidden="1" x14ac:dyDescent="0.25">
      <c r="O5391"/>
    </row>
    <row r="5392" spans="15:15" hidden="1" x14ac:dyDescent="0.25">
      <c r="O5392"/>
    </row>
    <row r="5393" spans="15:15" hidden="1" x14ac:dyDescent="0.25">
      <c r="O5393"/>
    </row>
    <row r="5394" spans="15:15" hidden="1" x14ac:dyDescent="0.25">
      <c r="O5394"/>
    </row>
    <row r="5395" spans="15:15" hidden="1" x14ac:dyDescent="0.25">
      <c r="O5395"/>
    </row>
    <row r="5396" spans="15:15" hidden="1" x14ac:dyDescent="0.25">
      <c r="O5396"/>
    </row>
    <row r="5397" spans="15:15" hidden="1" x14ac:dyDescent="0.25">
      <c r="O5397"/>
    </row>
    <row r="5398" spans="15:15" hidden="1" x14ac:dyDescent="0.25">
      <c r="O5398"/>
    </row>
    <row r="5399" spans="15:15" hidden="1" x14ac:dyDescent="0.25">
      <c r="O5399"/>
    </row>
    <row r="5400" spans="15:15" hidden="1" x14ac:dyDescent="0.25">
      <c r="O5400"/>
    </row>
    <row r="5401" spans="15:15" hidden="1" x14ac:dyDescent="0.25">
      <c r="O5401"/>
    </row>
    <row r="5402" spans="15:15" hidden="1" x14ac:dyDescent="0.25">
      <c r="O5402"/>
    </row>
    <row r="5403" spans="15:15" hidden="1" x14ac:dyDescent="0.25">
      <c r="O5403"/>
    </row>
    <row r="5404" spans="15:15" hidden="1" x14ac:dyDescent="0.25">
      <c r="O5404"/>
    </row>
    <row r="5405" spans="15:15" hidden="1" x14ac:dyDescent="0.25">
      <c r="O5405"/>
    </row>
    <row r="5406" spans="15:15" hidden="1" x14ac:dyDescent="0.25">
      <c r="O5406"/>
    </row>
    <row r="5407" spans="15:15" hidden="1" x14ac:dyDescent="0.25">
      <c r="O5407"/>
    </row>
    <row r="5408" spans="15:15" hidden="1" x14ac:dyDescent="0.25">
      <c r="O5408"/>
    </row>
    <row r="5409" spans="15:15" hidden="1" x14ac:dyDescent="0.25">
      <c r="O5409"/>
    </row>
    <row r="5410" spans="15:15" hidden="1" x14ac:dyDescent="0.25">
      <c r="O5410"/>
    </row>
    <row r="5411" spans="15:15" hidden="1" x14ac:dyDescent="0.25">
      <c r="O5411"/>
    </row>
    <row r="5412" spans="15:15" hidden="1" x14ac:dyDescent="0.25">
      <c r="O5412"/>
    </row>
    <row r="5413" spans="15:15" hidden="1" x14ac:dyDescent="0.25">
      <c r="O5413"/>
    </row>
    <row r="5414" spans="15:15" hidden="1" x14ac:dyDescent="0.25">
      <c r="O5414"/>
    </row>
    <row r="5415" spans="15:15" hidden="1" x14ac:dyDescent="0.25">
      <c r="O5415"/>
    </row>
    <row r="5416" spans="15:15" hidden="1" x14ac:dyDescent="0.25">
      <c r="O5416"/>
    </row>
    <row r="5417" spans="15:15" hidden="1" x14ac:dyDescent="0.25">
      <c r="O5417"/>
    </row>
    <row r="5418" spans="15:15" hidden="1" x14ac:dyDescent="0.25">
      <c r="O5418"/>
    </row>
    <row r="5419" spans="15:15" hidden="1" x14ac:dyDescent="0.25">
      <c r="O5419"/>
    </row>
    <row r="5420" spans="15:15" hidden="1" x14ac:dyDescent="0.25">
      <c r="O5420"/>
    </row>
    <row r="5421" spans="15:15" hidden="1" x14ac:dyDescent="0.25">
      <c r="O5421"/>
    </row>
    <row r="5422" spans="15:15" hidden="1" x14ac:dyDescent="0.25">
      <c r="O5422"/>
    </row>
    <row r="5423" spans="15:15" hidden="1" x14ac:dyDescent="0.25">
      <c r="O5423"/>
    </row>
    <row r="5424" spans="15:15" hidden="1" x14ac:dyDescent="0.25">
      <c r="O5424"/>
    </row>
    <row r="5425" spans="15:15" hidden="1" x14ac:dyDescent="0.25">
      <c r="O5425"/>
    </row>
    <row r="5426" spans="15:15" hidden="1" x14ac:dyDescent="0.25">
      <c r="O5426"/>
    </row>
    <row r="5427" spans="15:15" hidden="1" x14ac:dyDescent="0.25">
      <c r="O5427"/>
    </row>
    <row r="5428" spans="15:15" hidden="1" x14ac:dyDescent="0.25">
      <c r="O5428"/>
    </row>
    <row r="5429" spans="15:15" hidden="1" x14ac:dyDescent="0.25">
      <c r="O5429"/>
    </row>
    <row r="5430" spans="15:15" hidden="1" x14ac:dyDescent="0.25">
      <c r="O5430"/>
    </row>
    <row r="5431" spans="15:15" hidden="1" x14ac:dyDescent="0.25">
      <c r="O5431"/>
    </row>
    <row r="5432" spans="15:15" hidden="1" x14ac:dyDescent="0.25">
      <c r="O5432"/>
    </row>
    <row r="5433" spans="15:15" hidden="1" x14ac:dyDescent="0.25">
      <c r="O5433"/>
    </row>
    <row r="5434" spans="15:15" hidden="1" x14ac:dyDescent="0.25">
      <c r="O5434"/>
    </row>
    <row r="5435" spans="15:15" hidden="1" x14ac:dyDescent="0.25">
      <c r="O5435"/>
    </row>
    <row r="5436" spans="15:15" hidden="1" x14ac:dyDescent="0.25">
      <c r="O5436"/>
    </row>
    <row r="5437" spans="15:15" hidden="1" x14ac:dyDescent="0.25">
      <c r="O5437"/>
    </row>
    <row r="5438" spans="15:15" hidden="1" x14ac:dyDescent="0.25">
      <c r="O5438"/>
    </row>
    <row r="5439" spans="15:15" hidden="1" x14ac:dyDescent="0.25">
      <c r="O5439"/>
    </row>
    <row r="5440" spans="15:15" hidden="1" x14ac:dyDescent="0.25">
      <c r="O5440"/>
    </row>
    <row r="5441" spans="15:15" hidden="1" x14ac:dyDescent="0.25">
      <c r="O5441"/>
    </row>
    <row r="5442" spans="15:15" hidden="1" x14ac:dyDescent="0.25">
      <c r="O5442"/>
    </row>
    <row r="5443" spans="15:15" hidden="1" x14ac:dyDescent="0.25">
      <c r="O5443"/>
    </row>
    <row r="5444" spans="15:15" hidden="1" x14ac:dyDescent="0.25">
      <c r="O5444"/>
    </row>
    <row r="5445" spans="15:15" hidden="1" x14ac:dyDescent="0.25">
      <c r="O5445"/>
    </row>
    <row r="5446" spans="15:15" hidden="1" x14ac:dyDescent="0.25">
      <c r="O5446"/>
    </row>
    <row r="5447" spans="15:15" hidden="1" x14ac:dyDescent="0.25">
      <c r="O5447"/>
    </row>
    <row r="5448" spans="15:15" hidden="1" x14ac:dyDescent="0.25">
      <c r="O5448"/>
    </row>
    <row r="5449" spans="15:15" hidden="1" x14ac:dyDescent="0.25">
      <c r="O5449"/>
    </row>
    <row r="5450" spans="15:15" hidden="1" x14ac:dyDescent="0.25">
      <c r="O5450"/>
    </row>
    <row r="5451" spans="15:15" hidden="1" x14ac:dyDescent="0.25">
      <c r="O5451"/>
    </row>
    <row r="5452" spans="15:15" hidden="1" x14ac:dyDescent="0.25">
      <c r="O5452"/>
    </row>
    <row r="5453" spans="15:15" hidden="1" x14ac:dyDescent="0.25">
      <c r="O5453"/>
    </row>
    <row r="5454" spans="15:15" hidden="1" x14ac:dyDescent="0.25">
      <c r="O5454"/>
    </row>
    <row r="5455" spans="15:15" hidden="1" x14ac:dyDescent="0.25">
      <c r="O5455"/>
    </row>
    <row r="5456" spans="15:15" hidden="1" x14ac:dyDescent="0.25">
      <c r="O5456"/>
    </row>
    <row r="5457" spans="15:15" hidden="1" x14ac:dyDescent="0.25">
      <c r="O5457"/>
    </row>
    <row r="5458" spans="15:15" hidden="1" x14ac:dyDescent="0.25">
      <c r="O5458"/>
    </row>
    <row r="5459" spans="15:15" hidden="1" x14ac:dyDescent="0.25">
      <c r="O5459"/>
    </row>
    <row r="5460" spans="15:15" hidden="1" x14ac:dyDescent="0.25">
      <c r="O5460"/>
    </row>
    <row r="5461" spans="15:15" hidden="1" x14ac:dyDescent="0.25">
      <c r="O5461"/>
    </row>
    <row r="5462" spans="15:15" hidden="1" x14ac:dyDescent="0.25">
      <c r="O5462"/>
    </row>
    <row r="5463" spans="15:15" hidden="1" x14ac:dyDescent="0.25">
      <c r="O5463"/>
    </row>
    <row r="5464" spans="15:15" hidden="1" x14ac:dyDescent="0.25">
      <c r="O5464"/>
    </row>
    <row r="5465" spans="15:15" hidden="1" x14ac:dyDescent="0.25">
      <c r="O5465"/>
    </row>
    <row r="5466" spans="15:15" hidden="1" x14ac:dyDescent="0.25">
      <c r="O5466"/>
    </row>
    <row r="5467" spans="15:15" hidden="1" x14ac:dyDescent="0.25">
      <c r="O5467"/>
    </row>
    <row r="5468" spans="15:15" hidden="1" x14ac:dyDescent="0.25">
      <c r="O5468"/>
    </row>
    <row r="5469" spans="15:15" hidden="1" x14ac:dyDescent="0.25">
      <c r="O5469"/>
    </row>
    <row r="5470" spans="15:15" hidden="1" x14ac:dyDescent="0.25">
      <c r="O5470"/>
    </row>
    <row r="5471" spans="15:15" hidden="1" x14ac:dyDescent="0.25">
      <c r="O5471"/>
    </row>
    <row r="5472" spans="15:15" hidden="1" x14ac:dyDescent="0.25">
      <c r="O5472"/>
    </row>
    <row r="5473" spans="15:15" hidden="1" x14ac:dyDescent="0.25">
      <c r="O5473"/>
    </row>
    <row r="5474" spans="15:15" hidden="1" x14ac:dyDescent="0.25">
      <c r="O5474"/>
    </row>
    <row r="5475" spans="15:15" hidden="1" x14ac:dyDescent="0.25">
      <c r="O5475"/>
    </row>
    <row r="5476" spans="15:15" hidden="1" x14ac:dyDescent="0.25">
      <c r="O5476"/>
    </row>
    <row r="5477" spans="15:15" hidden="1" x14ac:dyDescent="0.25">
      <c r="O5477"/>
    </row>
    <row r="5478" spans="15:15" hidden="1" x14ac:dyDescent="0.25">
      <c r="O5478"/>
    </row>
    <row r="5479" spans="15:15" hidden="1" x14ac:dyDescent="0.25">
      <c r="O5479"/>
    </row>
    <row r="5480" spans="15:15" hidden="1" x14ac:dyDescent="0.25">
      <c r="O5480"/>
    </row>
    <row r="5481" spans="15:15" hidden="1" x14ac:dyDescent="0.25">
      <c r="O5481"/>
    </row>
    <row r="5482" spans="15:15" hidden="1" x14ac:dyDescent="0.25">
      <c r="O5482"/>
    </row>
    <row r="5483" spans="15:15" hidden="1" x14ac:dyDescent="0.25">
      <c r="O5483"/>
    </row>
    <row r="5484" spans="15:15" hidden="1" x14ac:dyDescent="0.25">
      <c r="O5484"/>
    </row>
    <row r="5485" spans="15:15" hidden="1" x14ac:dyDescent="0.25">
      <c r="O5485"/>
    </row>
    <row r="5486" spans="15:15" hidden="1" x14ac:dyDescent="0.25">
      <c r="O5486"/>
    </row>
    <row r="5487" spans="15:15" hidden="1" x14ac:dyDescent="0.25">
      <c r="O5487"/>
    </row>
    <row r="5488" spans="15:15" hidden="1" x14ac:dyDescent="0.25">
      <c r="O5488"/>
    </row>
    <row r="5489" spans="15:15" hidden="1" x14ac:dyDescent="0.25">
      <c r="O5489"/>
    </row>
    <row r="5490" spans="15:15" hidden="1" x14ac:dyDescent="0.25">
      <c r="O5490"/>
    </row>
    <row r="5491" spans="15:15" hidden="1" x14ac:dyDescent="0.25">
      <c r="O5491"/>
    </row>
    <row r="5492" spans="15:15" hidden="1" x14ac:dyDescent="0.25">
      <c r="O5492"/>
    </row>
    <row r="5493" spans="15:15" hidden="1" x14ac:dyDescent="0.25">
      <c r="O5493"/>
    </row>
    <row r="5494" spans="15:15" hidden="1" x14ac:dyDescent="0.25">
      <c r="O5494"/>
    </row>
    <row r="5495" spans="15:15" hidden="1" x14ac:dyDescent="0.25">
      <c r="O5495"/>
    </row>
    <row r="5496" spans="15:15" hidden="1" x14ac:dyDescent="0.25">
      <c r="O5496"/>
    </row>
    <row r="5497" spans="15:15" hidden="1" x14ac:dyDescent="0.25">
      <c r="O5497"/>
    </row>
    <row r="5498" spans="15:15" hidden="1" x14ac:dyDescent="0.25">
      <c r="O5498"/>
    </row>
    <row r="5499" spans="15:15" hidden="1" x14ac:dyDescent="0.25">
      <c r="O5499"/>
    </row>
    <row r="5500" spans="15:15" hidden="1" x14ac:dyDescent="0.25">
      <c r="O5500"/>
    </row>
    <row r="5501" spans="15:15" hidden="1" x14ac:dyDescent="0.25">
      <c r="O5501"/>
    </row>
    <row r="5502" spans="15:15" hidden="1" x14ac:dyDescent="0.25">
      <c r="O5502"/>
    </row>
    <row r="5503" spans="15:15" hidden="1" x14ac:dyDescent="0.25">
      <c r="O5503"/>
    </row>
    <row r="5504" spans="15:15" hidden="1" x14ac:dyDescent="0.25">
      <c r="O5504"/>
    </row>
    <row r="5505" spans="15:15" hidden="1" x14ac:dyDescent="0.25">
      <c r="O5505"/>
    </row>
    <row r="5506" spans="15:15" hidden="1" x14ac:dyDescent="0.25">
      <c r="O5506"/>
    </row>
    <row r="5507" spans="15:15" hidden="1" x14ac:dyDescent="0.25">
      <c r="O5507"/>
    </row>
    <row r="5508" spans="15:15" hidden="1" x14ac:dyDescent="0.25">
      <c r="O5508"/>
    </row>
    <row r="5509" spans="15:15" hidden="1" x14ac:dyDescent="0.25">
      <c r="O5509"/>
    </row>
    <row r="5510" spans="15:15" hidden="1" x14ac:dyDescent="0.25">
      <c r="O5510"/>
    </row>
    <row r="5511" spans="15:15" hidden="1" x14ac:dyDescent="0.25">
      <c r="O5511"/>
    </row>
    <row r="5512" spans="15:15" hidden="1" x14ac:dyDescent="0.25">
      <c r="O5512"/>
    </row>
    <row r="5513" spans="15:15" hidden="1" x14ac:dyDescent="0.25">
      <c r="O5513"/>
    </row>
    <row r="5514" spans="15:15" hidden="1" x14ac:dyDescent="0.25">
      <c r="O5514"/>
    </row>
    <row r="5515" spans="15:15" hidden="1" x14ac:dyDescent="0.25">
      <c r="O5515"/>
    </row>
    <row r="5516" spans="15:15" hidden="1" x14ac:dyDescent="0.25">
      <c r="O5516"/>
    </row>
    <row r="5517" spans="15:15" hidden="1" x14ac:dyDescent="0.25">
      <c r="O5517"/>
    </row>
    <row r="5518" spans="15:15" hidden="1" x14ac:dyDescent="0.25">
      <c r="O5518"/>
    </row>
    <row r="5519" spans="15:15" hidden="1" x14ac:dyDescent="0.25">
      <c r="O5519"/>
    </row>
    <row r="5520" spans="15:15" hidden="1" x14ac:dyDescent="0.25">
      <c r="O5520"/>
    </row>
    <row r="5521" spans="15:15" hidden="1" x14ac:dyDescent="0.25">
      <c r="O5521"/>
    </row>
    <row r="5522" spans="15:15" hidden="1" x14ac:dyDescent="0.25">
      <c r="O5522"/>
    </row>
    <row r="5523" spans="15:15" hidden="1" x14ac:dyDescent="0.25">
      <c r="O5523"/>
    </row>
    <row r="5524" spans="15:15" hidden="1" x14ac:dyDescent="0.25">
      <c r="O5524"/>
    </row>
    <row r="5525" spans="15:15" hidden="1" x14ac:dyDescent="0.25">
      <c r="O5525"/>
    </row>
    <row r="5526" spans="15:15" hidden="1" x14ac:dyDescent="0.25">
      <c r="O5526"/>
    </row>
    <row r="5527" spans="15:15" hidden="1" x14ac:dyDescent="0.25">
      <c r="O5527"/>
    </row>
    <row r="5528" spans="15:15" hidden="1" x14ac:dyDescent="0.25">
      <c r="O5528"/>
    </row>
    <row r="5529" spans="15:15" hidden="1" x14ac:dyDescent="0.25">
      <c r="O5529"/>
    </row>
    <row r="5530" spans="15:15" hidden="1" x14ac:dyDescent="0.25">
      <c r="O5530"/>
    </row>
    <row r="5531" spans="15:15" hidden="1" x14ac:dyDescent="0.25">
      <c r="O5531"/>
    </row>
    <row r="5532" spans="15:15" hidden="1" x14ac:dyDescent="0.25">
      <c r="O5532"/>
    </row>
    <row r="5533" spans="15:15" hidden="1" x14ac:dyDescent="0.25">
      <c r="O5533"/>
    </row>
    <row r="5534" spans="15:15" hidden="1" x14ac:dyDescent="0.25">
      <c r="O5534"/>
    </row>
    <row r="5535" spans="15:15" hidden="1" x14ac:dyDescent="0.25">
      <c r="O5535"/>
    </row>
    <row r="5536" spans="15:15" hidden="1" x14ac:dyDescent="0.25">
      <c r="O5536"/>
    </row>
    <row r="5537" spans="15:15" hidden="1" x14ac:dyDescent="0.25">
      <c r="O5537"/>
    </row>
    <row r="5538" spans="15:15" hidden="1" x14ac:dyDescent="0.25">
      <c r="O5538"/>
    </row>
    <row r="5539" spans="15:15" hidden="1" x14ac:dyDescent="0.25">
      <c r="O5539"/>
    </row>
    <row r="5540" spans="15:15" hidden="1" x14ac:dyDescent="0.25">
      <c r="O5540"/>
    </row>
    <row r="5541" spans="15:15" hidden="1" x14ac:dyDescent="0.25">
      <c r="O5541"/>
    </row>
    <row r="5542" spans="15:15" hidden="1" x14ac:dyDescent="0.25">
      <c r="O5542"/>
    </row>
    <row r="5543" spans="15:15" hidden="1" x14ac:dyDescent="0.25">
      <c r="O5543"/>
    </row>
    <row r="5544" spans="15:15" hidden="1" x14ac:dyDescent="0.25">
      <c r="O5544"/>
    </row>
    <row r="5545" spans="15:15" hidden="1" x14ac:dyDescent="0.25">
      <c r="O5545"/>
    </row>
    <row r="5546" spans="15:15" hidden="1" x14ac:dyDescent="0.25">
      <c r="O5546"/>
    </row>
    <row r="5547" spans="15:15" hidden="1" x14ac:dyDescent="0.25">
      <c r="O5547"/>
    </row>
    <row r="5548" spans="15:15" hidden="1" x14ac:dyDescent="0.25">
      <c r="O5548"/>
    </row>
    <row r="5549" spans="15:15" hidden="1" x14ac:dyDescent="0.25">
      <c r="O5549"/>
    </row>
    <row r="5550" spans="15:15" hidden="1" x14ac:dyDescent="0.25">
      <c r="O5550"/>
    </row>
    <row r="5551" spans="15:15" hidden="1" x14ac:dyDescent="0.25">
      <c r="O5551"/>
    </row>
    <row r="5552" spans="15:15" hidden="1" x14ac:dyDescent="0.25">
      <c r="O5552"/>
    </row>
    <row r="5553" spans="15:15" hidden="1" x14ac:dyDescent="0.25">
      <c r="O5553"/>
    </row>
    <row r="5554" spans="15:15" hidden="1" x14ac:dyDescent="0.25">
      <c r="O5554"/>
    </row>
    <row r="5555" spans="15:15" hidden="1" x14ac:dyDescent="0.25">
      <c r="O5555"/>
    </row>
    <row r="5556" spans="15:15" hidden="1" x14ac:dyDescent="0.25">
      <c r="O5556"/>
    </row>
    <row r="5557" spans="15:15" hidden="1" x14ac:dyDescent="0.25">
      <c r="O5557"/>
    </row>
    <row r="5558" spans="15:15" hidden="1" x14ac:dyDescent="0.25">
      <c r="O5558"/>
    </row>
    <row r="5559" spans="15:15" hidden="1" x14ac:dyDescent="0.25">
      <c r="O5559"/>
    </row>
    <row r="5560" spans="15:15" hidden="1" x14ac:dyDescent="0.25">
      <c r="O5560"/>
    </row>
    <row r="5561" spans="15:15" hidden="1" x14ac:dyDescent="0.25">
      <c r="O5561"/>
    </row>
    <row r="5562" spans="15:15" hidden="1" x14ac:dyDescent="0.25">
      <c r="O5562"/>
    </row>
    <row r="5563" spans="15:15" hidden="1" x14ac:dyDescent="0.25">
      <c r="O5563"/>
    </row>
    <row r="5564" spans="15:15" hidden="1" x14ac:dyDescent="0.25">
      <c r="O5564"/>
    </row>
    <row r="5565" spans="15:15" hidden="1" x14ac:dyDescent="0.25">
      <c r="O5565"/>
    </row>
    <row r="5566" spans="15:15" hidden="1" x14ac:dyDescent="0.25">
      <c r="O5566"/>
    </row>
    <row r="5567" spans="15:15" hidden="1" x14ac:dyDescent="0.25">
      <c r="O5567"/>
    </row>
    <row r="5568" spans="15:15" hidden="1" x14ac:dyDescent="0.25">
      <c r="O5568"/>
    </row>
    <row r="5569" spans="15:15" hidden="1" x14ac:dyDescent="0.25">
      <c r="O5569"/>
    </row>
    <row r="5570" spans="15:15" hidden="1" x14ac:dyDescent="0.25">
      <c r="O5570"/>
    </row>
    <row r="5571" spans="15:15" hidden="1" x14ac:dyDescent="0.25">
      <c r="O5571"/>
    </row>
    <row r="5572" spans="15:15" hidden="1" x14ac:dyDescent="0.25">
      <c r="O5572"/>
    </row>
    <row r="5573" spans="15:15" hidden="1" x14ac:dyDescent="0.25">
      <c r="O5573"/>
    </row>
    <row r="5574" spans="15:15" hidden="1" x14ac:dyDescent="0.25">
      <c r="O5574"/>
    </row>
    <row r="5575" spans="15:15" hidden="1" x14ac:dyDescent="0.25">
      <c r="O5575"/>
    </row>
    <row r="5576" spans="15:15" hidden="1" x14ac:dyDescent="0.25">
      <c r="O5576"/>
    </row>
    <row r="5577" spans="15:15" hidden="1" x14ac:dyDescent="0.25">
      <c r="O5577"/>
    </row>
    <row r="5578" spans="15:15" hidden="1" x14ac:dyDescent="0.25">
      <c r="O5578"/>
    </row>
    <row r="5579" spans="15:15" hidden="1" x14ac:dyDescent="0.25">
      <c r="O5579"/>
    </row>
    <row r="5580" spans="15:15" hidden="1" x14ac:dyDescent="0.25">
      <c r="O5580"/>
    </row>
    <row r="5581" spans="15:15" hidden="1" x14ac:dyDescent="0.25">
      <c r="O5581"/>
    </row>
    <row r="5582" spans="15:15" hidden="1" x14ac:dyDescent="0.25">
      <c r="O5582"/>
    </row>
    <row r="5583" spans="15:15" hidden="1" x14ac:dyDescent="0.25">
      <c r="O5583"/>
    </row>
    <row r="5584" spans="15:15" hidden="1" x14ac:dyDescent="0.25">
      <c r="O5584"/>
    </row>
    <row r="5585" spans="15:15" hidden="1" x14ac:dyDescent="0.25">
      <c r="O5585"/>
    </row>
    <row r="5586" spans="15:15" hidden="1" x14ac:dyDescent="0.25">
      <c r="O5586"/>
    </row>
    <row r="5587" spans="15:15" hidden="1" x14ac:dyDescent="0.25">
      <c r="O5587"/>
    </row>
    <row r="5588" spans="15:15" hidden="1" x14ac:dyDescent="0.25">
      <c r="O5588"/>
    </row>
    <row r="5589" spans="15:15" hidden="1" x14ac:dyDescent="0.25">
      <c r="O5589"/>
    </row>
    <row r="5590" spans="15:15" hidden="1" x14ac:dyDescent="0.25">
      <c r="O5590"/>
    </row>
    <row r="5591" spans="15:15" hidden="1" x14ac:dyDescent="0.25">
      <c r="O5591"/>
    </row>
    <row r="5592" spans="15:15" hidden="1" x14ac:dyDescent="0.25">
      <c r="O5592"/>
    </row>
    <row r="5593" spans="15:15" hidden="1" x14ac:dyDescent="0.25">
      <c r="O5593"/>
    </row>
    <row r="5594" spans="15:15" hidden="1" x14ac:dyDescent="0.25">
      <c r="O5594"/>
    </row>
    <row r="5595" spans="15:15" hidden="1" x14ac:dyDescent="0.25">
      <c r="O5595"/>
    </row>
    <row r="5596" spans="15:15" hidden="1" x14ac:dyDescent="0.25">
      <c r="O5596"/>
    </row>
    <row r="5597" spans="15:15" hidden="1" x14ac:dyDescent="0.25">
      <c r="O5597"/>
    </row>
    <row r="5598" spans="15:15" hidden="1" x14ac:dyDescent="0.25">
      <c r="O5598"/>
    </row>
    <row r="5599" spans="15:15" hidden="1" x14ac:dyDescent="0.25">
      <c r="O5599"/>
    </row>
    <row r="5600" spans="15:15" hidden="1" x14ac:dyDescent="0.25">
      <c r="O5600"/>
    </row>
    <row r="5601" spans="15:15" hidden="1" x14ac:dyDescent="0.25">
      <c r="O5601"/>
    </row>
    <row r="5602" spans="15:15" hidden="1" x14ac:dyDescent="0.25">
      <c r="O5602"/>
    </row>
    <row r="5603" spans="15:15" hidden="1" x14ac:dyDescent="0.25">
      <c r="O5603"/>
    </row>
    <row r="5604" spans="15:15" hidden="1" x14ac:dyDescent="0.25">
      <c r="O5604"/>
    </row>
    <row r="5605" spans="15:15" hidden="1" x14ac:dyDescent="0.25">
      <c r="O5605"/>
    </row>
    <row r="5606" spans="15:15" hidden="1" x14ac:dyDescent="0.25">
      <c r="O5606"/>
    </row>
    <row r="5607" spans="15:15" hidden="1" x14ac:dyDescent="0.25">
      <c r="O5607"/>
    </row>
    <row r="5608" spans="15:15" hidden="1" x14ac:dyDescent="0.25">
      <c r="O5608"/>
    </row>
    <row r="5609" spans="15:15" hidden="1" x14ac:dyDescent="0.25">
      <c r="O5609"/>
    </row>
    <row r="5610" spans="15:15" hidden="1" x14ac:dyDescent="0.25">
      <c r="O5610"/>
    </row>
    <row r="5611" spans="15:15" hidden="1" x14ac:dyDescent="0.25">
      <c r="O5611"/>
    </row>
    <row r="5612" spans="15:15" hidden="1" x14ac:dyDescent="0.25">
      <c r="O5612"/>
    </row>
    <row r="5613" spans="15:15" hidden="1" x14ac:dyDescent="0.25">
      <c r="O5613"/>
    </row>
    <row r="5614" spans="15:15" hidden="1" x14ac:dyDescent="0.25">
      <c r="O5614"/>
    </row>
    <row r="5615" spans="15:15" hidden="1" x14ac:dyDescent="0.25">
      <c r="O5615"/>
    </row>
    <row r="5616" spans="15:15" hidden="1" x14ac:dyDescent="0.25">
      <c r="O5616"/>
    </row>
    <row r="5617" spans="15:15" hidden="1" x14ac:dyDescent="0.25">
      <c r="O5617"/>
    </row>
    <row r="5618" spans="15:15" hidden="1" x14ac:dyDescent="0.25">
      <c r="O5618"/>
    </row>
    <row r="5619" spans="15:15" hidden="1" x14ac:dyDescent="0.25">
      <c r="O5619"/>
    </row>
    <row r="5620" spans="15:15" hidden="1" x14ac:dyDescent="0.25">
      <c r="O5620"/>
    </row>
    <row r="5621" spans="15:15" hidden="1" x14ac:dyDescent="0.25">
      <c r="O5621"/>
    </row>
    <row r="5622" spans="15:15" hidden="1" x14ac:dyDescent="0.25">
      <c r="O5622"/>
    </row>
    <row r="5623" spans="15:15" hidden="1" x14ac:dyDescent="0.25">
      <c r="O5623"/>
    </row>
    <row r="5624" spans="15:15" hidden="1" x14ac:dyDescent="0.25">
      <c r="O5624"/>
    </row>
    <row r="5625" spans="15:15" hidden="1" x14ac:dyDescent="0.25">
      <c r="O5625"/>
    </row>
    <row r="5626" spans="15:15" hidden="1" x14ac:dyDescent="0.25">
      <c r="O5626"/>
    </row>
    <row r="5627" spans="15:15" hidden="1" x14ac:dyDescent="0.25">
      <c r="O5627"/>
    </row>
    <row r="5628" spans="15:15" hidden="1" x14ac:dyDescent="0.25">
      <c r="O5628"/>
    </row>
    <row r="5629" spans="15:15" hidden="1" x14ac:dyDescent="0.25">
      <c r="O5629"/>
    </row>
    <row r="5630" spans="15:15" hidden="1" x14ac:dyDescent="0.25">
      <c r="O5630"/>
    </row>
    <row r="5631" spans="15:15" hidden="1" x14ac:dyDescent="0.25">
      <c r="O5631"/>
    </row>
    <row r="5632" spans="15:15" hidden="1" x14ac:dyDescent="0.25">
      <c r="O5632"/>
    </row>
    <row r="5633" spans="15:15" hidden="1" x14ac:dyDescent="0.25">
      <c r="O5633"/>
    </row>
    <row r="5634" spans="15:15" hidden="1" x14ac:dyDescent="0.25">
      <c r="O5634"/>
    </row>
    <row r="5635" spans="15:15" hidden="1" x14ac:dyDescent="0.25">
      <c r="O5635"/>
    </row>
    <row r="5636" spans="15:15" hidden="1" x14ac:dyDescent="0.25">
      <c r="O5636"/>
    </row>
    <row r="5637" spans="15:15" hidden="1" x14ac:dyDescent="0.25">
      <c r="O5637"/>
    </row>
    <row r="5638" spans="15:15" hidden="1" x14ac:dyDescent="0.25">
      <c r="O5638"/>
    </row>
    <row r="5639" spans="15:15" hidden="1" x14ac:dyDescent="0.25">
      <c r="O5639"/>
    </row>
    <row r="5640" spans="15:15" hidden="1" x14ac:dyDescent="0.25">
      <c r="O5640"/>
    </row>
    <row r="5641" spans="15:15" hidden="1" x14ac:dyDescent="0.25">
      <c r="O5641"/>
    </row>
    <row r="5642" spans="15:15" hidden="1" x14ac:dyDescent="0.25">
      <c r="O5642"/>
    </row>
    <row r="5643" spans="15:15" hidden="1" x14ac:dyDescent="0.25">
      <c r="O5643"/>
    </row>
    <row r="5644" spans="15:15" hidden="1" x14ac:dyDescent="0.25">
      <c r="O5644"/>
    </row>
    <row r="5645" spans="15:15" hidden="1" x14ac:dyDescent="0.25">
      <c r="O5645"/>
    </row>
    <row r="5646" spans="15:15" hidden="1" x14ac:dyDescent="0.25">
      <c r="O5646"/>
    </row>
    <row r="5647" spans="15:15" hidden="1" x14ac:dyDescent="0.25">
      <c r="O5647"/>
    </row>
    <row r="5648" spans="15:15" hidden="1" x14ac:dyDescent="0.25">
      <c r="O5648"/>
    </row>
    <row r="5649" spans="15:15" hidden="1" x14ac:dyDescent="0.25">
      <c r="O5649"/>
    </row>
    <row r="5650" spans="15:15" hidden="1" x14ac:dyDescent="0.25">
      <c r="O5650"/>
    </row>
    <row r="5651" spans="15:15" hidden="1" x14ac:dyDescent="0.25">
      <c r="O5651"/>
    </row>
    <row r="5652" spans="15:15" hidden="1" x14ac:dyDescent="0.25">
      <c r="O5652"/>
    </row>
    <row r="5653" spans="15:15" hidden="1" x14ac:dyDescent="0.25">
      <c r="O5653"/>
    </row>
    <row r="5654" spans="15:15" hidden="1" x14ac:dyDescent="0.25">
      <c r="O5654"/>
    </row>
    <row r="5655" spans="15:15" hidden="1" x14ac:dyDescent="0.25">
      <c r="O5655"/>
    </row>
    <row r="5656" spans="15:15" hidden="1" x14ac:dyDescent="0.25">
      <c r="O5656"/>
    </row>
    <row r="5657" spans="15:15" hidden="1" x14ac:dyDescent="0.25">
      <c r="O5657"/>
    </row>
    <row r="5658" spans="15:15" hidden="1" x14ac:dyDescent="0.25">
      <c r="O5658"/>
    </row>
    <row r="5659" spans="15:15" hidden="1" x14ac:dyDescent="0.25">
      <c r="O5659"/>
    </row>
    <row r="5660" spans="15:15" hidden="1" x14ac:dyDescent="0.25">
      <c r="O5660"/>
    </row>
    <row r="5661" spans="15:15" hidden="1" x14ac:dyDescent="0.25">
      <c r="O5661"/>
    </row>
    <row r="5662" spans="15:15" hidden="1" x14ac:dyDescent="0.25">
      <c r="O5662"/>
    </row>
    <row r="5663" spans="15:15" hidden="1" x14ac:dyDescent="0.25">
      <c r="O5663"/>
    </row>
    <row r="5664" spans="15:15" hidden="1" x14ac:dyDescent="0.25">
      <c r="O5664"/>
    </row>
    <row r="5665" spans="15:15" hidden="1" x14ac:dyDescent="0.25">
      <c r="O5665"/>
    </row>
    <row r="5666" spans="15:15" hidden="1" x14ac:dyDescent="0.25">
      <c r="O5666"/>
    </row>
    <row r="5667" spans="15:15" hidden="1" x14ac:dyDescent="0.25">
      <c r="O5667"/>
    </row>
    <row r="5668" spans="15:15" hidden="1" x14ac:dyDescent="0.25">
      <c r="O5668"/>
    </row>
    <row r="5669" spans="15:15" hidden="1" x14ac:dyDescent="0.25">
      <c r="O5669"/>
    </row>
    <row r="5670" spans="15:15" hidden="1" x14ac:dyDescent="0.25">
      <c r="O5670"/>
    </row>
    <row r="5671" spans="15:15" hidden="1" x14ac:dyDescent="0.25">
      <c r="O5671"/>
    </row>
    <row r="5672" spans="15:15" hidden="1" x14ac:dyDescent="0.25">
      <c r="O5672"/>
    </row>
    <row r="5673" spans="15:15" hidden="1" x14ac:dyDescent="0.25">
      <c r="O5673"/>
    </row>
    <row r="5674" spans="15:15" hidden="1" x14ac:dyDescent="0.25">
      <c r="O5674"/>
    </row>
    <row r="5675" spans="15:15" hidden="1" x14ac:dyDescent="0.25">
      <c r="O5675"/>
    </row>
    <row r="5676" spans="15:15" hidden="1" x14ac:dyDescent="0.25">
      <c r="O5676"/>
    </row>
    <row r="5677" spans="15:15" hidden="1" x14ac:dyDescent="0.25">
      <c r="O5677"/>
    </row>
    <row r="5678" spans="15:15" hidden="1" x14ac:dyDescent="0.25">
      <c r="O5678"/>
    </row>
    <row r="5679" spans="15:15" hidden="1" x14ac:dyDescent="0.25">
      <c r="O5679"/>
    </row>
    <row r="5680" spans="15:15" hidden="1" x14ac:dyDescent="0.25">
      <c r="O5680"/>
    </row>
    <row r="5681" spans="15:15" hidden="1" x14ac:dyDescent="0.25">
      <c r="O5681"/>
    </row>
    <row r="5682" spans="15:15" hidden="1" x14ac:dyDescent="0.25">
      <c r="O5682"/>
    </row>
    <row r="5683" spans="15:15" hidden="1" x14ac:dyDescent="0.25">
      <c r="O5683"/>
    </row>
    <row r="5684" spans="15:15" hidden="1" x14ac:dyDescent="0.25">
      <c r="O5684"/>
    </row>
    <row r="5685" spans="15:15" hidden="1" x14ac:dyDescent="0.25">
      <c r="O5685"/>
    </row>
    <row r="5686" spans="15:15" hidden="1" x14ac:dyDescent="0.25">
      <c r="O5686"/>
    </row>
    <row r="5687" spans="15:15" hidden="1" x14ac:dyDescent="0.25">
      <c r="O5687"/>
    </row>
    <row r="5688" spans="15:15" hidden="1" x14ac:dyDescent="0.25">
      <c r="O5688"/>
    </row>
    <row r="5689" spans="15:15" hidden="1" x14ac:dyDescent="0.25">
      <c r="O5689"/>
    </row>
    <row r="5690" spans="15:15" hidden="1" x14ac:dyDescent="0.25">
      <c r="O5690"/>
    </row>
    <row r="5691" spans="15:15" hidden="1" x14ac:dyDescent="0.25">
      <c r="O5691"/>
    </row>
    <row r="5692" spans="15:15" hidden="1" x14ac:dyDescent="0.25">
      <c r="O5692"/>
    </row>
    <row r="5693" spans="15:15" hidden="1" x14ac:dyDescent="0.25">
      <c r="O5693"/>
    </row>
    <row r="5694" spans="15:15" hidden="1" x14ac:dyDescent="0.25">
      <c r="O5694"/>
    </row>
    <row r="5695" spans="15:15" hidden="1" x14ac:dyDescent="0.25">
      <c r="O5695"/>
    </row>
    <row r="5696" spans="15:15" hidden="1" x14ac:dyDescent="0.25">
      <c r="O5696"/>
    </row>
    <row r="5697" spans="15:15" hidden="1" x14ac:dyDescent="0.25">
      <c r="O5697"/>
    </row>
    <row r="5698" spans="15:15" hidden="1" x14ac:dyDescent="0.25">
      <c r="O5698"/>
    </row>
    <row r="5699" spans="15:15" hidden="1" x14ac:dyDescent="0.25">
      <c r="O5699"/>
    </row>
    <row r="5700" spans="15:15" hidden="1" x14ac:dyDescent="0.25">
      <c r="O5700"/>
    </row>
    <row r="5701" spans="15:15" hidden="1" x14ac:dyDescent="0.25">
      <c r="O5701"/>
    </row>
    <row r="5702" spans="15:15" hidden="1" x14ac:dyDescent="0.25">
      <c r="O5702"/>
    </row>
    <row r="5703" spans="15:15" hidden="1" x14ac:dyDescent="0.25">
      <c r="O5703"/>
    </row>
    <row r="5704" spans="15:15" hidden="1" x14ac:dyDescent="0.25">
      <c r="O5704"/>
    </row>
    <row r="5705" spans="15:15" hidden="1" x14ac:dyDescent="0.25">
      <c r="O5705"/>
    </row>
    <row r="5706" spans="15:15" hidden="1" x14ac:dyDescent="0.25">
      <c r="O5706"/>
    </row>
    <row r="5707" spans="15:15" hidden="1" x14ac:dyDescent="0.25">
      <c r="O5707"/>
    </row>
    <row r="5708" spans="15:15" hidden="1" x14ac:dyDescent="0.25">
      <c r="O5708"/>
    </row>
    <row r="5709" spans="15:15" hidden="1" x14ac:dyDescent="0.25">
      <c r="O5709"/>
    </row>
    <row r="5710" spans="15:15" hidden="1" x14ac:dyDescent="0.25">
      <c r="O5710"/>
    </row>
    <row r="5711" spans="15:15" hidden="1" x14ac:dyDescent="0.25">
      <c r="O5711"/>
    </row>
    <row r="5712" spans="15:15" hidden="1" x14ac:dyDescent="0.25">
      <c r="O5712"/>
    </row>
    <row r="5713" spans="15:15" hidden="1" x14ac:dyDescent="0.25">
      <c r="O5713"/>
    </row>
    <row r="5714" spans="15:15" hidden="1" x14ac:dyDescent="0.25">
      <c r="O5714"/>
    </row>
    <row r="5715" spans="15:15" hidden="1" x14ac:dyDescent="0.25">
      <c r="O5715"/>
    </row>
    <row r="5716" spans="15:15" hidden="1" x14ac:dyDescent="0.25">
      <c r="O5716"/>
    </row>
    <row r="5717" spans="15:15" hidden="1" x14ac:dyDescent="0.25">
      <c r="O5717"/>
    </row>
  </sheetData>
  <sheetProtection selectLockedCells="1"/>
  <mergeCells count="21">
    <mergeCell ref="K45:K48"/>
    <mergeCell ref="K32:K34"/>
    <mergeCell ref="K36:K39"/>
    <mergeCell ref="K12:K14"/>
    <mergeCell ref="K16:K19"/>
    <mergeCell ref="B31:I31"/>
    <mergeCell ref="B32:I32"/>
    <mergeCell ref="A29:I29"/>
    <mergeCell ref="B30:I30"/>
    <mergeCell ref="AF2:AG2"/>
    <mergeCell ref="K3:K5"/>
    <mergeCell ref="K7:K9"/>
    <mergeCell ref="H2:I2"/>
    <mergeCell ref="H3:I3"/>
    <mergeCell ref="H4:I4"/>
    <mergeCell ref="L2:M2"/>
    <mergeCell ref="L21:M21"/>
    <mergeCell ref="K22:K24"/>
    <mergeCell ref="K26:K29"/>
    <mergeCell ref="L31:M31"/>
    <mergeCell ref="L11:M11"/>
  </mergeCells>
  <conditionalFormatting sqref="AV7:AV31">
    <cfRule type="duplicateValues" dxfId="29" priority="14"/>
  </conditionalFormatting>
  <conditionalFormatting sqref="AV7:AV31">
    <cfRule type="duplicateValues" dxfId="28" priority="13"/>
  </conditionalFormatting>
  <conditionalFormatting sqref="AV4:AV31">
    <cfRule type="duplicateValues" dxfId="27" priority="12"/>
  </conditionalFormatting>
  <conditionalFormatting sqref="BF2">
    <cfRule type="duplicateValues" dxfId="26" priority="11"/>
  </conditionalFormatting>
  <conditionalFormatting sqref="BF7:BF31">
    <cfRule type="duplicateValues" dxfId="25" priority="10"/>
  </conditionalFormatting>
  <conditionalFormatting sqref="BF7:BF31">
    <cfRule type="duplicateValues" dxfId="24" priority="9"/>
  </conditionalFormatting>
  <conditionalFormatting sqref="BP2:BP3">
    <cfRule type="duplicateValues" dxfId="23" priority="7"/>
  </conditionalFormatting>
  <conditionalFormatting sqref="BP2:BP3">
    <cfRule type="duplicateValues" dxfId="22" priority="8"/>
  </conditionalFormatting>
  <conditionalFormatting sqref="BP2:BP3">
    <cfRule type="duplicateValues" dxfId="21" priority="6"/>
  </conditionalFormatting>
  <conditionalFormatting sqref="BP4:BP31">
    <cfRule type="duplicateValues" dxfId="20" priority="5"/>
  </conditionalFormatting>
  <conditionalFormatting sqref="BP4:BP31">
    <cfRule type="duplicateValues" dxfId="19" priority="4"/>
  </conditionalFormatting>
  <conditionalFormatting sqref="BZ5:BZ31">
    <cfRule type="duplicateValues" dxfId="18" priority="3"/>
  </conditionalFormatting>
  <conditionalFormatting sqref="BZ5:BZ31">
    <cfRule type="duplicateValues" dxfId="17" priority="2"/>
  </conditionalFormatting>
  <conditionalFormatting sqref="BZ4">
    <cfRule type="duplicateValues" dxfId="16" priority="1"/>
  </conditionalFormatting>
  <hyperlinks>
    <hyperlink ref="H3" r:id="rId1" display="\\NASPC31\BO_OCT$\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J161"/>
  <sheetViews>
    <sheetView workbookViewId="0">
      <selection activeCell="H4" sqref="H4:I4"/>
    </sheetView>
  </sheetViews>
  <sheetFormatPr defaultColWidth="9.140625" defaultRowHeight="15" x14ac:dyDescent="0.25"/>
  <cols>
    <col min="1" max="1" width="9.140625" customWidth="1"/>
    <col min="2" max="2" width="27.7109375" bestFit="1" customWidth="1"/>
    <col min="3" max="3" width="39.140625" bestFit="1" customWidth="1"/>
    <col min="4" max="4" width="34.28515625" bestFit="1" customWidth="1"/>
    <col min="5" max="5" width="30.42578125" customWidth="1"/>
    <col min="6" max="6" width="58.85546875" bestFit="1" customWidth="1"/>
    <col min="7" max="8" width="54.85546875" customWidth="1"/>
    <col min="9" max="9" width="32.140625" customWidth="1"/>
    <col min="10" max="10" width="17.7109375" customWidth="1"/>
    <col min="11" max="11" width="23" customWidth="1"/>
    <col min="12" max="12" width="13.5703125" customWidth="1"/>
  </cols>
  <sheetData>
    <row r="1" spans="1:10" s="49" customFormat="1" ht="22.5" x14ac:dyDescent="0.25">
      <c r="A1"/>
      <c r="B1" s="46" t="s">
        <v>4008</v>
      </c>
      <c r="C1" s="46" t="s">
        <v>4009</v>
      </c>
      <c r="D1" s="46" t="s">
        <v>4010</v>
      </c>
      <c r="E1" s="47" t="s">
        <v>4011</v>
      </c>
      <c r="F1" s="47" t="s">
        <v>4012</v>
      </c>
      <c r="G1" s="48" t="s">
        <v>3991</v>
      </c>
      <c r="H1" s="47" t="s">
        <v>4013</v>
      </c>
      <c r="I1" s="48" t="s">
        <v>4014</v>
      </c>
    </row>
    <row r="4" spans="1:10" x14ac:dyDescent="0.25">
      <c r="B4" s="50" t="s">
        <v>4015</v>
      </c>
    </row>
    <row r="5" spans="1:10" ht="21" x14ac:dyDescent="0.25">
      <c r="B5" s="51" t="s">
        <v>4016</v>
      </c>
      <c r="C5" s="51" t="s">
        <v>4017</v>
      </c>
      <c r="D5" s="51" t="s">
        <v>4018</v>
      </c>
      <c r="E5" s="52" t="s">
        <v>4011</v>
      </c>
      <c r="F5" s="52" t="s">
        <v>4012</v>
      </c>
      <c r="G5" s="53" t="s">
        <v>3991</v>
      </c>
      <c r="H5" s="52" t="s">
        <v>4013</v>
      </c>
      <c r="I5" s="53" t="s">
        <v>4019</v>
      </c>
    </row>
    <row r="6" spans="1:10" x14ac:dyDescent="0.25">
      <c r="B6" s="54"/>
      <c r="C6" s="54" t="s">
        <v>9</v>
      </c>
      <c r="D6" s="54"/>
      <c r="E6" s="54" t="s">
        <v>9</v>
      </c>
      <c r="F6" s="54" t="s">
        <v>3818</v>
      </c>
      <c r="G6" s="54"/>
      <c r="H6" s="54" t="s">
        <v>4199</v>
      </c>
      <c r="I6" s="54">
        <v>1</v>
      </c>
      <c r="J6" t="e">
        <v>#N/A</v>
      </c>
    </row>
    <row r="7" spans="1:10" x14ac:dyDescent="0.25">
      <c r="B7" s="54"/>
      <c r="C7" s="54" t="s">
        <v>4020</v>
      </c>
      <c r="D7" s="54"/>
      <c r="E7" s="54" t="s">
        <v>9</v>
      </c>
      <c r="F7" s="54" t="s">
        <v>3818</v>
      </c>
      <c r="G7" s="54"/>
      <c r="H7" s="54" t="s">
        <v>4196</v>
      </c>
      <c r="I7" s="54"/>
    </row>
    <row r="8" spans="1:10" x14ac:dyDescent="0.25">
      <c r="B8" s="54"/>
      <c r="C8" s="54" t="s">
        <v>4021</v>
      </c>
      <c r="D8" s="54"/>
      <c r="E8" s="54" t="s">
        <v>10</v>
      </c>
      <c r="F8" s="54" t="s">
        <v>3820</v>
      </c>
      <c r="G8" s="54"/>
      <c r="H8" s="54" t="s">
        <v>4021</v>
      </c>
      <c r="I8" s="54"/>
    </row>
    <row r="9" spans="1:10" x14ac:dyDescent="0.25">
      <c r="B9" s="54"/>
      <c r="C9" s="54" t="s">
        <v>4022</v>
      </c>
      <c r="D9" s="54"/>
      <c r="E9" s="54" t="s">
        <v>10</v>
      </c>
      <c r="F9" s="54" t="s">
        <v>3820</v>
      </c>
      <c r="G9" s="54"/>
      <c r="H9" s="54" t="s">
        <v>4022</v>
      </c>
      <c r="I9" s="54"/>
    </row>
    <row r="10" spans="1:10" x14ac:dyDescent="0.25">
      <c r="B10" s="54"/>
      <c r="C10" s="54" t="s">
        <v>4023</v>
      </c>
      <c r="D10" s="54"/>
      <c r="E10" s="54" t="s">
        <v>10</v>
      </c>
      <c r="F10" s="54" t="s">
        <v>3820</v>
      </c>
      <c r="G10" s="54"/>
      <c r="H10" s="54" t="s">
        <v>4023</v>
      </c>
      <c r="I10" s="54"/>
    </row>
    <row r="11" spans="1:10" x14ac:dyDescent="0.25">
      <c r="B11" s="54"/>
      <c r="C11" s="54" t="s">
        <v>4024</v>
      </c>
      <c r="D11" s="54"/>
      <c r="E11" s="54" t="s">
        <v>10</v>
      </c>
      <c r="F11" s="54" t="s">
        <v>3820</v>
      </c>
      <c r="G11" s="54"/>
      <c r="H11" s="54" t="s">
        <v>4024</v>
      </c>
      <c r="I11" s="54"/>
    </row>
    <row r="12" spans="1:10" x14ac:dyDescent="0.25">
      <c r="B12" s="54"/>
      <c r="C12" s="54" t="s">
        <v>4025</v>
      </c>
      <c r="D12" s="54"/>
      <c r="E12" s="54" t="s">
        <v>10</v>
      </c>
      <c r="F12" s="54" t="s">
        <v>3820</v>
      </c>
      <c r="G12" s="54"/>
      <c r="H12" s="54" t="s">
        <v>4025</v>
      </c>
      <c r="I12" s="54"/>
    </row>
    <row r="13" spans="1:10" x14ac:dyDescent="0.25">
      <c r="B13" s="54"/>
      <c r="C13" s="54" t="s">
        <v>4026</v>
      </c>
      <c r="D13" s="54"/>
      <c r="E13" s="54" t="s">
        <v>10</v>
      </c>
      <c r="F13" s="54" t="s">
        <v>3820</v>
      </c>
      <c r="G13" s="54"/>
      <c r="H13" s="54" t="s">
        <v>4026</v>
      </c>
      <c r="I13" s="54"/>
    </row>
    <row r="14" spans="1:10" x14ac:dyDescent="0.25">
      <c r="B14" s="54"/>
      <c r="C14" s="54" t="s">
        <v>4027</v>
      </c>
      <c r="D14" s="54"/>
      <c r="E14" s="54" t="s">
        <v>10</v>
      </c>
      <c r="F14" s="54" t="s">
        <v>3820</v>
      </c>
      <c r="G14" s="54"/>
      <c r="H14" s="54" t="e">
        <v>#N/A</v>
      </c>
      <c r="I14" s="54"/>
    </row>
    <row r="15" spans="1:10" x14ac:dyDescent="0.25">
      <c r="B15" s="54"/>
      <c r="C15" s="54" t="s">
        <v>4028</v>
      </c>
      <c r="D15" s="54"/>
      <c r="E15" s="54" t="s">
        <v>4029</v>
      </c>
      <c r="F15" s="54" t="s">
        <v>3819</v>
      </c>
      <c r="G15" s="54"/>
      <c r="H15" s="54" t="s">
        <v>4028</v>
      </c>
      <c r="I15" s="54"/>
    </row>
    <row r="16" spans="1:10" x14ac:dyDescent="0.25">
      <c r="B16" s="54"/>
      <c r="C16" s="54" t="s">
        <v>4030</v>
      </c>
      <c r="D16" s="54"/>
      <c r="E16" s="54" t="s">
        <v>4029</v>
      </c>
      <c r="F16" s="54" t="s">
        <v>3819</v>
      </c>
      <c r="G16" s="54"/>
      <c r="H16" s="54" t="s">
        <v>4030</v>
      </c>
      <c r="I16" s="54"/>
    </row>
    <row r="17" spans="2:10" x14ac:dyDescent="0.25">
      <c r="B17" s="54"/>
      <c r="C17" s="54" t="s">
        <v>4031</v>
      </c>
      <c r="D17" s="54"/>
      <c r="E17" s="54" t="s">
        <v>4029</v>
      </c>
      <c r="F17" s="54" t="s">
        <v>3819</v>
      </c>
      <c r="G17" s="54"/>
      <c r="H17" s="54" t="s">
        <v>4233</v>
      </c>
      <c r="I17" s="54"/>
    </row>
    <row r="18" spans="2:10" x14ac:dyDescent="0.25">
      <c r="B18" s="54"/>
      <c r="C18" s="54" t="s">
        <v>4032</v>
      </c>
      <c r="D18" s="54"/>
      <c r="E18" s="54" t="s">
        <v>4029</v>
      </c>
      <c r="F18" s="54" t="s">
        <v>3819</v>
      </c>
      <c r="G18" s="54"/>
      <c r="H18" s="54" t="s">
        <v>4032</v>
      </c>
      <c r="I18" s="54"/>
    </row>
    <row r="19" spans="2:10" x14ac:dyDescent="0.25">
      <c r="B19" s="55"/>
      <c r="C19" s="55" t="s">
        <v>4032</v>
      </c>
      <c r="D19" s="55"/>
      <c r="E19" s="55" t="s">
        <v>4033</v>
      </c>
      <c r="F19" s="55" t="e">
        <v>#N/A</v>
      </c>
      <c r="G19" s="55"/>
      <c r="H19" s="55" t="s">
        <v>4032</v>
      </c>
      <c r="I19" s="55"/>
    </row>
    <row r="24" spans="2:10" x14ac:dyDescent="0.25">
      <c r="B24" s="50" t="s">
        <v>4034</v>
      </c>
    </row>
    <row r="25" spans="2:10" ht="21" x14ac:dyDescent="0.25">
      <c r="B25" s="51" t="s">
        <v>4016</v>
      </c>
      <c r="C25" s="51" t="s">
        <v>4017</v>
      </c>
      <c r="D25" s="51" t="s">
        <v>4018</v>
      </c>
      <c r="E25" s="52" t="s">
        <v>4011</v>
      </c>
      <c r="F25" s="52" t="s">
        <v>4012</v>
      </c>
      <c r="G25" s="53" t="s">
        <v>3991</v>
      </c>
      <c r="H25" s="52" t="s">
        <v>4013</v>
      </c>
      <c r="I25" s="53" t="s">
        <v>4035</v>
      </c>
    </row>
    <row r="26" spans="2:10" x14ac:dyDescent="0.25">
      <c r="B26" s="54"/>
      <c r="C26" s="54" t="s">
        <v>4036</v>
      </c>
      <c r="D26" s="54"/>
      <c r="E26" s="54" t="s">
        <v>4037</v>
      </c>
      <c r="F26" s="54" t="s">
        <v>3824</v>
      </c>
      <c r="G26" s="54"/>
      <c r="H26" s="54" t="s">
        <v>4221</v>
      </c>
      <c r="I26" s="54">
        <v>3</v>
      </c>
      <c r="J26" t="e">
        <v>#N/A</v>
      </c>
    </row>
    <row r="27" spans="2:10" x14ac:dyDescent="0.25">
      <c r="B27" s="54"/>
      <c r="C27" s="54" t="s">
        <v>4038</v>
      </c>
      <c r="D27" s="54"/>
      <c r="E27" s="54" t="s">
        <v>4038</v>
      </c>
      <c r="F27" s="54" t="s">
        <v>3822</v>
      </c>
      <c r="G27" s="54"/>
      <c r="H27" s="54" t="s">
        <v>4038</v>
      </c>
      <c r="I27" s="54"/>
    </row>
    <row r="28" spans="2:10" x14ac:dyDescent="0.25">
      <c r="B28" s="54"/>
      <c r="C28" s="54" t="s">
        <v>4039</v>
      </c>
      <c r="D28" s="54"/>
      <c r="E28" s="54" t="s">
        <v>4038</v>
      </c>
      <c r="F28" s="54" t="s">
        <v>3822</v>
      </c>
      <c r="G28" s="54"/>
      <c r="H28" s="54" t="e">
        <v>#N/A</v>
      </c>
      <c r="I28" s="54"/>
    </row>
    <row r="29" spans="2:10" x14ac:dyDescent="0.25">
      <c r="B29" s="54"/>
      <c r="C29" s="54" t="s">
        <v>61</v>
      </c>
      <c r="D29" s="54"/>
      <c r="E29" s="54" t="s">
        <v>61</v>
      </c>
      <c r="F29" s="54" t="s">
        <v>3821</v>
      </c>
      <c r="G29" s="54"/>
      <c r="H29" s="54" t="s">
        <v>61</v>
      </c>
      <c r="I29" s="54"/>
    </row>
    <row r="30" spans="2:10" x14ac:dyDescent="0.25">
      <c r="B30" s="54"/>
      <c r="C30" s="54" t="s">
        <v>4040</v>
      </c>
      <c r="D30" s="54"/>
      <c r="E30" s="54" t="s">
        <v>61</v>
      </c>
      <c r="F30" s="54" t="s">
        <v>3821</v>
      </c>
      <c r="G30" s="54"/>
      <c r="H30" s="54" t="e">
        <v>#N/A</v>
      </c>
      <c r="I30" s="54"/>
    </row>
    <row r="31" spans="2:10" x14ac:dyDescent="0.25">
      <c r="B31" s="54"/>
      <c r="C31" s="54" t="s">
        <v>4041</v>
      </c>
      <c r="D31" s="54"/>
      <c r="E31" s="54" t="s">
        <v>4042</v>
      </c>
      <c r="F31" s="54" t="s">
        <v>3823</v>
      </c>
      <c r="G31" s="54"/>
      <c r="H31" s="54" t="s">
        <v>4041</v>
      </c>
      <c r="I31" s="54"/>
    </row>
    <row r="32" spans="2:10" x14ac:dyDescent="0.25">
      <c r="B32" s="54"/>
      <c r="C32" s="54" t="s">
        <v>4043</v>
      </c>
      <c r="D32" s="54"/>
      <c r="E32" s="54" t="s">
        <v>4042</v>
      </c>
      <c r="F32" s="54" t="s">
        <v>3823</v>
      </c>
      <c r="G32" s="54"/>
      <c r="H32" s="54" t="s">
        <v>4043</v>
      </c>
      <c r="I32" s="54"/>
    </row>
    <row r="33" spans="2:9" x14ac:dyDescent="0.25">
      <c r="B33" s="54"/>
      <c r="C33" s="54" t="s">
        <v>4044</v>
      </c>
      <c r="D33" s="54"/>
      <c r="E33" s="54" t="s">
        <v>4042</v>
      </c>
      <c r="F33" s="54" t="s">
        <v>3823</v>
      </c>
      <c r="G33" s="54"/>
      <c r="H33" s="54" t="s">
        <v>4044</v>
      </c>
      <c r="I33" s="54"/>
    </row>
    <row r="34" spans="2:9" x14ac:dyDescent="0.25">
      <c r="B34" s="54"/>
      <c r="C34" s="54" t="s">
        <v>8</v>
      </c>
      <c r="D34" s="54"/>
      <c r="E34" s="54" t="s">
        <v>4042</v>
      </c>
      <c r="F34" s="54" t="s">
        <v>3823</v>
      </c>
      <c r="G34" s="54"/>
      <c r="H34" s="54" t="s">
        <v>8</v>
      </c>
      <c r="I34" s="54"/>
    </row>
    <row r="35" spans="2:9" x14ac:dyDescent="0.25">
      <c r="B35" s="54"/>
      <c r="C35" s="54" t="s">
        <v>4045</v>
      </c>
      <c r="D35" s="54"/>
      <c r="E35" s="54" t="s">
        <v>4042</v>
      </c>
      <c r="F35" s="54" t="s">
        <v>3823</v>
      </c>
      <c r="G35" s="54"/>
      <c r="H35" s="54" t="s">
        <v>4045</v>
      </c>
      <c r="I35" s="54"/>
    </row>
    <row r="36" spans="2:9" x14ac:dyDescent="0.25">
      <c r="B36" s="54"/>
      <c r="C36" s="54" t="s">
        <v>4046</v>
      </c>
      <c r="D36" s="54"/>
      <c r="E36" s="54" t="s">
        <v>4042</v>
      </c>
      <c r="F36" s="54" t="s">
        <v>3823</v>
      </c>
      <c r="G36" s="54"/>
      <c r="H36" s="54" t="s">
        <v>4046</v>
      </c>
      <c r="I36" s="54"/>
    </row>
    <row r="37" spans="2:9" x14ac:dyDescent="0.25">
      <c r="B37" s="54"/>
      <c r="C37" s="54" t="s">
        <v>4047</v>
      </c>
      <c r="D37" s="54"/>
      <c r="E37" s="54" t="s">
        <v>4042</v>
      </c>
      <c r="F37" s="54" t="s">
        <v>3823</v>
      </c>
      <c r="G37" s="54"/>
      <c r="H37" s="54" t="e">
        <v>#N/A</v>
      </c>
      <c r="I37" s="54"/>
    </row>
    <row r="38" spans="2:9" x14ac:dyDescent="0.25">
      <c r="B38" s="54"/>
      <c r="C38" s="54" t="s">
        <v>4048</v>
      </c>
      <c r="D38" s="54"/>
      <c r="E38" s="54" t="s">
        <v>4042</v>
      </c>
      <c r="F38" s="54" t="s">
        <v>3823</v>
      </c>
      <c r="G38" s="54"/>
      <c r="H38" s="54" t="s">
        <v>4048</v>
      </c>
      <c r="I38" s="54"/>
    </row>
    <row r="39" spans="2:9" x14ac:dyDescent="0.25">
      <c r="B39" s="54"/>
      <c r="C39" s="54" t="s">
        <v>4049</v>
      </c>
      <c r="D39" s="54"/>
      <c r="E39" s="54" t="s">
        <v>4042</v>
      </c>
      <c r="F39" s="54" t="s">
        <v>3823</v>
      </c>
      <c r="G39" s="54"/>
      <c r="H39" s="54" t="s">
        <v>4049</v>
      </c>
      <c r="I39" s="54"/>
    </row>
    <row r="40" spans="2:9" x14ac:dyDescent="0.25">
      <c r="B40" s="54"/>
      <c r="C40" s="54" t="s">
        <v>3995</v>
      </c>
      <c r="D40" s="54"/>
      <c r="E40" s="54" t="s">
        <v>4042</v>
      </c>
      <c r="F40" s="54" t="s">
        <v>3823</v>
      </c>
      <c r="G40" s="54"/>
      <c r="H40" s="54" t="s">
        <v>3995</v>
      </c>
      <c r="I40" s="54"/>
    </row>
    <row r="41" spans="2:9" x14ac:dyDescent="0.25">
      <c r="B41" s="55"/>
      <c r="C41" s="55" t="s">
        <v>4050</v>
      </c>
      <c r="D41" s="55"/>
      <c r="E41" s="55" t="s">
        <v>4033</v>
      </c>
      <c r="F41" s="55" t="e">
        <v>#N/A</v>
      </c>
      <c r="G41" s="55"/>
      <c r="H41" s="55" t="e">
        <v>#N/A</v>
      </c>
      <c r="I41" s="55"/>
    </row>
    <row r="42" spans="2:9" x14ac:dyDescent="0.25">
      <c r="B42" s="55"/>
      <c r="C42" s="55" t="s">
        <v>4051</v>
      </c>
      <c r="D42" s="55"/>
      <c r="E42" s="55" t="s">
        <v>4033</v>
      </c>
      <c r="F42" s="55" t="e">
        <v>#N/A</v>
      </c>
      <c r="G42" s="55"/>
      <c r="H42" s="55" t="e">
        <v>#N/A</v>
      </c>
      <c r="I42" s="55"/>
    </row>
    <row r="43" spans="2:9" x14ac:dyDescent="0.25">
      <c r="B43" s="55"/>
      <c r="C43" s="55" t="s">
        <v>4052</v>
      </c>
      <c r="D43" s="55"/>
      <c r="E43" s="55" t="s">
        <v>4033</v>
      </c>
      <c r="F43" s="55" t="e">
        <v>#N/A</v>
      </c>
      <c r="G43" s="55"/>
      <c r="H43" s="55" t="e">
        <v>#N/A</v>
      </c>
      <c r="I43" s="55"/>
    </row>
    <row r="47" spans="2:9" x14ac:dyDescent="0.25">
      <c r="B47" s="50" t="s">
        <v>4006</v>
      </c>
    </row>
    <row r="48" spans="2:9" ht="21" x14ac:dyDescent="0.25">
      <c r="B48" s="51" t="s">
        <v>4016</v>
      </c>
      <c r="C48" s="51" t="s">
        <v>4017</v>
      </c>
      <c r="D48" s="51" t="s">
        <v>4018</v>
      </c>
      <c r="E48" s="52" t="s">
        <v>4011</v>
      </c>
      <c r="F48" s="52" t="s">
        <v>4012</v>
      </c>
      <c r="G48" s="53" t="s">
        <v>3991</v>
      </c>
      <c r="H48" s="52" t="s">
        <v>4013</v>
      </c>
      <c r="I48" s="53" t="s">
        <v>4053</v>
      </c>
    </row>
    <row r="49" spans="2:10" x14ac:dyDescent="0.25">
      <c r="B49" s="54" t="s">
        <v>3999</v>
      </c>
      <c r="C49" s="54" t="s">
        <v>3995</v>
      </c>
      <c r="D49" s="54" t="s">
        <v>3996</v>
      </c>
      <c r="E49" s="44" t="s">
        <v>4001</v>
      </c>
      <c r="F49" s="26" t="s">
        <v>3984</v>
      </c>
      <c r="G49" t="s">
        <v>4303</v>
      </c>
      <c r="H49" t="s">
        <v>4303</v>
      </c>
      <c r="I49">
        <v>24</v>
      </c>
      <c r="J49" t="e">
        <v>#N/A</v>
      </c>
    </row>
    <row r="50" spans="2:10" x14ac:dyDescent="0.25">
      <c r="B50" s="54"/>
      <c r="C50" s="54" t="s">
        <v>4054</v>
      </c>
      <c r="D50" s="54"/>
      <c r="E50" s="54" t="s">
        <v>4038</v>
      </c>
      <c r="F50" s="26" t="s">
        <v>3831</v>
      </c>
      <c r="G50" t="s">
        <v>4302</v>
      </c>
      <c r="H50" t="s">
        <v>4302</v>
      </c>
    </row>
    <row r="51" spans="2:10" x14ac:dyDescent="0.25">
      <c r="B51" s="54"/>
      <c r="C51" s="54" t="s">
        <v>4055</v>
      </c>
      <c r="D51" s="54"/>
      <c r="E51" s="54" t="s">
        <v>4038</v>
      </c>
      <c r="F51" s="26" t="s">
        <v>3831</v>
      </c>
      <c r="G51" t="s">
        <v>4304</v>
      </c>
      <c r="H51" t="s">
        <v>4304</v>
      </c>
    </row>
    <row r="52" spans="2:10" x14ac:dyDescent="0.25">
      <c r="B52" s="54"/>
      <c r="C52" s="54" t="s">
        <v>4052</v>
      </c>
      <c r="D52" s="54"/>
      <c r="E52" s="54" t="s">
        <v>4038</v>
      </c>
      <c r="F52" s="26" t="s">
        <v>3831</v>
      </c>
      <c r="G52" t="s">
        <v>4305</v>
      </c>
      <c r="H52" t="e">
        <v>#N/A</v>
      </c>
    </row>
    <row r="53" spans="2:10" x14ac:dyDescent="0.25">
      <c r="B53" s="54"/>
      <c r="C53" s="54" t="s">
        <v>4037</v>
      </c>
      <c r="D53" s="54"/>
      <c r="E53" s="54" t="s">
        <v>4037</v>
      </c>
      <c r="F53" s="26" t="s">
        <v>3833</v>
      </c>
      <c r="G53" t="s">
        <v>4306</v>
      </c>
      <c r="H53" t="s">
        <v>4306</v>
      </c>
    </row>
    <row r="54" spans="2:10" x14ac:dyDescent="0.25">
      <c r="B54" s="54"/>
      <c r="C54" s="54" t="s">
        <v>4056</v>
      </c>
      <c r="D54" s="54"/>
      <c r="E54" s="54" t="s">
        <v>61</v>
      </c>
      <c r="F54" s="26" t="s">
        <v>3830</v>
      </c>
      <c r="G54" t="s">
        <v>4307</v>
      </c>
      <c r="H54" t="s">
        <v>4307</v>
      </c>
    </row>
    <row r="55" spans="2:10" x14ac:dyDescent="0.25">
      <c r="B55" s="54"/>
      <c r="C55" s="54" t="s">
        <v>61</v>
      </c>
      <c r="D55" s="54"/>
      <c r="E55" s="54" t="s">
        <v>61</v>
      </c>
      <c r="F55" s="26" t="s">
        <v>3830</v>
      </c>
      <c r="G55" t="s">
        <v>4308</v>
      </c>
      <c r="H55" t="s">
        <v>4308</v>
      </c>
    </row>
    <row r="56" spans="2:10" x14ac:dyDescent="0.25">
      <c r="B56" s="54"/>
      <c r="C56" s="54" t="s">
        <v>4057</v>
      </c>
      <c r="D56" s="54"/>
      <c r="E56" s="54" t="s">
        <v>61</v>
      </c>
      <c r="F56" s="26" t="s">
        <v>3830</v>
      </c>
      <c r="G56" t="s">
        <v>4309</v>
      </c>
      <c r="H56" t="e">
        <v>#N/A</v>
      </c>
    </row>
    <row r="57" spans="2:10" x14ac:dyDescent="0.25">
      <c r="B57" s="54"/>
      <c r="C57" s="54" t="s">
        <v>4058</v>
      </c>
      <c r="D57" s="54"/>
      <c r="E57" s="54" t="s">
        <v>61</v>
      </c>
      <c r="F57" s="26" t="s">
        <v>3830</v>
      </c>
      <c r="G57" t="s">
        <v>4310</v>
      </c>
      <c r="H57" t="s">
        <v>4310</v>
      </c>
    </row>
    <row r="58" spans="2:10" x14ac:dyDescent="0.25">
      <c r="B58" s="54"/>
      <c r="C58" s="54" t="s">
        <v>4059</v>
      </c>
      <c r="D58" s="54"/>
      <c r="E58" s="54" t="s">
        <v>61</v>
      </c>
      <c r="F58" s="26" t="s">
        <v>3830</v>
      </c>
      <c r="G58" t="s">
        <v>4311</v>
      </c>
      <c r="H58" t="e">
        <v>#N/A</v>
      </c>
    </row>
    <row r="59" spans="2:10" x14ac:dyDescent="0.25">
      <c r="B59" s="54"/>
      <c r="C59" s="54" t="s">
        <v>4060</v>
      </c>
      <c r="D59" s="54"/>
      <c r="E59" s="54" t="s">
        <v>61</v>
      </c>
      <c r="F59" s="26" t="s">
        <v>3830</v>
      </c>
      <c r="G59" t="s">
        <v>4312</v>
      </c>
      <c r="H59" t="e">
        <v>#N/A</v>
      </c>
    </row>
    <row r="60" spans="2:10" x14ac:dyDescent="0.25">
      <c r="B60" s="54"/>
      <c r="C60" s="54" t="s">
        <v>4061</v>
      </c>
      <c r="D60" s="54"/>
      <c r="E60" s="54" t="s">
        <v>61</v>
      </c>
      <c r="F60" s="26" t="s">
        <v>3830</v>
      </c>
      <c r="G60" t="s">
        <v>4313</v>
      </c>
      <c r="H60" t="e">
        <v>#N/A</v>
      </c>
    </row>
    <row r="61" spans="2:10" x14ac:dyDescent="0.25">
      <c r="B61" s="54"/>
      <c r="C61" s="54" t="s">
        <v>4062</v>
      </c>
      <c r="D61" s="54"/>
      <c r="E61" s="54" t="s">
        <v>61</v>
      </c>
      <c r="F61" s="26" t="s">
        <v>3830</v>
      </c>
      <c r="G61" t="s">
        <v>4314</v>
      </c>
      <c r="H61" t="s">
        <v>4315</v>
      </c>
    </row>
    <row r="62" spans="2:10" x14ac:dyDescent="0.25">
      <c r="B62" s="54"/>
      <c r="C62" s="54" t="s">
        <v>4063</v>
      </c>
      <c r="D62" s="54"/>
      <c r="E62" s="54" t="s">
        <v>61</v>
      </c>
      <c r="F62" s="26" t="s">
        <v>3830</v>
      </c>
      <c r="G62" t="s">
        <v>4316</v>
      </c>
      <c r="H62" t="s">
        <v>4317</v>
      </c>
    </row>
    <row r="63" spans="2:10" x14ac:dyDescent="0.25">
      <c r="B63" s="54"/>
      <c r="C63" s="54" t="s">
        <v>4064</v>
      </c>
      <c r="D63" s="54"/>
      <c r="E63" s="54" t="s">
        <v>61</v>
      </c>
      <c r="F63" s="26" t="s">
        <v>3830</v>
      </c>
      <c r="G63" t="s">
        <v>4318</v>
      </c>
      <c r="H63" t="s">
        <v>4318</v>
      </c>
    </row>
    <row r="64" spans="2:10" x14ac:dyDescent="0.25">
      <c r="B64" s="54"/>
      <c r="C64" s="54" t="s">
        <v>4065</v>
      </c>
      <c r="D64" s="54"/>
      <c r="E64" s="54" t="s">
        <v>61</v>
      </c>
      <c r="F64" s="26" t="s">
        <v>3830</v>
      </c>
      <c r="G64" t="s">
        <v>4319</v>
      </c>
      <c r="H64" t="s">
        <v>4319</v>
      </c>
    </row>
    <row r="65" spans="2:8" x14ac:dyDescent="0.25">
      <c r="B65" s="54"/>
      <c r="C65" s="54" t="s">
        <v>4066</v>
      </c>
      <c r="D65" s="54"/>
      <c r="E65" s="54" t="s">
        <v>61</v>
      </c>
      <c r="F65" s="26" t="s">
        <v>3830</v>
      </c>
      <c r="G65" t="s">
        <v>4320</v>
      </c>
      <c r="H65" t="s">
        <v>4320</v>
      </c>
    </row>
    <row r="66" spans="2:8" x14ac:dyDescent="0.25">
      <c r="B66" s="54"/>
      <c r="C66" s="54" t="s">
        <v>4067</v>
      </c>
      <c r="D66" s="54"/>
      <c r="E66" s="54" t="s">
        <v>61</v>
      </c>
      <c r="F66" s="26" t="s">
        <v>3830</v>
      </c>
      <c r="G66" t="s">
        <v>4321</v>
      </c>
      <c r="H66" t="e">
        <v>#N/A</v>
      </c>
    </row>
    <row r="67" spans="2:8" x14ac:dyDescent="0.25">
      <c r="B67" s="54"/>
      <c r="C67" s="54" t="s">
        <v>4068</v>
      </c>
      <c r="D67" s="54"/>
      <c r="E67" s="54" t="s">
        <v>61</v>
      </c>
      <c r="F67" s="26" t="s">
        <v>3830</v>
      </c>
      <c r="G67" t="s">
        <v>4322</v>
      </c>
      <c r="H67" t="e">
        <v>#N/A</v>
      </c>
    </row>
    <row r="68" spans="2:8" x14ac:dyDescent="0.25">
      <c r="B68" s="54"/>
      <c r="C68" s="54" t="s">
        <v>4069</v>
      </c>
      <c r="D68" s="54"/>
      <c r="E68" s="54" t="s">
        <v>61</v>
      </c>
      <c r="F68" s="26" t="s">
        <v>3830</v>
      </c>
      <c r="G68" t="s">
        <v>4323</v>
      </c>
      <c r="H68" t="e">
        <v>#N/A</v>
      </c>
    </row>
    <row r="69" spans="2:8" x14ac:dyDescent="0.25">
      <c r="B69" s="54"/>
      <c r="C69" s="54" t="s">
        <v>4070</v>
      </c>
      <c r="D69" s="54"/>
      <c r="E69" s="54" t="s">
        <v>61</v>
      </c>
      <c r="F69" s="26" t="s">
        <v>3830</v>
      </c>
      <c r="G69" t="s">
        <v>4324</v>
      </c>
      <c r="H69" t="e">
        <v>#N/A</v>
      </c>
    </row>
    <row r="70" spans="2:8" x14ac:dyDescent="0.25">
      <c r="B70" s="54"/>
      <c r="C70" s="54" t="s">
        <v>4071</v>
      </c>
      <c r="D70" s="54"/>
      <c r="E70" s="54" t="s">
        <v>61</v>
      </c>
      <c r="F70" s="26" t="s">
        <v>3830</v>
      </c>
      <c r="G70" t="s">
        <v>4325</v>
      </c>
      <c r="H70" t="e">
        <v>#N/A</v>
      </c>
    </row>
    <row r="71" spans="2:8" x14ac:dyDescent="0.25">
      <c r="B71" s="54"/>
      <c r="C71" s="54" t="s">
        <v>4072</v>
      </c>
      <c r="D71" s="54"/>
      <c r="E71" s="54" t="s">
        <v>4042</v>
      </c>
      <c r="F71" s="26" t="s">
        <v>3832</v>
      </c>
      <c r="G71" t="s">
        <v>4326</v>
      </c>
      <c r="H71" t="s">
        <v>4326</v>
      </c>
    </row>
    <row r="72" spans="2:8" x14ac:dyDescent="0.25">
      <c r="B72" s="54"/>
      <c r="C72" s="54" t="s">
        <v>4073</v>
      </c>
      <c r="D72" s="54"/>
      <c r="E72" s="54" t="s">
        <v>4042</v>
      </c>
      <c r="F72" s="26" t="s">
        <v>3832</v>
      </c>
      <c r="G72" t="s">
        <v>4327</v>
      </c>
      <c r="H72" t="s">
        <v>4327</v>
      </c>
    </row>
    <row r="73" spans="2:8" x14ac:dyDescent="0.25">
      <c r="B73" s="54"/>
      <c r="C73" s="54" t="s">
        <v>4074</v>
      </c>
      <c r="D73" s="54"/>
      <c r="E73" s="54" t="s">
        <v>4042</v>
      </c>
      <c r="F73" s="26" t="s">
        <v>3832</v>
      </c>
      <c r="G73" t="s">
        <v>4328</v>
      </c>
      <c r="H73" t="s">
        <v>4329</v>
      </c>
    </row>
    <row r="74" spans="2:8" x14ac:dyDescent="0.25">
      <c r="B74" s="54"/>
      <c r="C74" s="54" t="s">
        <v>4075</v>
      </c>
      <c r="D74" s="54"/>
      <c r="E74" s="54" t="s">
        <v>4042</v>
      </c>
      <c r="F74" s="26" t="s">
        <v>3832</v>
      </c>
      <c r="G74" t="s">
        <v>4330</v>
      </c>
      <c r="H74" t="e">
        <v>#N/A</v>
      </c>
    </row>
    <row r="75" spans="2:8" x14ac:dyDescent="0.25">
      <c r="B75" s="54"/>
      <c r="C75" s="54" t="s">
        <v>4076</v>
      </c>
      <c r="D75" s="54"/>
      <c r="E75" s="54" t="s">
        <v>4042</v>
      </c>
      <c r="F75" s="26" t="s">
        <v>3832</v>
      </c>
      <c r="G75" t="s">
        <v>4331</v>
      </c>
      <c r="H75" t="e">
        <v>#N/A</v>
      </c>
    </row>
    <row r="76" spans="2:8" x14ac:dyDescent="0.25">
      <c r="B76" s="54"/>
      <c r="C76" s="54" t="s">
        <v>4077</v>
      </c>
      <c r="D76" s="54"/>
      <c r="E76" s="54" t="s">
        <v>4042</v>
      </c>
      <c r="F76" s="26" t="s">
        <v>3832</v>
      </c>
      <c r="G76" t="s">
        <v>4332</v>
      </c>
      <c r="H76" t="e">
        <v>#N/A</v>
      </c>
    </row>
    <row r="77" spans="2:8" x14ac:dyDescent="0.25">
      <c r="B77" s="54"/>
      <c r="C77" s="54" t="s">
        <v>4078</v>
      </c>
      <c r="D77" s="54"/>
      <c r="E77" s="54" t="s">
        <v>4042</v>
      </c>
      <c r="F77" s="26" t="s">
        <v>3832</v>
      </c>
      <c r="G77" t="s">
        <v>4333</v>
      </c>
      <c r="H77" t="s">
        <v>4333</v>
      </c>
    </row>
    <row r="78" spans="2:8" x14ac:dyDescent="0.25">
      <c r="B78" s="54"/>
      <c r="C78" s="54" t="s">
        <v>4079</v>
      </c>
      <c r="D78" s="54"/>
      <c r="E78" s="54" t="s">
        <v>4042</v>
      </c>
      <c r="F78" s="26" t="s">
        <v>3832</v>
      </c>
      <c r="G78" t="s">
        <v>4334</v>
      </c>
      <c r="H78" t="e">
        <v>#N/A</v>
      </c>
    </row>
    <row r="79" spans="2:8" x14ac:dyDescent="0.25">
      <c r="B79" s="54"/>
      <c r="C79" s="54" t="s">
        <v>4080</v>
      </c>
      <c r="D79" s="54"/>
      <c r="E79" s="54" t="s">
        <v>4042</v>
      </c>
      <c r="F79" s="26" t="s">
        <v>3832</v>
      </c>
      <c r="G79" t="s">
        <v>4335</v>
      </c>
      <c r="H79" t="s">
        <v>4335</v>
      </c>
    </row>
    <row r="80" spans="2:8" x14ac:dyDescent="0.25">
      <c r="B80" s="54"/>
      <c r="C80" s="54" t="s">
        <v>4081</v>
      </c>
      <c r="D80" s="54"/>
      <c r="E80" s="54" t="s">
        <v>4042</v>
      </c>
      <c r="F80" s="26" t="s">
        <v>3832</v>
      </c>
      <c r="G80" t="s">
        <v>4336</v>
      </c>
      <c r="H80" t="e">
        <v>#N/A</v>
      </c>
    </row>
    <row r="81" spans="2:8" x14ac:dyDescent="0.25">
      <c r="B81" s="54"/>
      <c r="C81" s="54" t="s">
        <v>4082</v>
      </c>
      <c r="D81" s="54"/>
      <c r="E81" s="54" t="s">
        <v>4042</v>
      </c>
      <c r="F81" s="26" t="s">
        <v>3832</v>
      </c>
      <c r="G81" t="s">
        <v>4337</v>
      </c>
      <c r="H81" t="s">
        <v>4337</v>
      </c>
    </row>
    <row r="82" spans="2:8" x14ac:dyDescent="0.25">
      <c r="B82" s="54"/>
      <c r="C82" s="54" t="s">
        <v>4083</v>
      </c>
      <c r="D82" s="54"/>
      <c r="E82" s="54" t="s">
        <v>4042</v>
      </c>
      <c r="F82" s="26" t="s">
        <v>3832</v>
      </c>
      <c r="G82" t="s">
        <v>4338</v>
      </c>
      <c r="H82" t="s">
        <v>4338</v>
      </c>
    </row>
    <row r="83" spans="2:8" x14ac:dyDescent="0.25">
      <c r="B83" s="54"/>
      <c r="C83" s="54" t="s">
        <v>4084</v>
      </c>
      <c r="D83" s="54"/>
      <c r="E83" s="54" t="s">
        <v>4042</v>
      </c>
      <c r="F83" s="26" t="s">
        <v>3832</v>
      </c>
      <c r="G83" t="s">
        <v>4339</v>
      </c>
      <c r="H83" t="e">
        <v>#N/A</v>
      </c>
    </row>
    <row r="84" spans="2:8" x14ac:dyDescent="0.25">
      <c r="B84" s="54"/>
      <c r="C84" s="54" t="s">
        <v>4085</v>
      </c>
      <c r="D84" s="54"/>
      <c r="E84" s="54" t="s">
        <v>4042</v>
      </c>
      <c r="F84" s="26" t="s">
        <v>3832</v>
      </c>
      <c r="G84" t="s">
        <v>4340</v>
      </c>
      <c r="H84" t="s">
        <v>4340</v>
      </c>
    </row>
    <row r="85" spans="2:8" x14ac:dyDescent="0.25">
      <c r="B85" s="54"/>
      <c r="C85" s="54" t="s">
        <v>4086</v>
      </c>
      <c r="D85" s="54"/>
      <c r="E85" s="54" t="s">
        <v>4042</v>
      </c>
      <c r="F85" s="26" t="s">
        <v>3832</v>
      </c>
      <c r="G85" t="s">
        <v>4341</v>
      </c>
      <c r="H85" t="e">
        <v>#N/A</v>
      </c>
    </row>
    <row r="86" spans="2:8" x14ac:dyDescent="0.25">
      <c r="B86" s="54"/>
      <c r="C86" s="54" t="s">
        <v>4087</v>
      </c>
      <c r="D86" s="54"/>
      <c r="E86" s="54" t="s">
        <v>4042</v>
      </c>
      <c r="F86" s="26" t="s">
        <v>3832</v>
      </c>
      <c r="G86" t="s">
        <v>4342</v>
      </c>
      <c r="H86" t="e">
        <v>#N/A</v>
      </c>
    </row>
    <row r="87" spans="2:8" x14ac:dyDescent="0.25">
      <c r="B87" s="54"/>
      <c r="C87" s="54" t="s">
        <v>4088</v>
      </c>
      <c r="D87" s="54"/>
      <c r="E87" s="54" t="s">
        <v>4042</v>
      </c>
      <c r="F87" s="26" t="s">
        <v>3832</v>
      </c>
      <c r="G87" t="s">
        <v>4343</v>
      </c>
      <c r="H87" t="e">
        <v>#N/A</v>
      </c>
    </row>
    <row r="88" spans="2:8" x14ac:dyDescent="0.25">
      <c r="B88" s="54"/>
      <c r="C88" s="54" t="s">
        <v>4089</v>
      </c>
      <c r="D88" s="54"/>
      <c r="E88" s="54" t="s">
        <v>4042</v>
      </c>
      <c r="F88" s="26" t="s">
        <v>3832</v>
      </c>
      <c r="G88" t="s">
        <v>4344</v>
      </c>
      <c r="H88" t="e">
        <v>#N/A</v>
      </c>
    </row>
    <row r="89" spans="2:8" x14ac:dyDescent="0.25">
      <c r="B89" s="54"/>
      <c r="C89" s="54" t="s">
        <v>4090</v>
      </c>
      <c r="D89" s="54"/>
      <c r="E89" s="54" t="s">
        <v>4042</v>
      </c>
      <c r="F89" s="26" t="s">
        <v>3832</v>
      </c>
      <c r="G89" t="s">
        <v>4345</v>
      </c>
      <c r="H89" t="s">
        <v>4345</v>
      </c>
    </row>
    <row r="90" spans="2:8" x14ac:dyDescent="0.25">
      <c r="B90" s="54"/>
      <c r="C90" s="54" t="s">
        <v>8</v>
      </c>
      <c r="D90" s="54"/>
      <c r="E90" s="54" t="s">
        <v>4042</v>
      </c>
      <c r="F90" s="26" t="s">
        <v>3832</v>
      </c>
      <c r="G90" t="s">
        <v>4346</v>
      </c>
      <c r="H90" t="s">
        <v>4346</v>
      </c>
    </row>
    <row r="91" spans="2:8" x14ac:dyDescent="0.25">
      <c r="B91" s="54"/>
      <c r="C91" s="54" t="s">
        <v>4039</v>
      </c>
      <c r="D91" s="54"/>
      <c r="E91" s="54" t="s">
        <v>4042</v>
      </c>
      <c r="F91" s="26" t="s">
        <v>3832</v>
      </c>
      <c r="G91" t="s">
        <v>4347</v>
      </c>
      <c r="H91" t="e">
        <v>#N/A</v>
      </c>
    </row>
    <row r="92" spans="2:8" x14ac:dyDescent="0.25">
      <c r="B92" s="54"/>
      <c r="C92" s="54" t="s">
        <v>4091</v>
      </c>
      <c r="D92" s="54"/>
      <c r="E92" s="54" t="s">
        <v>4042</v>
      </c>
      <c r="F92" s="26" t="s">
        <v>3832</v>
      </c>
      <c r="G92" t="s">
        <v>4348</v>
      </c>
      <c r="H92" t="e">
        <v>#N/A</v>
      </c>
    </row>
    <row r="93" spans="2:8" x14ac:dyDescent="0.25">
      <c r="B93" s="54"/>
      <c r="C93" s="54" t="s">
        <v>4092</v>
      </c>
      <c r="D93" s="54"/>
      <c r="E93" s="54" t="s">
        <v>4042</v>
      </c>
      <c r="F93" s="26" t="s">
        <v>3832</v>
      </c>
      <c r="G93" t="s">
        <v>4349</v>
      </c>
      <c r="H93" t="e">
        <v>#N/A</v>
      </c>
    </row>
    <row r="94" spans="2:8" x14ac:dyDescent="0.25">
      <c r="B94" s="54" t="s">
        <v>4093</v>
      </c>
      <c r="D94" s="54"/>
      <c r="E94" s="54" t="s">
        <v>3949</v>
      </c>
      <c r="F94" s="26" t="s">
        <v>3950</v>
      </c>
      <c r="G94" t="s">
        <v>3949</v>
      </c>
      <c r="H94" t="e">
        <v>#N/A</v>
      </c>
    </row>
    <row r="95" spans="2:8" x14ac:dyDescent="0.25">
      <c r="B95" s="55"/>
      <c r="C95" s="55" t="s">
        <v>4094</v>
      </c>
      <c r="D95" s="55"/>
      <c r="E95" s="55" t="s">
        <v>4033</v>
      </c>
      <c r="F95" s="55" t="e">
        <v>#N/A</v>
      </c>
      <c r="G95" s="56" t="s">
        <v>4350</v>
      </c>
      <c r="H95" s="56" t="e">
        <v>#N/A</v>
      </c>
    </row>
    <row r="96" spans="2:8" x14ac:dyDescent="0.25">
      <c r="B96" s="55"/>
      <c r="C96" s="55" t="s">
        <v>4050</v>
      </c>
      <c r="D96" s="55"/>
      <c r="E96" s="55" t="s">
        <v>4033</v>
      </c>
      <c r="F96" s="55" t="e">
        <v>#N/A</v>
      </c>
      <c r="G96" s="56" t="s">
        <v>4351</v>
      </c>
      <c r="H96" s="56" t="e">
        <v>#N/A</v>
      </c>
    </row>
    <row r="97" spans="2:10" x14ac:dyDescent="0.25">
      <c r="B97" s="55"/>
      <c r="C97" s="55" t="s">
        <v>4095</v>
      </c>
      <c r="D97" s="55"/>
      <c r="E97" s="55" t="s">
        <v>4033</v>
      </c>
      <c r="F97" s="55" t="e">
        <v>#N/A</v>
      </c>
      <c r="G97" s="56" t="s">
        <v>4352</v>
      </c>
      <c r="H97" s="56" t="e">
        <v>#N/A</v>
      </c>
    </row>
    <row r="98" spans="2:10" x14ac:dyDescent="0.25">
      <c r="B98" s="55"/>
      <c r="C98" s="55" t="s">
        <v>4096</v>
      </c>
      <c r="D98" s="55"/>
      <c r="E98" s="55" t="s">
        <v>4033</v>
      </c>
      <c r="F98" s="55" t="e">
        <v>#N/A</v>
      </c>
      <c r="G98" s="56" t="s">
        <v>4353</v>
      </c>
      <c r="H98" s="56" t="e">
        <v>#N/A</v>
      </c>
    </row>
    <row r="99" spans="2:10" x14ac:dyDescent="0.25">
      <c r="B99" s="55"/>
      <c r="C99" s="55" t="s">
        <v>4097</v>
      </c>
      <c r="D99" s="55"/>
      <c r="E99" s="55" t="s">
        <v>4033</v>
      </c>
      <c r="F99" s="55" t="e">
        <v>#N/A</v>
      </c>
      <c r="G99" s="56" t="s">
        <v>4354</v>
      </c>
      <c r="H99" s="56" t="e">
        <v>#N/A</v>
      </c>
    </row>
    <row r="100" spans="2:10" x14ac:dyDescent="0.25">
      <c r="B100" s="55"/>
      <c r="C100" s="55" t="s">
        <v>4098</v>
      </c>
      <c r="D100" s="55"/>
      <c r="E100" s="55" t="s">
        <v>4033</v>
      </c>
      <c r="F100" s="55" t="e">
        <v>#N/A</v>
      </c>
      <c r="G100" s="56" t="s">
        <v>4355</v>
      </c>
      <c r="H100" s="56" t="e">
        <v>#N/A</v>
      </c>
    </row>
    <row r="104" spans="2:10" x14ac:dyDescent="0.25">
      <c r="B104" s="50" t="s">
        <v>4005</v>
      </c>
    </row>
    <row r="105" spans="2:10" ht="21" x14ac:dyDescent="0.25">
      <c r="B105" s="51" t="s">
        <v>4016</v>
      </c>
      <c r="C105" s="51" t="s">
        <v>4017</v>
      </c>
      <c r="D105" s="51" t="s">
        <v>4018</v>
      </c>
      <c r="E105" s="52" t="s">
        <v>4011</v>
      </c>
      <c r="F105" s="52" t="s">
        <v>4012</v>
      </c>
      <c r="G105" s="52" t="s">
        <v>3991</v>
      </c>
      <c r="H105" s="52" t="s">
        <v>4013</v>
      </c>
      <c r="I105" s="52" t="s">
        <v>4099</v>
      </c>
    </row>
    <row r="106" spans="2:10" x14ac:dyDescent="0.25">
      <c r="B106" s="54" t="s">
        <v>4100</v>
      </c>
      <c r="C106" s="54" t="s">
        <v>4101</v>
      </c>
      <c r="D106" s="54"/>
      <c r="E106" s="54" t="s">
        <v>4102</v>
      </c>
      <c r="F106" s="57" t="s">
        <v>3971</v>
      </c>
      <c r="G106" s="58" t="s">
        <v>4356</v>
      </c>
      <c r="H106" t="s">
        <v>4356</v>
      </c>
      <c r="I106">
        <v>11</v>
      </c>
      <c r="J106" t="e">
        <v>#N/A</v>
      </c>
    </row>
    <row r="107" spans="2:10" x14ac:dyDescent="0.25">
      <c r="B107" s="54"/>
      <c r="C107" s="54" t="s">
        <v>4103</v>
      </c>
      <c r="D107" s="54"/>
      <c r="E107" s="54" t="s">
        <v>61</v>
      </c>
      <c r="F107" s="57" t="s">
        <v>3826</v>
      </c>
      <c r="G107" s="58" t="s">
        <v>4357</v>
      </c>
      <c r="H107" t="e">
        <v>#N/A</v>
      </c>
    </row>
    <row r="108" spans="2:10" x14ac:dyDescent="0.25">
      <c r="B108" s="54"/>
      <c r="C108" s="54" t="s">
        <v>4058</v>
      </c>
      <c r="D108" s="54"/>
      <c r="E108" s="54" t="s">
        <v>61</v>
      </c>
      <c r="F108" s="57" t="s">
        <v>3826</v>
      </c>
      <c r="G108" s="58" t="s">
        <v>4310</v>
      </c>
      <c r="H108" t="e">
        <v>#N/A</v>
      </c>
    </row>
    <row r="109" spans="2:10" x14ac:dyDescent="0.25">
      <c r="B109" s="54"/>
      <c r="C109" s="54" t="s">
        <v>61</v>
      </c>
      <c r="D109" s="54"/>
      <c r="E109" s="54" t="s">
        <v>61</v>
      </c>
      <c r="F109" s="57" t="s">
        <v>3826</v>
      </c>
      <c r="G109" s="58" t="s">
        <v>4308</v>
      </c>
      <c r="H109" t="s">
        <v>4308</v>
      </c>
    </row>
    <row r="110" spans="2:10" x14ac:dyDescent="0.25">
      <c r="B110" s="54"/>
      <c r="C110" s="54" t="s">
        <v>4104</v>
      </c>
      <c r="D110" s="54"/>
      <c r="E110" s="54" t="s">
        <v>61</v>
      </c>
      <c r="F110" s="57" t="s">
        <v>3826</v>
      </c>
      <c r="G110" s="58" t="s">
        <v>4358</v>
      </c>
      <c r="H110" t="e">
        <v>#N/A</v>
      </c>
    </row>
    <row r="111" spans="2:10" x14ac:dyDescent="0.25">
      <c r="B111" s="54"/>
      <c r="C111" s="54" t="s">
        <v>4040</v>
      </c>
      <c r="D111" s="54"/>
      <c r="E111" s="54" t="s">
        <v>61</v>
      </c>
      <c r="F111" s="57" t="s">
        <v>3826</v>
      </c>
      <c r="G111" s="58" t="s">
        <v>4315</v>
      </c>
      <c r="H111" t="e">
        <v>#N/A</v>
      </c>
    </row>
    <row r="112" spans="2:10" x14ac:dyDescent="0.25">
      <c r="B112" s="54"/>
      <c r="C112" s="54" t="s">
        <v>4105</v>
      </c>
      <c r="D112" s="54"/>
      <c r="E112" s="54" t="s">
        <v>61</v>
      </c>
      <c r="F112" s="57" t="s">
        <v>3826</v>
      </c>
      <c r="G112" s="58" t="s">
        <v>4359</v>
      </c>
      <c r="H112" t="e">
        <v>#N/A</v>
      </c>
    </row>
    <row r="113" spans="2:8" x14ac:dyDescent="0.25">
      <c r="B113" s="54"/>
      <c r="C113" s="54" t="s">
        <v>4106</v>
      </c>
      <c r="D113" s="54"/>
      <c r="E113" s="54" t="s">
        <v>61</v>
      </c>
      <c r="F113" s="57" t="s">
        <v>3826</v>
      </c>
      <c r="G113" s="58" t="s">
        <v>4360</v>
      </c>
      <c r="H113" t="s">
        <v>4360</v>
      </c>
    </row>
    <row r="114" spans="2:8" x14ac:dyDescent="0.25">
      <c r="B114" s="54"/>
      <c r="C114" s="54" t="s">
        <v>4067</v>
      </c>
      <c r="D114" s="54"/>
      <c r="E114" s="54" t="s">
        <v>61</v>
      </c>
      <c r="F114" s="57" t="s">
        <v>3826</v>
      </c>
      <c r="G114" s="58" t="s">
        <v>4321</v>
      </c>
      <c r="H114" t="s">
        <v>4321</v>
      </c>
    </row>
    <row r="115" spans="2:8" x14ac:dyDescent="0.25">
      <c r="B115" s="54"/>
      <c r="C115" s="54" t="s">
        <v>4071</v>
      </c>
      <c r="D115" s="54"/>
      <c r="E115" s="54" t="s">
        <v>61</v>
      </c>
      <c r="F115" s="57" t="s">
        <v>3826</v>
      </c>
      <c r="G115" s="58" t="s">
        <v>4325</v>
      </c>
      <c r="H115" t="s">
        <v>4325</v>
      </c>
    </row>
    <row r="116" spans="2:8" x14ac:dyDescent="0.25">
      <c r="B116" s="54"/>
      <c r="C116" s="54" t="s">
        <v>4107</v>
      </c>
      <c r="D116" s="54"/>
      <c r="E116" s="54" t="s">
        <v>61</v>
      </c>
      <c r="F116" s="57" t="s">
        <v>3826</v>
      </c>
      <c r="G116" s="58" t="s">
        <v>4361</v>
      </c>
      <c r="H116" t="e">
        <v>#N/A</v>
      </c>
    </row>
    <row r="117" spans="2:8" x14ac:dyDescent="0.25">
      <c r="B117" s="54"/>
      <c r="C117" s="54" t="s">
        <v>4064</v>
      </c>
      <c r="D117" s="54"/>
      <c r="E117" s="54" t="s">
        <v>61</v>
      </c>
      <c r="F117" s="57" t="s">
        <v>3826</v>
      </c>
      <c r="G117" s="58" t="s">
        <v>4318</v>
      </c>
      <c r="H117" t="s">
        <v>4318</v>
      </c>
    </row>
    <row r="118" spans="2:8" x14ac:dyDescent="0.25">
      <c r="B118" s="54"/>
      <c r="C118" s="54" t="s">
        <v>4108</v>
      </c>
      <c r="D118" s="54"/>
      <c r="E118" s="54" t="s">
        <v>61</v>
      </c>
      <c r="F118" s="57" t="s">
        <v>3826</v>
      </c>
      <c r="G118" s="58" t="s">
        <v>4362</v>
      </c>
      <c r="H118" t="s">
        <v>4362</v>
      </c>
    </row>
    <row r="119" spans="2:8" x14ac:dyDescent="0.25">
      <c r="B119" s="54"/>
      <c r="C119" s="54" t="s">
        <v>4109</v>
      </c>
      <c r="D119" s="54"/>
      <c r="E119" s="54" t="s">
        <v>61</v>
      </c>
      <c r="F119" s="57" t="s">
        <v>3826</v>
      </c>
      <c r="G119" s="58" t="s">
        <v>4363</v>
      </c>
      <c r="H119" t="s">
        <v>4363</v>
      </c>
    </row>
    <row r="120" spans="2:8" x14ac:dyDescent="0.25">
      <c r="B120" s="54"/>
      <c r="C120" s="54" t="s">
        <v>4036</v>
      </c>
      <c r="D120" s="54" t="s">
        <v>4110</v>
      </c>
      <c r="E120" s="54" t="s">
        <v>4111</v>
      </c>
      <c r="F120" s="57" t="s">
        <v>3973</v>
      </c>
      <c r="G120" s="58" t="s">
        <v>4364</v>
      </c>
      <c r="H120" t="s">
        <v>4364</v>
      </c>
    </row>
    <row r="121" spans="2:8" x14ac:dyDescent="0.25">
      <c r="B121" s="54"/>
      <c r="C121" s="54" t="s">
        <v>4036</v>
      </c>
      <c r="D121" s="54" t="s">
        <v>4112</v>
      </c>
      <c r="E121" s="54" t="s">
        <v>3977</v>
      </c>
      <c r="F121" s="57" t="s">
        <v>3976</v>
      </c>
      <c r="G121" s="58" t="s">
        <v>4365</v>
      </c>
      <c r="H121" t="s">
        <v>4365</v>
      </c>
    </row>
    <row r="122" spans="2:8" x14ac:dyDescent="0.25">
      <c r="B122" s="54"/>
      <c r="C122" s="54" t="s">
        <v>4036</v>
      </c>
      <c r="D122" s="54" t="s">
        <v>4113</v>
      </c>
      <c r="E122" s="54" t="s">
        <v>3977</v>
      </c>
      <c r="F122" s="57" t="s">
        <v>3976</v>
      </c>
      <c r="G122" s="58" t="s">
        <v>4365</v>
      </c>
      <c r="H122" t="s">
        <v>4365</v>
      </c>
    </row>
    <row r="123" spans="2:8" x14ac:dyDescent="0.25">
      <c r="B123" s="54"/>
      <c r="C123" s="54" t="s">
        <v>4036</v>
      </c>
      <c r="D123" s="54" t="s">
        <v>4114</v>
      </c>
      <c r="E123" s="54" t="s">
        <v>4037</v>
      </c>
      <c r="F123" s="57" t="s">
        <v>3828</v>
      </c>
      <c r="G123" s="58" t="s">
        <v>4366</v>
      </c>
      <c r="H123" t="s">
        <v>4366</v>
      </c>
    </row>
    <row r="124" spans="2:8" x14ac:dyDescent="0.25">
      <c r="B124" s="54"/>
      <c r="C124" s="54" t="s">
        <v>4036</v>
      </c>
      <c r="D124" s="54" t="s">
        <v>4115</v>
      </c>
      <c r="E124" s="54" t="s">
        <v>4115</v>
      </c>
      <c r="F124" s="57" t="s">
        <v>3967</v>
      </c>
      <c r="G124" s="58" t="s">
        <v>4367</v>
      </c>
      <c r="H124" t="s">
        <v>4367</v>
      </c>
    </row>
    <row r="125" spans="2:8" x14ac:dyDescent="0.25">
      <c r="B125" s="54" t="s">
        <v>4116</v>
      </c>
      <c r="C125" s="54" t="s">
        <v>3995</v>
      </c>
      <c r="D125" s="54" t="s">
        <v>4117</v>
      </c>
      <c r="E125" s="54" t="s">
        <v>4042</v>
      </c>
      <c r="F125" s="57" t="s">
        <v>3827</v>
      </c>
      <c r="G125" s="58" t="s">
        <v>4329</v>
      </c>
      <c r="H125" t="s">
        <v>4329</v>
      </c>
    </row>
    <row r="126" spans="2:8" x14ac:dyDescent="0.25">
      <c r="B126" s="54"/>
      <c r="C126" s="54" t="s">
        <v>3995</v>
      </c>
      <c r="D126" s="54" t="s">
        <v>4118</v>
      </c>
      <c r="E126" s="54" t="s">
        <v>4118</v>
      </c>
      <c r="F126" s="57" t="s">
        <v>3969</v>
      </c>
      <c r="G126" s="58" t="s">
        <v>4368</v>
      </c>
      <c r="H126" t="s">
        <v>4368</v>
      </c>
    </row>
    <row r="127" spans="2:8" x14ac:dyDescent="0.25">
      <c r="B127" s="54" t="s">
        <v>4119</v>
      </c>
      <c r="C127" s="54" t="s">
        <v>4054</v>
      </c>
      <c r="D127" s="54"/>
      <c r="E127" s="54" t="s">
        <v>4042</v>
      </c>
      <c r="F127" s="57" t="s">
        <v>3827</v>
      </c>
      <c r="G127" s="58" t="s">
        <v>4369</v>
      </c>
      <c r="H127" t="s">
        <v>4369</v>
      </c>
    </row>
    <row r="128" spans="2:8" x14ac:dyDescent="0.25">
      <c r="B128" s="54" t="s">
        <v>4119</v>
      </c>
      <c r="C128" s="54" t="s">
        <v>4120</v>
      </c>
      <c r="D128" s="54"/>
      <c r="E128" s="54" t="s">
        <v>4042</v>
      </c>
      <c r="F128" s="57" t="s">
        <v>3827</v>
      </c>
      <c r="G128" s="58" t="s">
        <v>4370</v>
      </c>
      <c r="H128" t="e">
        <v>#N/A</v>
      </c>
    </row>
    <row r="129" spans="2:8" x14ac:dyDescent="0.25">
      <c r="B129" s="54" t="s">
        <v>4119</v>
      </c>
      <c r="C129" s="54" t="s">
        <v>4121</v>
      </c>
      <c r="D129" s="54"/>
      <c r="E129" s="54" t="s">
        <v>4042</v>
      </c>
      <c r="F129" s="57" t="s">
        <v>3827</v>
      </c>
      <c r="G129" s="58" t="s">
        <v>4371</v>
      </c>
      <c r="H129" t="s">
        <v>4371</v>
      </c>
    </row>
    <row r="130" spans="2:8" x14ac:dyDescent="0.25">
      <c r="B130" s="54" t="s">
        <v>4119</v>
      </c>
      <c r="C130" s="54" t="s">
        <v>4072</v>
      </c>
      <c r="D130" s="54"/>
      <c r="E130" s="54" t="s">
        <v>4042</v>
      </c>
      <c r="F130" s="57" t="s">
        <v>3827</v>
      </c>
      <c r="G130" s="58" t="s">
        <v>4326</v>
      </c>
      <c r="H130" t="s">
        <v>4326</v>
      </c>
    </row>
    <row r="131" spans="2:8" x14ac:dyDescent="0.25">
      <c r="B131" s="54" t="s">
        <v>4119</v>
      </c>
      <c r="C131" s="54" t="s">
        <v>4122</v>
      </c>
      <c r="D131" s="54"/>
      <c r="E131" s="54" t="s">
        <v>4042</v>
      </c>
      <c r="F131" s="57" t="s">
        <v>3827</v>
      </c>
      <c r="G131" s="58" t="s">
        <v>4372</v>
      </c>
      <c r="H131" t="s">
        <v>4372</v>
      </c>
    </row>
    <row r="132" spans="2:8" x14ac:dyDescent="0.25">
      <c r="B132" s="54" t="s">
        <v>4119</v>
      </c>
      <c r="C132" s="54" t="s">
        <v>4123</v>
      </c>
      <c r="D132" s="54"/>
      <c r="E132" s="54" t="s">
        <v>4042</v>
      </c>
      <c r="F132" s="57" t="s">
        <v>3827</v>
      </c>
      <c r="G132" s="58" t="s">
        <v>4373</v>
      </c>
      <c r="H132" t="s">
        <v>4373</v>
      </c>
    </row>
    <row r="133" spans="2:8" x14ac:dyDescent="0.25">
      <c r="B133" s="54" t="s">
        <v>4119</v>
      </c>
      <c r="C133" s="54" t="s">
        <v>4124</v>
      </c>
      <c r="D133" s="54"/>
      <c r="E133" s="54" t="s">
        <v>4042</v>
      </c>
      <c r="F133" s="57" t="s">
        <v>3827</v>
      </c>
      <c r="G133" s="58" t="s">
        <v>4374</v>
      </c>
      <c r="H133" t="s">
        <v>4374</v>
      </c>
    </row>
    <row r="134" spans="2:8" x14ac:dyDescent="0.25">
      <c r="B134" s="54" t="s">
        <v>4119</v>
      </c>
      <c r="C134" s="54" t="s">
        <v>4125</v>
      </c>
      <c r="D134" s="54"/>
      <c r="E134" s="54" t="s">
        <v>4042</v>
      </c>
      <c r="F134" s="57" t="s">
        <v>3827</v>
      </c>
      <c r="G134" s="58" t="s">
        <v>4375</v>
      </c>
      <c r="H134" t="s">
        <v>4375</v>
      </c>
    </row>
    <row r="135" spans="2:8" x14ac:dyDescent="0.25">
      <c r="B135" s="54" t="s">
        <v>4119</v>
      </c>
      <c r="C135" s="54" t="s">
        <v>4080</v>
      </c>
      <c r="D135" s="54"/>
      <c r="E135" s="54" t="s">
        <v>4042</v>
      </c>
      <c r="F135" s="57" t="s">
        <v>3827</v>
      </c>
      <c r="G135" s="58" t="s">
        <v>4335</v>
      </c>
      <c r="H135" t="e">
        <v>#N/A</v>
      </c>
    </row>
    <row r="136" spans="2:8" x14ac:dyDescent="0.25">
      <c r="B136" s="54" t="s">
        <v>4119</v>
      </c>
      <c r="C136" s="54" t="s">
        <v>4101</v>
      </c>
      <c r="D136" s="54"/>
      <c r="E136" s="54" t="s">
        <v>4042</v>
      </c>
      <c r="F136" s="57" t="s">
        <v>3827</v>
      </c>
      <c r="G136" s="58" t="s">
        <v>4376</v>
      </c>
      <c r="H136" t="s">
        <v>4376</v>
      </c>
    </row>
    <row r="137" spans="2:8" x14ac:dyDescent="0.25">
      <c r="B137" s="54" t="s">
        <v>4119</v>
      </c>
      <c r="C137" s="54" t="s">
        <v>4126</v>
      </c>
      <c r="D137" s="54"/>
      <c r="E137" s="54" t="s">
        <v>4042</v>
      </c>
      <c r="F137" s="57" t="s">
        <v>3827</v>
      </c>
      <c r="G137" s="58" t="s">
        <v>4377</v>
      </c>
      <c r="H137" t="s">
        <v>4377</v>
      </c>
    </row>
    <row r="138" spans="2:8" x14ac:dyDescent="0.25">
      <c r="B138" s="54" t="s">
        <v>4119</v>
      </c>
      <c r="C138" s="54" t="s">
        <v>4127</v>
      </c>
      <c r="D138" s="54"/>
      <c r="E138" s="54" t="s">
        <v>4042</v>
      </c>
      <c r="F138" s="57" t="s">
        <v>3827</v>
      </c>
      <c r="G138" s="58" t="s">
        <v>4378</v>
      </c>
      <c r="H138" t="e">
        <v>#N/A</v>
      </c>
    </row>
    <row r="139" spans="2:8" x14ac:dyDescent="0.25">
      <c r="B139" s="54"/>
      <c r="C139" s="54" t="s">
        <v>4069</v>
      </c>
      <c r="D139" s="54"/>
      <c r="E139" s="54" t="s">
        <v>4038</v>
      </c>
      <c r="F139" s="57" t="s">
        <v>3827</v>
      </c>
      <c r="G139" s="58" t="s">
        <v>4379</v>
      </c>
      <c r="H139" t="s">
        <v>4379</v>
      </c>
    </row>
    <row r="140" spans="2:8" x14ac:dyDescent="0.25">
      <c r="B140" s="54"/>
      <c r="C140" s="54" t="s">
        <v>4070</v>
      </c>
      <c r="D140" s="54"/>
      <c r="E140" s="54" t="s">
        <v>4038</v>
      </c>
      <c r="F140" s="57" t="s">
        <v>3827</v>
      </c>
      <c r="G140" s="58" t="s">
        <v>4380</v>
      </c>
      <c r="H140" t="s">
        <v>4380</v>
      </c>
    </row>
    <row r="141" spans="2:8" x14ac:dyDescent="0.25">
      <c r="B141" s="54"/>
      <c r="C141" s="54" t="s">
        <v>4128</v>
      </c>
      <c r="D141" s="54"/>
      <c r="E141" s="54" t="s">
        <v>4038</v>
      </c>
      <c r="F141" s="57" t="s">
        <v>3827</v>
      </c>
      <c r="G141" s="58" t="s">
        <v>4381</v>
      </c>
      <c r="H141" t="e">
        <v>#N/A</v>
      </c>
    </row>
    <row r="142" spans="2:8" x14ac:dyDescent="0.25">
      <c r="B142" s="54"/>
      <c r="C142" s="54" t="s">
        <v>4052</v>
      </c>
      <c r="D142" s="54"/>
      <c r="E142" s="54" t="s">
        <v>4038</v>
      </c>
      <c r="F142" s="57" t="s">
        <v>3827</v>
      </c>
      <c r="G142" s="58" t="s">
        <v>4305</v>
      </c>
      <c r="H142" t="e">
        <v>#N/A</v>
      </c>
    </row>
    <row r="143" spans="2:8" x14ac:dyDescent="0.25">
      <c r="B143" s="54"/>
      <c r="C143" s="54" t="s">
        <v>4129</v>
      </c>
      <c r="D143" s="54"/>
      <c r="E143" s="54" t="s">
        <v>4038</v>
      </c>
      <c r="F143" s="57" t="s">
        <v>3827</v>
      </c>
      <c r="G143" s="58" t="s">
        <v>4382</v>
      </c>
      <c r="H143" t="s">
        <v>4382</v>
      </c>
    </row>
    <row r="144" spans="2:8" x14ac:dyDescent="0.25">
      <c r="B144" s="54"/>
      <c r="C144" s="54" t="s">
        <v>4096</v>
      </c>
      <c r="D144" s="54"/>
      <c r="E144" s="54" t="s">
        <v>3850</v>
      </c>
      <c r="F144" s="57" t="s">
        <v>3851</v>
      </c>
      <c r="G144" s="58" t="s">
        <v>4383</v>
      </c>
      <c r="H144" t="s">
        <v>4383</v>
      </c>
    </row>
    <row r="145" spans="2:8" x14ac:dyDescent="0.25">
      <c r="B145" s="54"/>
      <c r="C145" s="54" t="s">
        <v>4130</v>
      </c>
      <c r="D145" s="54" t="s">
        <v>4131</v>
      </c>
      <c r="E145" s="54" t="s">
        <v>4132</v>
      </c>
      <c r="F145" s="57" t="s">
        <v>3953</v>
      </c>
      <c r="G145" s="58" t="s">
        <v>4384</v>
      </c>
      <c r="H145" t="s">
        <v>4384</v>
      </c>
    </row>
    <row r="146" spans="2:8" x14ac:dyDescent="0.25">
      <c r="B146" s="54"/>
      <c r="C146" s="54" t="s">
        <v>4133</v>
      </c>
      <c r="D146" s="54"/>
      <c r="E146" s="54" t="s">
        <v>3974</v>
      </c>
      <c r="F146" s="57" t="s">
        <v>3975</v>
      </c>
      <c r="G146" s="58" t="s">
        <v>4385</v>
      </c>
      <c r="H146" t="s">
        <v>4385</v>
      </c>
    </row>
    <row r="147" spans="2:8" x14ac:dyDescent="0.25">
      <c r="B147" s="54"/>
      <c r="C147" s="54" t="s">
        <v>4134</v>
      </c>
      <c r="D147" s="54"/>
      <c r="E147" s="54" t="s">
        <v>3978</v>
      </c>
      <c r="F147" s="57" t="s">
        <v>3975</v>
      </c>
      <c r="G147" s="58" t="s">
        <v>4386</v>
      </c>
      <c r="H147" t="s">
        <v>4386</v>
      </c>
    </row>
    <row r="148" spans="2:8" x14ac:dyDescent="0.25">
      <c r="B148" s="54"/>
      <c r="C148" s="54" t="s">
        <v>4130</v>
      </c>
      <c r="D148" s="54" t="s">
        <v>4135</v>
      </c>
      <c r="E148" s="54" t="s">
        <v>4136</v>
      </c>
      <c r="F148" s="57" t="s">
        <v>3952</v>
      </c>
      <c r="G148" s="58" t="s">
        <v>4387</v>
      </c>
      <c r="H148" t="s">
        <v>4387</v>
      </c>
    </row>
    <row r="149" spans="2:8" x14ac:dyDescent="0.25">
      <c r="B149" s="54"/>
      <c r="C149" s="54" t="s">
        <v>4130</v>
      </c>
      <c r="D149" s="54" t="s">
        <v>4137</v>
      </c>
      <c r="E149" s="54" t="s">
        <v>4136</v>
      </c>
      <c r="F149" s="57" t="s">
        <v>3952</v>
      </c>
      <c r="G149" s="58" t="s">
        <v>4387</v>
      </c>
      <c r="H149" t="s">
        <v>4387</v>
      </c>
    </row>
    <row r="150" spans="2:8" x14ac:dyDescent="0.25">
      <c r="B150" s="54"/>
      <c r="C150" s="54" t="s">
        <v>4130</v>
      </c>
      <c r="D150" s="54" t="s">
        <v>61</v>
      </c>
      <c r="E150" s="54" t="s">
        <v>4138</v>
      </c>
      <c r="F150" s="57" t="s">
        <v>3951</v>
      </c>
      <c r="G150" s="58" t="s">
        <v>4388</v>
      </c>
      <c r="H150" t="s">
        <v>4388</v>
      </c>
    </row>
    <row r="151" spans="2:8" x14ac:dyDescent="0.25">
      <c r="B151" s="54"/>
      <c r="C151" s="54" t="s">
        <v>4139</v>
      </c>
      <c r="D151" s="54" t="s">
        <v>4140</v>
      </c>
      <c r="E151" s="54" t="s">
        <v>4138</v>
      </c>
      <c r="F151" s="57" t="s">
        <v>3951</v>
      </c>
      <c r="G151" s="58" t="s">
        <v>4389</v>
      </c>
      <c r="H151" t="s">
        <v>4389</v>
      </c>
    </row>
    <row r="152" spans="2:8" x14ac:dyDescent="0.25">
      <c r="B152" s="54"/>
      <c r="C152" s="54" t="s">
        <v>4141</v>
      </c>
      <c r="D152" s="54"/>
      <c r="E152" s="54" t="s">
        <v>4138</v>
      </c>
      <c r="F152" s="57" t="s">
        <v>3951</v>
      </c>
      <c r="G152" s="58" t="s">
        <v>4390</v>
      </c>
      <c r="H152" t="s">
        <v>4390</v>
      </c>
    </row>
    <row r="153" spans="2:8" x14ac:dyDescent="0.25">
      <c r="B153" s="55" t="s">
        <v>4142</v>
      </c>
      <c r="C153" s="55" t="s">
        <v>4143</v>
      </c>
      <c r="D153" s="55" t="s">
        <v>4144</v>
      </c>
      <c r="E153" s="55" t="s">
        <v>4033</v>
      </c>
      <c r="F153" s="55" t="e">
        <v>#N/A</v>
      </c>
      <c r="G153" s="55" t="s">
        <v>4391</v>
      </c>
      <c r="H153" s="55" t="e">
        <v>#N/A</v>
      </c>
    </row>
    <row r="154" spans="2:8" x14ac:dyDescent="0.25">
      <c r="B154" s="55" t="s">
        <v>4142</v>
      </c>
      <c r="C154" s="55" t="s">
        <v>4143</v>
      </c>
      <c r="D154" s="55" t="s">
        <v>4145</v>
      </c>
      <c r="E154" s="55" t="s">
        <v>4033</v>
      </c>
      <c r="F154" s="55" t="e">
        <v>#N/A</v>
      </c>
      <c r="G154" s="55" t="s">
        <v>4391</v>
      </c>
      <c r="H154" s="55" t="e">
        <v>#N/A</v>
      </c>
    </row>
    <row r="155" spans="2:8" x14ac:dyDescent="0.25">
      <c r="B155" s="55" t="s">
        <v>3994</v>
      </c>
      <c r="C155" s="55" t="s">
        <v>4050</v>
      </c>
      <c r="D155" s="55" t="s">
        <v>4146</v>
      </c>
      <c r="E155" s="55" t="s">
        <v>4033</v>
      </c>
      <c r="F155" s="55" t="e">
        <v>#N/A</v>
      </c>
      <c r="G155" s="55" t="s">
        <v>4351</v>
      </c>
      <c r="H155" s="55" t="e">
        <v>#N/A</v>
      </c>
    </row>
    <row r="156" spans="2:8" x14ac:dyDescent="0.25">
      <c r="B156" s="55" t="s">
        <v>4147</v>
      </c>
      <c r="C156" s="55" t="s">
        <v>4143</v>
      </c>
      <c r="D156" s="55" t="s">
        <v>4148</v>
      </c>
      <c r="E156" s="55" t="s">
        <v>4033</v>
      </c>
      <c r="F156" s="55" t="e">
        <v>#N/A</v>
      </c>
      <c r="G156" s="55" t="s">
        <v>4391</v>
      </c>
      <c r="H156" s="55" t="e">
        <v>#N/A</v>
      </c>
    </row>
    <row r="157" spans="2:8" x14ac:dyDescent="0.25">
      <c r="B157" s="55" t="s">
        <v>4142</v>
      </c>
      <c r="C157" s="55" t="s">
        <v>4143</v>
      </c>
      <c r="D157" s="55" t="s">
        <v>4149</v>
      </c>
      <c r="E157" s="55" t="s">
        <v>4033</v>
      </c>
      <c r="F157" s="55" t="e">
        <v>#N/A</v>
      </c>
      <c r="G157" s="55" t="s">
        <v>4391</v>
      </c>
      <c r="H157" s="55" t="e">
        <v>#N/A</v>
      </c>
    </row>
    <row r="158" spans="2:8" x14ac:dyDescent="0.25">
      <c r="B158" s="55" t="s">
        <v>3994</v>
      </c>
      <c r="C158" s="55" t="s">
        <v>4050</v>
      </c>
      <c r="D158" s="55" t="s">
        <v>4150</v>
      </c>
      <c r="E158" s="55" t="s">
        <v>4033</v>
      </c>
      <c r="F158" s="55" t="e">
        <v>#N/A</v>
      </c>
      <c r="G158" s="55" t="s">
        <v>4351</v>
      </c>
      <c r="H158" s="55" t="e">
        <v>#N/A</v>
      </c>
    </row>
    <row r="159" spans="2:8" x14ac:dyDescent="0.25">
      <c r="B159" s="55" t="s">
        <v>4142</v>
      </c>
      <c r="C159" s="55" t="s">
        <v>4143</v>
      </c>
      <c r="D159" s="55" t="s">
        <v>4151</v>
      </c>
      <c r="E159" s="55" t="s">
        <v>4033</v>
      </c>
      <c r="F159" s="55" t="e">
        <v>#N/A</v>
      </c>
      <c r="G159" s="55" t="s">
        <v>4391</v>
      </c>
      <c r="H159" s="55" t="e">
        <v>#N/A</v>
      </c>
    </row>
    <row r="160" spans="2:8" x14ac:dyDescent="0.25">
      <c r="B160" s="55" t="s">
        <v>4147</v>
      </c>
      <c r="C160" s="55" t="s">
        <v>4143</v>
      </c>
      <c r="D160" s="55" t="s">
        <v>4152</v>
      </c>
      <c r="E160" s="55" t="s">
        <v>4033</v>
      </c>
      <c r="F160" s="55" t="e">
        <v>#N/A</v>
      </c>
      <c r="G160" s="55" t="s">
        <v>4391</v>
      </c>
      <c r="H160" s="55" t="e">
        <v>#N/A</v>
      </c>
    </row>
    <row r="161" spans="2:8" x14ac:dyDescent="0.25">
      <c r="B161" s="55" t="s">
        <v>4142</v>
      </c>
      <c r="C161" s="55" t="s">
        <v>4143</v>
      </c>
      <c r="D161" s="55" t="s">
        <v>4153</v>
      </c>
      <c r="E161" s="55" t="s">
        <v>4033</v>
      </c>
      <c r="F161" s="55" t="e">
        <v>#N/A</v>
      </c>
      <c r="G161" s="55" t="s">
        <v>4391</v>
      </c>
      <c r="H161" s="55" t="e">
        <v>#N/A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AM1048576"/>
  <sheetViews>
    <sheetView showGridLines="0" topLeftCell="A16" workbookViewId="0"/>
  </sheetViews>
  <sheetFormatPr defaultRowHeight="15" x14ac:dyDescent="0.25"/>
  <cols>
    <col min="1" max="1" width="21" bestFit="1" customWidth="1"/>
    <col min="2" max="2" width="32" customWidth="1"/>
    <col min="3" max="3" width="28.42578125" bestFit="1" customWidth="1"/>
    <col min="4" max="4" width="25.85546875" customWidth="1"/>
    <col min="5" max="5" width="60.7109375" customWidth="1"/>
    <col min="6" max="6" width="26" bestFit="1" customWidth="1"/>
    <col min="7" max="7" width="55.7109375" bestFit="1" customWidth="1"/>
    <col min="8" max="8" width="51.28515625" hidden="1" customWidth="1"/>
    <col min="9" max="9" width="23.140625" customWidth="1"/>
    <col min="12" max="12" width="20.5703125" bestFit="1" customWidth="1"/>
    <col min="13" max="13" width="20" customWidth="1"/>
    <col min="14" max="14" width="17.85546875" customWidth="1"/>
    <col min="15" max="15" width="16.5703125" customWidth="1"/>
    <col min="16" max="16" width="87.7109375" bestFit="1" customWidth="1"/>
    <col min="17" max="17" width="22" bestFit="1" customWidth="1"/>
    <col min="18" max="18" width="37.7109375" bestFit="1" customWidth="1"/>
    <col min="19" max="19" width="53.42578125" bestFit="1" customWidth="1"/>
    <col min="22" max="22" width="24" bestFit="1" customWidth="1"/>
    <col min="23" max="23" width="23" bestFit="1" customWidth="1"/>
    <col min="24" max="24" width="25.28515625" bestFit="1" customWidth="1"/>
    <col min="25" max="25" width="27.85546875" bestFit="1" customWidth="1"/>
    <col min="26" max="26" width="82.5703125" bestFit="1" customWidth="1"/>
    <col min="27" max="27" width="16.140625" bestFit="1" customWidth="1"/>
    <col min="28" max="28" width="51.5703125" bestFit="1" customWidth="1"/>
    <col min="32" max="32" width="22.85546875" bestFit="1" customWidth="1"/>
    <col min="33" max="33" width="26.85546875" bestFit="1" customWidth="1"/>
    <col min="34" max="34" width="25" bestFit="1" customWidth="1"/>
    <col min="35" max="35" width="22.5703125" bestFit="1" customWidth="1"/>
    <col min="36" max="36" width="66.42578125" bestFit="1" customWidth="1"/>
    <col min="37" max="37" width="26.85546875" bestFit="1" customWidth="1"/>
    <col min="38" max="38" width="44" bestFit="1" customWidth="1"/>
  </cols>
  <sheetData>
    <row r="1" spans="1:38" x14ac:dyDescent="0.25">
      <c r="A1" s="64" t="s">
        <v>3985</v>
      </c>
      <c r="L1" s="40" t="s">
        <v>3986</v>
      </c>
      <c r="V1" s="59" t="s">
        <v>4154</v>
      </c>
      <c r="AF1" s="60" t="s">
        <v>4155</v>
      </c>
    </row>
    <row r="2" spans="1:38" x14ac:dyDescent="0.25">
      <c r="A2" s="64" t="s">
        <v>3987</v>
      </c>
      <c r="B2" s="64" t="s">
        <v>3988</v>
      </c>
      <c r="C2" s="64" t="s">
        <v>3989</v>
      </c>
      <c r="D2" s="64" t="s">
        <v>3990</v>
      </c>
      <c r="E2" s="64" t="s">
        <v>3991</v>
      </c>
      <c r="F2" s="64" t="s">
        <v>3992</v>
      </c>
      <c r="G2" s="64" t="s">
        <v>3993</v>
      </c>
      <c r="H2" s="61" t="s">
        <v>4156</v>
      </c>
      <c r="L2" s="40" t="s">
        <v>3987</v>
      </c>
      <c r="M2" s="40" t="s">
        <v>3988</v>
      </c>
      <c r="N2" s="40" t="s">
        <v>3989</v>
      </c>
      <c r="O2" s="40" t="s">
        <v>3990</v>
      </c>
      <c r="P2" s="40" t="s">
        <v>3991</v>
      </c>
      <c r="Q2" s="40" t="s">
        <v>3992</v>
      </c>
      <c r="R2" s="40" t="s">
        <v>3993</v>
      </c>
      <c r="S2" s="61" t="s">
        <v>4156</v>
      </c>
      <c r="V2" s="59" t="s">
        <v>3987</v>
      </c>
      <c r="W2" s="59" t="s">
        <v>3988</v>
      </c>
      <c r="X2" s="59" t="s">
        <v>3989</v>
      </c>
      <c r="Y2" s="59" t="s">
        <v>3990</v>
      </c>
      <c r="Z2" s="59" t="s">
        <v>3991</v>
      </c>
      <c r="AA2" s="59" t="s">
        <v>3992</v>
      </c>
      <c r="AB2" s="59" t="s">
        <v>3993</v>
      </c>
      <c r="AF2" s="60" t="s">
        <v>3987</v>
      </c>
      <c r="AG2" s="60" t="s">
        <v>3988</v>
      </c>
      <c r="AH2" s="60" t="s">
        <v>3989</v>
      </c>
      <c r="AI2" s="60" t="s">
        <v>3990</v>
      </c>
      <c r="AJ2" s="60" t="s">
        <v>3991</v>
      </c>
      <c r="AK2" s="60" t="s">
        <v>3992</v>
      </c>
      <c r="AL2" s="60" t="s">
        <v>3993</v>
      </c>
    </row>
    <row r="3" spans="1:38" x14ac:dyDescent="0.25">
      <c r="A3" s="41" t="s">
        <v>3994</v>
      </c>
      <c r="B3" s="41" t="s">
        <v>3995</v>
      </c>
      <c r="C3" s="41" t="s">
        <v>3996</v>
      </c>
      <c r="D3" s="42" t="s">
        <v>3997</v>
      </c>
      <c r="E3" s="42" t="s">
        <v>4392</v>
      </c>
      <c r="F3" s="41" t="s">
        <v>3998</v>
      </c>
      <c r="G3" s="41" t="s">
        <v>3983</v>
      </c>
      <c r="H3" t="s">
        <v>4393</v>
      </c>
      <c r="L3" s="44" t="s">
        <v>3999</v>
      </c>
      <c r="M3" s="44" t="s">
        <v>3995</v>
      </c>
      <c r="N3" s="44" t="s">
        <v>3996</v>
      </c>
      <c r="O3" s="44" t="s">
        <v>4000</v>
      </c>
      <c r="P3" s="44" t="s">
        <v>4394</v>
      </c>
      <c r="Q3" s="44" t="s">
        <v>4001</v>
      </c>
      <c r="R3" s="44" t="s">
        <v>3984</v>
      </c>
      <c r="S3" t="s">
        <v>4303</v>
      </c>
      <c r="V3" s="44" t="s">
        <v>4158</v>
      </c>
      <c r="W3" s="44" t="s">
        <v>4032</v>
      </c>
      <c r="X3" s="44" t="s">
        <v>4159</v>
      </c>
      <c r="Y3" s="44" t="s">
        <v>4160</v>
      </c>
      <c r="Z3" s="44" t="s">
        <v>4395</v>
      </c>
      <c r="AA3" s="44" t="s">
        <v>4029</v>
      </c>
      <c r="AB3" s="44" t="s">
        <v>3819</v>
      </c>
      <c r="AF3" s="44" t="s">
        <v>4161</v>
      </c>
      <c r="AG3" s="44" t="s">
        <v>3995</v>
      </c>
      <c r="AH3" s="44" t="s">
        <v>4162</v>
      </c>
      <c r="AI3" s="44" t="s">
        <v>4163</v>
      </c>
      <c r="AJ3" s="44" t="str">
        <f>AF3&amp;AG3&amp;AH3</f>
        <v>Retenção Oi ControleAplicação de OfertaErro sistêmico</v>
      </c>
      <c r="AK3" s="44" t="s">
        <v>4042</v>
      </c>
      <c r="AL3" s="44" t="s">
        <v>3823</v>
      </c>
    </row>
    <row r="4" spans="1:38" x14ac:dyDescent="0.25">
      <c r="A4" s="43" t="s">
        <v>3994</v>
      </c>
      <c r="B4" s="43" t="s">
        <v>3995</v>
      </c>
      <c r="C4" s="43" t="s">
        <v>4002</v>
      </c>
      <c r="D4" s="42" t="s">
        <v>3997</v>
      </c>
      <c r="E4" s="42" t="s">
        <v>4396</v>
      </c>
      <c r="F4" s="41" t="s">
        <v>4164</v>
      </c>
      <c r="G4" s="41" t="s">
        <v>4004</v>
      </c>
      <c r="H4" t="s">
        <v>4397</v>
      </c>
      <c r="L4" s="44" t="s">
        <v>4165</v>
      </c>
      <c r="M4" s="44" t="s">
        <v>4036</v>
      </c>
      <c r="N4" s="44" t="s">
        <v>4166</v>
      </c>
      <c r="O4" s="44" t="s">
        <v>4000</v>
      </c>
      <c r="P4" s="44" t="s">
        <v>4398</v>
      </c>
      <c r="Q4" s="44" t="s">
        <v>4037</v>
      </c>
      <c r="R4" s="44" t="s">
        <v>3833</v>
      </c>
      <c r="S4" t="s">
        <v>4366</v>
      </c>
      <c r="V4" s="44" t="s">
        <v>4158</v>
      </c>
      <c r="W4" s="44" t="s">
        <v>4032</v>
      </c>
      <c r="X4" s="44"/>
      <c r="Y4" s="44" t="s">
        <v>4160</v>
      </c>
      <c r="Z4" s="44" t="s">
        <v>4399</v>
      </c>
      <c r="AA4" s="44" t="s">
        <v>4029</v>
      </c>
      <c r="AB4" s="44" t="s">
        <v>3819</v>
      </c>
      <c r="AF4" s="44" t="s">
        <v>4161</v>
      </c>
      <c r="AG4" s="44" t="s">
        <v>8</v>
      </c>
      <c r="AH4" s="44" t="s">
        <v>4167</v>
      </c>
      <c r="AI4" s="44" t="s">
        <v>4163</v>
      </c>
      <c r="AJ4" s="44" t="str">
        <f t="shared" ref="AJ4:AJ40" si="0">AF4&amp;AG4&amp;AH4</f>
        <v>Retenção Oi ControleDowngradeErro Sistêmico</v>
      </c>
      <c r="AK4" s="44" t="s">
        <v>4042</v>
      </c>
      <c r="AL4" s="44" t="s">
        <v>3823</v>
      </c>
    </row>
    <row r="5" spans="1:38" x14ac:dyDescent="0.25">
      <c r="A5" s="44" t="s">
        <v>4168</v>
      </c>
      <c r="B5" s="44" t="s">
        <v>4096</v>
      </c>
      <c r="C5" s="44" t="s">
        <v>4169</v>
      </c>
      <c r="D5" s="44" t="s">
        <v>3997</v>
      </c>
      <c r="E5" s="44" t="s">
        <v>4400</v>
      </c>
      <c r="F5" s="44" t="s">
        <v>3850</v>
      </c>
      <c r="G5" s="62" t="s">
        <v>3851</v>
      </c>
      <c r="H5" t="s">
        <v>4383</v>
      </c>
      <c r="L5" s="44" t="s">
        <v>4170</v>
      </c>
      <c r="M5" s="44" t="s">
        <v>4036</v>
      </c>
      <c r="N5" s="44" t="s">
        <v>4171</v>
      </c>
      <c r="O5" s="44" t="s">
        <v>4000</v>
      </c>
      <c r="P5" s="44" t="s">
        <v>4401</v>
      </c>
      <c r="Q5" s="44" t="s">
        <v>4037</v>
      </c>
      <c r="R5" s="44" t="s">
        <v>3833</v>
      </c>
      <c r="S5" t="s">
        <v>4366</v>
      </c>
      <c r="V5" s="44" t="s">
        <v>4158</v>
      </c>
      <c r="W5" s="44" t="s">
        <v>4172</v>
      </c>
      <c r="X5" s="44" t="s">
        <v>4054</v>
      </c>
      <c r="Y5" s="44" t="s">
        <v>4160</v>
      </c>
      <c r="Z5" s="44" t="s">
        <v>4402</v>
      </c>
      <c r="AA5" s="44" t="s">
        <v>4029</v>
      </c>
      <c r="AB5" s="44" t="s">
        <v>3819</v>
      </c>
      <c r="AF5" s="44" t="s">
        <v>4161</v>
      </c>
      <c r="AG5" s="44" t="s">
        <v>3995</v>
      </c>
      <c r="AH5" s="44" t="s">
        <v>4173</v>
      </c>
      <c r="AI5" s="44" t="s">
        <v>4163</v>
      </c>
      <c r="AJ5" s="44" t="str">
        <f t="shared" si="0"/>
        <v>Retenção Oi ControleAplicação de OfertaAplicação de bônus e upgrade</v>
      </c>
      <c r="AK5" s="44" t="s">
        <v>4042</v>
      </c>
      <c r="AL5" s="44" t="s">
        <v>3823</v>
      </c>
    </row>
    <row r="6" spans="1:38" x14ac:dyDescent="0.25">
      <c r="A6" s="44" t="s">
        <v>3994</v>
      </c>
      <c r="B6" s="44" t="s">
        <v>4130</v>
      </c>
      <c r="C6" s="44" t="s">
        <v>4135</v>
      </c>
      <c r="D6" s="44" t="s">
        <v>3997</v>
      </c>
      <c r="E6" s="44" t="s">
        <v>4403</v>
      </c>
      <c r="F6" s="44" t="s">
        <v>4136</v>
      </c>
      <c r="G6" s="44" t="s">
        <v>3952</v>
      </c>
      <c r="H6" t="s">
        <v>4387</v>
      </c>
      <c r="L6" s="44" t="s">
        <v>4165</v>
      </c>
      <c r="M6" s="44" t="s">
        <v>4036</v>
      </c>
      <c r="N6" s="44" t="s">
        <v>4171</v>
      </c>
      <c r="O6" s="44" t="s">
        <v>4000</v>
      </c>
      <c r="P6" s="44" t="s">
        <v>4404</v>
      </c>
      <c r="Q6" s="44" t="s">
        <v>4037</v>
      </c>
      <c r="R6" s="44" t="s">
        <v>3833</v>
      </c>
      <c r="S6" t="s">
        <v>4366</v>
      </c>
      <c r="V6" s="44" t="s">
        <v>4158</v>
      </c>
      <c r="W6" s="44" t="s">
        <v>4032</v>
      </c>
      <c r="X6" s="44" t="s">
        <v>4174</v>
      </c>
      <c r="Y6" s="44" t="s">
        <v>4160</v>
      </c>
      <c r="Z6" s="44" t="s">
        <v>4405</v>
      </c>
      <c r="AA6" s="44" t="s">
        <v>4029</v>
      </c>
      <c r="AB6" s="44" t="s">
        <v>3819</v>
      </c>
      <c r="AF6" s="44" t="s">
        <v>4161</v>
      </c>
      <c r="AG6" s="44" t="s">
        <v>3995</v>
      </c>
      <c r="AH6" s="44" t="s">
        <v>4175</v>
      </c>
      <c r="AI6" s="44" t="s">
        <v>4163</v>
      </c>
      <c r="AJ6" s="44" t="str">
        <f t="shared" si="0"/>
        <v>Retenção Oi ControleAplicação de OfertaPerda e Roubo</v>
      </c>
      <c r="AK6" s="44" t="s">
        <v>4042</v>
      </c>
      <c r="AL6" s="44" t="s">
        <v>3823</v>
      </c>
    </row>
    <row r="7" spans="1:38" x14ac:dyDescent="0.25">
      <c r="A7" s="44" t="s">
        <v>3994</v>
      </c>
      <c r="B7" s="44" t="s">
        <v>4176</v>
      </c>
      <c r="C7" s="44" t="s">
        <v>4137</v>
      </c>
      <c r="D7" s="44" t="s">
        <v>3997</v>
      </c>
      <c r="E7" s="44" t="s">
        <v>4406</v>
      </c>
      <c r="F7" s="44" t="s">
        <v>4136</v>
      </c>
      <c r="G7" s="44" t="s">
        <v>3952</v>
      </c>
      <c r="H7" t="s">
        <v>4407</v>
      </c>
      <c r="L7" s="44" t="s">
        <v>4170</v>
      </c>
      <c r="M7" s="44" t="s">
        <v>4036</v>
      </c>
      <c r="N7" s="44" t="s">
        <v>4177</v>
      </c>
      <c r="O7" s="44" t="s">
        <v>4000</v>
      </c>
      <c r="P7" s="44" t="s">
        <v>4408</v>
      </c>
      <c r="Q7" s="44" t="s">
        <v>4037</v>
      </c>
      <c r="R7" s="44" t="s">
        <v>3833</v>
      </c>
      <c r="S7" t="s">
        <v>4366</v>
      </c>
      <c r="V7" s="44" t="s">
        <v>4158</v>
      </c>
      <c r="W7" s="44" t="s">
        <v>4032</v>
      </c>
      <c r="X7" s="44" t="s">
        <v>4178</v>
      </c>
      <c r="Y7" s="44" t="s">
        <v>4160</v>
      </c>
      <c r="Z7" s="44" t="s">
        <v>4409</v>
      </c>
      <c r="AA7" s="44" t="s">
        <v>4029</v>
      </c>
      <c r="AB7" s="44" t="s">
        <v>3819</v>
      </c>
      <c r="AF7" s="44" t="s">
        <v>4161</v>
      </c>
      <c r="AG7" s="44" t="s">
        <v>3995</v>
      </c>
      <c r="AH7" s="44" t="s">
        <v>4179</v>
      </c>
      <c r="AI7" s="44" t="s">
        <v>4163</v>
      </c>
      <c r="AJ7" s="44" t="str">
        <f t="shared" si="0"/>
        <v>Retenção Oi ControleAplicação de OfertaAtivação Siebel</v>
      </c>
      <c r="AK7" s="44" t="s">
        <v>4042</v>
      </c>
      <c r="AL7" s="44" t="s">
        <v>3823</v>
      </c>
    </row>
    <row r="8" spans="1:38" x14ac:dyDescent="0.25">
      <c r="A8" s="44" t="s">
        <v>4100</v>
      </c>
      <c r="B8" s="44" t="s">
        <v>4101</v>
      </c>
      <c r="C8" s="44" t="s">
        <v>4180</v>
      </c>
      <c r="D8" s="44" t="s">
        <v>3997</v>
      </c>
      <c r="E8" s="44" t="s">
        <v>4410</v>
      </c>
      <c r="F8" s="44" t="s">
        <v>4102</v>
      </c>
      <c r="G8" s="44" t="s">
        <v>3971</v>
      </c>
      <c r="H8" t="s">
        <v>4356</v>
      </c>
      <c r="L8" s="44" t="s">
        <v>4165</v>
      </c>
      <c r="M8" s="44" t="s">
        <v>4036</v>
      </c>
      <c r="N8" s="44" t="s">
        <v>4181</v>
      </c>
      <c r="O8" s="44" t="s">
        <v>4000</v>
      </c>
      <c r="P8" s="44" t="s">
        <v>4411</v>
      </c>
      <c r="Q8" s="44" t="s">
        <v>4037</v>
      </c>
      <c r="R8" s="44" t="s">
        <v>3833</v>
      </c>
      <c r="S8" t="s">
        <v>4366</v>
      </c>
      <c r="V8" s="44" t="s">
        <v>4158</v>
      </c>
      <c r="W8" s="44" t="s">
        <v>4032</v>
      </c>
      <c r="X8" s="44" t="s">
        <v>4182</v>
      </c>
      <c r="Y8" s="44" t="s">
        <v>4160</v>
      </c>
      <c r="Z8" s="44" t="s">
        <v>4412</v>
      </c>
      <c r="AA8" s="44" t="s">
        <v>4029</v>
      </c>
      <c r="AB8" s="44" t="s">
        <v>3819</v>
      </c>
      <c r="AF8" s="44" t="s">
        <v>4161</v>
      </c>
      <c r="AG8" s="44" t="s">
        <v>8</v>
      </c>
      <c r="AH8" s="44" t="s">
        <v>4183</v>
      </c>
      <c r="AI8" s="44" t="s">
        <v>4163</v>
      </c>
      <c r="AJ8" s="44" t="str">
        <f t="shared" si="0"/>
        <v>Retenção Oi ControleDowngradeLinha com Flag ou Bloqueio</v>
      </c>
      <c r="AK8" s="44" t="s">
        <v>4042</v>
      </c>
      <c r="AL8" s="44" t="s">
        <v>3823</v>
      </c>
    </row>
    <row r="9" spans="1:38" x14ac:dyDescent="0.25">
      <c r="A9" s="44" t="s">
        <v>4100</v>
      </c>
      <c r="B9" s="44" t="s">
        <v>4101</v>
      </c>
      <c r="C9" s="44"/>
      <c r="D9" s="44" t="s">
        <v>3997</v>
      </c>
      <c r="E9" s="44" t="s">
        <v>4413</v>
      </c>
      <c r="F9" s="44" t="s">
        <v>4102</v>
      </c>
      <c r="G9" s="44" t="s">
        <v>3971</v>
      </c>
      <c r="H9" t="s">
        <v>4356</v>
      </c>
      <c r="L9" s="44" t="s">
        <v>4165</v>
      </c>
      <c r="M9" s="44" t="s">
        <v>4036</v>
      </c>
      <c r="N9" s="44" t="s">
        <v>4184</v>
      </c>
      <c r="O9" s="44" t="s">
        <v>4000</v>
      </c>
      <c r="P9" s="44" t="s">
        <v>4414</v>
      </c>
      <c r="Q9" s="44" t="s">
        <v>4037</v>
      </c>
      <c r="R9" s="44" t="s">
        <v>3833</v>
      </c>
      <c r="S9" t="s">
        <v>4366</v>
      </c>
      <c r="V9" s="44" t="s">
        <v>4158</v>
      </c>
      <c r="W9" s="44" t="s">
        <v>4028</v>
      </c>
      <c r="X9" s="44" t="s">
        <v>4159</v>
      </c>
      <c r="Y9" s="44" t="s">
        <v>4160</v>
      </c>
      <c r="Z9" s="44" t="s">
        <v>4415</v>
      </c>
      <c r="AA9" s="44" t="s">
        <v>4029</v>
      </c>
      <c r="AB9" s="44" t="s">
        <v>3819</v>
      </c>
      <c r="AF9" s="44" t="s">
        <v>4161</v>
      </c>
      <c r="AG9" s="44" t="s">
        <v>4043</v>
      </c>
      <c r="AH9" s="44" t="s">
        <v>4185</v>
      </c>
      <c r="AI9" s="44" t="s">
        <v>4163</v>
      </c>
      <c r="AJ9" s="44" t="str">
        <f t="shared" si="0"/>
        <v>Retenção Oi ControleAplicação de estornoErro M4U</v>
      </c>
      <c r="AK9" s="44" t="s">
        <v>4042</v>
      </c>
      <c r="AL9" s="44" t="s">
        <v>3823</v>
      </c>
    </row>
    <row r="10" spans="1:38" x14ac:dyDescent="0.25">
      <c r="A10" s="44" t="s">
        <v>3994</v>
      </c>
      <c r="B10" s="44" t="s">
        <v>61</v>
      </c>
      <c r="C10" s="44" t="s">
        <v>4186</v>
      </c>
      <c r="D10" s="44" t="s">
        <v>3997</v>
      </c>
      <c r="E10" s="44" t="s">
        <v>4416</v>
      </c>
      <c r="F10" s="44" t="s">
        <v>61</v>
      </c>
      <c r="G10" s="44" t="s">
        <v>3826</v>
      </c>
      <c r="H10" t="s">
        <v>4308</v>
      </c>
      <c r="L10" s="44" t="s">
        <v>4165</v>
      </c>
      <c r="M10" s="44" t="s">
        <v>4036</v>
      </c>
      <c r="N10" s="44" t="s">
        <v>4187</v>
      </c>
      <c r="O10" s="44" t="s">
        <v>4000</v>
      </c>
      <c r="P10" s="44" t="s">
        <v>4417</v>
      </c>
      <c r="Q10" s="44" t="s">
        <v>4037</v>
      </c>
      <c r="R10" s="44" t="s">
        <v>3833</v>
      </c>
      <c r="S10" t="s">
        <v>4366</v>
      </c>
      <c r="V10" s="44" t="s">
        <v>4158</v>
      </c>
      <c r="W10" s="44" t="s">
        <v>4028</v>
      </c>
      <c r="X10" s="44" t="s">
        <v>4182</v>
      </c>
      <c r="Y10" s="44" t="s">
        <v>4160</v>
      </c>
      <c r="Z10" s="44" t="s">
        <v>4418</v>
      </c>
      <c r="AA10" s="44" t="s">
        <v>4029</v>
      </c>
      <c r="AB10" s="44" t="s">
        <v>3819</v>
      </c>
      <c r="AF10" s="44" t="s">
        <v>4161</v>
      </c>
      <c r="AG10" s="44" t="s">
        <v>4049</v>
      </c>
      <c r="AH10" s="44" t="s">
        <v>61</v>
      </c>
      <c r="AI10" s="44" t="s">
        <v>4163</v>
      </c>
      <c r="AJ10" s="44" t="str">
        <f t="shared" si="0"/>
        <v>Retenção Oi ControleTelevendasCancelamento</v>
      </c>
      <c r="AK10" s="44" t="s">
        <v>4042</v>
      </c>
      <c r="AL10" s="44" t="s">
        <v>3823</v>
      </c>
    </row>
    <row r="11" spans="1:38" x14ac:dyDescent="0.25">
      <c r="A11" s="44" t="s">
        <v>3994</v>
      </c>
      <c r="B11" s="44" t="s">
        <v>61</v>
      </c>
      <c r="C11" s="44" t="s">
        <v>4167</v>
      </c>
      <c r="D11" s="44" t="s">
        <v>3997</v>
      </c>
      <c r="E11" s="44" t="s">
        <v>4419</v>
      </c>
      <c r="F11" s="44" t="s">
        <v>61</v>
      </c>
      <c r="G11" s="44" t="s">
        <v>3826</v>
      </c>
      <c r="H11" t="s">
        <v>4308</v>
      </c>
      <c r="L11" s="44" t="s">
        <v>4170</v>
      </c>
      <c r="M11" s="44" t="s">
        <v>4036</v>
      </c>
      <c r="N11" s="44" t="s">
        <v>4187</v>
      </c>
      <c r="O11" s="44" t="s">
        <v>4000</v>
      </c>
      <c r="P11" s="44" t="s">
        <v>4420</v>
      </c>
      <c r="Q11" s="44" t="s">
        <v>4037</v>
      </c>
      <c r="R11" s="44" t="s">
        <v>3833</v>
      </c>
      <c r="S11" t="s">
        <v>4366</v>
      </c>
      <c r="V11" s="44" t="s">
        <v>4158</v>
      </c>
      <c r="W11" s="44" t="s">
        <v>4028</v>
      </c>
      <c r="X11" s="44" t="s">
        <v>4178</v>
      </c>
      <c r="Y11" s="44" t="s">
        <v>4160</v>
      </c>
      <c r="Z11" s="44" t="s">
        <v>4421</v>
      </c>
      <c r="AA11" s="44" t="s">
        <v>4029</v>
      </c>
      <c r="AB11" s="44" t="s">
        <v>3819</v>
      </c>
      <c r="AF11" s="44" t="s">
        <v>4161</v>
      </c>
      <c r="AG11" s="44" t="s">
        <v>4043</v>
      </c>
      <c r="AH11" s="44"/>
      <c r="AI11" s="44" t="s">
        <v>4163</v>
      </c>
      <c r="AJ11" s="44" t="str">
        <f t="shared" si="0"/>
        <v>Retenção Oi ControleAplicação de estorno</v>
      </c>
      <c r="AK11" s="44" t="s">
        <v>4042</v>
      </c>
      <c r="AL11" s="44" t="s">
        <v>3823</v>
      </c>
    </row>
    <row r="12" spans="1:38" x14ac:dyDescent="0.25">
      <c r="A12" s="44" t="s">
        <v>3994</v>
      </c>
      <c r="B12" s="44" t="s">
        <v>61</v>
      </c>
      <c r="C12" s="44"/>
      <c r="D12" s="44" t="s">
        <v>3997</v>
      </c>
      <c r="E12" s="44" t="s">
        <v>4422</v>
      </c>
      <c r="F12" s="44" t="s">
        <v>61</v>
      </c>
      <c r="G12" s="44" t="s">
        <v>3826</v>
      </c>
      <c r="H12" t="s">
        <v>4308</v>
      </c>
      <c r="L12" s="44" t="s">
        <v>4165</v>
      </c>
      <c r="M12" s="44" t="s">
        <v>4036</v>
      </c>
      <c r="N12" s="44" t="s">
        <v>4188</v>
      </c>
      <c r="O12" s="44" t="s">
        <v>4000</v>
      </c>
      <c r="P12" s="44" t="s">
        <v>4423</v>
      </c>
      <c r="Q12" s="44" t="s">
        <v>4037</v>
      </c>
      <c r="R12" s="44" t="s">
        <v>3833</v>
      </c>
      <c r="S12" t="s">
        <v>4366</v>
      </c>
      <c r="V12" s="44" t="s">
        <v>4158</v>
      </c>
      <c r="W12" s="44" t="s">
        <v>4030</v>
      </c>
      <c r="X12" s="44" t="s">
        <v>4189</v>
      </c>
      <c r="Y12" s="44" t="s">
        <v>4160</v>
      </c>
      <c r="Z12" s="44" t="s">
        <v>4424</v>
      </c>
      <c r="AA12" s="44" t="s">
        <v>4029</v>
      </c>
      <c r="AB12" s="44" t="s">
        <v>3819</v>
      </c>
      <c r="AF12" s="44" t="s">
        <v>4161</v>
      </c>
      <c r="AG12" s="44" t="s">
        <v>4049</v>
      </c>
      <c r="AH12" s="44" t="s">
        <v>4190</v>
      </c>
      <c r="AI12" s="44" t="s">
        <v>4163</v>
      </c>
      <c r="AJ12" s="44" t="str">
        <f t="shared" si="0"/>
        <v>Retenção Oi ControleTelevendasMigração pré pago</v>
      </c>
      <c r="AK12" s="44" t="s">
        <v>4042</v>
      </c>
      <c r="AL12" s="44" t="s">
        <v>3823</v>
      </c>
    </row>
    <row r="13" spans="1:38" x14ac:dyDescent="0.25">
      <c r="A13" s="44" t="s">
        <v>3994</v>
      </c>
      <c r="B13" s="44" t="s">
        <v>61</v>
      </c>
      <c r="C13" s="44" t="s">
        <v>4191</v>
      </c>
      <c r="D13" s="44" t="s">
        <v>3997</v>
      </c>
      <c r="E13" s="44" t="s">
        <v>4425</v>
      </c>
      <c r="F13" s="44" t="s">
        <v>61</v>
      </c>
      <c r="G13" s="44" t="s">
        <v>3826</v>
      </c>
      <c r="H13" t="s">
        <v>4308</v>
      </c>
      <c r="L13" s="44" t="s">
        <v>4170</v>
      </c>
      <c r="M13" s="44" t="s">
        <v>4036</v>
      </c>
      <c r="N13" s="44" t="s">
        <v>4181</v>
      </c>
      <c r="O13" s="44" t="s">
        <v>4000</v>
      </c>
      <c r="P13" s="44" t="s">
        <v>4426</v>
      </c>
      <c r="Q13" s="44" t="s">
        <v>4037</v>
      </c>
      <c r="R13" s="44" t="s">
        <v>3833</v>
      </c>
      <c r="S13" t="s">
        <v>4366</v>
      </c>
      <c r="V13" s="44" t="s">
        <v>4158</v>
      </c>
      <c r="W13" s="44" t="s">
        <v>4032</v>
      </c>
      <c r="X13" s="44" t="s">
        <v>4192</v>
      </c>
      <c r="Y13" s="44" t="s">
        <v>4160</v>
      </c>
      <c r="Z13" s="44" t="s">
        <v>4427</v>
      </c>
      <c r="AA13" s="44" t="s">
        <v>4029</v>
      </c>
      <c r="AB13" s="44" t="s">
        <v>3819</v>
      </c>
      <c r="AF13" s="44" t="s">
        <v>4161</v>
      </c>
      <c r="AG13" s="44" t="s">
        <v>3995</v>
      </c>
      <c r="AH13" s="44"/>
      <c r="AI13" s="44" t="s">
        <v>4163</v>
      </c>
      <c r="AJ13" s="44" t="str">
        <f t="shared" si="0"/>
        <v>Retenção Oi ControleAplicação de Oferta</v>
      </c>
      <c r="AK13" s="44" t="s">
        <v>4042</v>
      </c>
      <c r="AL13" s="44" t="s">
        <v>3823</v>
      </c>
    </row>
    <row r="14" spans="1:38" x14ac:dyDescent="0.25">
      <c r="A14" s="44" t="s">
        <v>3994</v>
      </c>
      <c r="B14" s="44" t="s">
        <v>4106</v>
      </c>
      <c r="C14" s="44" t="s">
        <v>4193</v>
      </c>
      <c r="D14" s="44" t="s">
        <v>3997</v>
      </c>
      <c r="E14" s="44" t="s">
        <v>4428</v>
      </c>
      <c r="F14" s="44" t="s">
        <v>61</v>
      </c>
      <c r="G14" s="44" t="s">
        <v>3826</v>
      </c>
      <c r="H14" t="s">
        <v>4360</v>
      </c>
      <c r="L14" s="44" t="s">
        <v>4170</v>
      </c>
      <c r="M14" s="44" t="s">
        <v>4036</v>
      </c>
      <c r="N14" s="44" t="s">
        <v>4194</v>
      </c>
      <c r="O14" s="44" t="s">
        <v>4000</v>
      </c>
      <c r="P14" s="44" t="s">
        <v>4429</v>
      </c>
      <c r="Q14" s="44" t="s">
        <v>4037</v>
      </c>
      <c r="R14" s="44" t="s">
        <v>3833</v>
      </c>
      <c r="S14" t="s">
        <v>4366</v>
      </c>
      <c r="V14" s="44" t="s">
        <v>4195</v>
      </c>
      <c r="W14" s="44" t="s">
        <v>4196</v>
      </c>
      <c r="X14" s="44" t="s">
        <v>4159</v>
      </c>
      <c r="Y14" s="44" t="s">
        <v>4160</v>
      </c>
      <c r="Z14" s="44" t="s">
        <v>4430</v>
      </c>
      <c r="AA14" s="44" t="s">
        <v>9</v>
      </c>
      <c r="AB14" s="44" t="s">
        <v>3818</v>
      </c>
      <c r="AF14" s="44" t="s">
        <v>4161</v>
      </c>
      <c r="AG14" s="44" t="s">
        <v>4045</v>
      </c>
      <c r="AH14" s="44" t="s">
        <v>4197</v>
      </c>
      <c r="AI14" s="44" t="s">
        <v>4163</v>
      </c>
      <c r="AJ14" s="44" t="str">
        <f t="shared" si="0"/>
        <v>Retenção Oi ControleIlha de ContasMigração pré-pago</v>
      </c>
      <c r="AK14" s="44" t="s">
        <v>4042</v>
      </c>
      <c r="AL14" s="44" t="s">
        <v>3823</v>
      </c>
    </row>
    <row r="15" spans="1:38" x14ac:dyDescent="0.25">
      <c r="A15" s="44" t="s">
        <v>3994</v>
      </c>
      <c r="B15" s="44" t="s">
        <v>61</v>
      </c>
      <c r="C15" s="44" t="s">
        <v>4198</v>
      </c>
      <c r="D15" s="44" t="s">
        <v>3997</v>
      </c>
      <c r="E15" s="44" t="s">
        <v>4431</v>
      </c>
      <c r="F15" s="44" t="s">
        <v>61</v>
      </c>
      <c r="G15" s="44" t="s">
        <v>3826</v>
      </c>
      <c r="H15" t="s">
        <v>4308</v>
      </c>
      <c r="L15" s="44" t="s">
        <v>4165</v>
      </c>
      <c r="M15" s="44" t="s">
        <v>4036</v>
      </c>
      <c r="N15" s="44" t="s">
        <v>4194</v>
      </c>
      <c r="O15" s="44" t="s">
        <v>4000</v>
      </c>
      <c r="P15" s="44" t="s">
        <v>4432</v>
      </c>
      <c r="Q15" s="44" t="s">
        <v>4037</v>
      </c>
      <c r="R15" s="44" t="s">
        <v>3833</v>
      </c>
      <c r="S15" t="s">
        <v>4366</v>
      </c>
      <c r="V15" s="44" t="s">
        <v>4195</v>
      </c>
      <c r="W15" s="44" t="s">
        <v>4199</v>
      </c>
      <c r="X15" s="44" t="s">
        <v>4178</v>
      </c>
      <c r="Y15" s="44" t="s">
        <v>4160</v>
      </c>
      <c r="Z15" s="44" t="s">
        <v>4433</v>
      </c>
      <c r="AA15" s="44" t="s">
        <v>9</v>
      </c>
      <c r="AB15" s="44" t="s">
        <v>3818</v>
      </c>
      <c r="AF15" s="44" t="s">
        <v>4161</v>
      </c>
      <c r="AG15" s="44" t="s">
        <v>4045</v>
      </c>
      <c r="AH15" s="44" t="s">
        <v>61</v>
      </c>
      <c r="AI15" s="44" t="s">
        <v>4163</v>
      </c>
      <c r="AJ15" s="44" t="str">
        <f t="shared" si="0"/>
        <v>Retenção Oi ControleIlha de ContasCancelamento</v>
      </c>
      <c r="AK15" s="44" t="s">
        <v>4042</v>
      </c>
      <c r="AL15" s="44" t="s">
        <v>3823</v>
      </c>
    </row>
    <row r="16" spans="1:38" x14ac:dyDescent="0.25">
      <c r="A16" s="44" t="s">
        <v>3994</v>
      </c>
      <c r="B16" s="44" t="s">
        <v>61</v>
      </c>
      <c r="C16" s="44" t="s">
        <v>4200</v>
      </c>
      <c r="D16" s="44" t="s">
        <v>3997</v>
      </c>
      <c r="E16" s="44" t="s">
        <v>4434</v>
      </c>
      <c r="F16" s="44" t="s">
        <v>61</v>
      </c>
      <c r="G16" s="44" t="s">
        <v>3826</v>
      </c>
      <c r="H16" t="s">
        <v>4308</v>
      </c>
      <c r="L16" s="44" t="s">
        <v>4165</v>
      </c>
      <c r="M16" s="44" t="s">
        <v>4036</v>
      </c>
      <c r="N16" s="44" t="s">
        <v>4201</v>
      </c>
      <c r="O16" s="44" t="s">
        <v>4000</v>
      </c>
      <c r="P16" s="44" t="s">
        <v>4435</v>
      </c>
      <c r="Q16" s="44" t="s">
        <v>4037</v>
      </c>
      <c r="R16" s="44" t="s">
        <v>3833</v>
      </c>
      <c r="S16" t="s">
        <v>4366</v>
      </c>
      <c r="V16" s="44" t="s">
        <v>4195</v>
      </c>
      <c r="W16" s="44" t="s">
        <v>4199</v>
      </c>
      <c r="X16" s="44" t="s">
        <v>4202</v>
      </c>
      <c r="Y16" s="44" t="s">
        <v>4160</v>
      </c>
      <c r="Z16" s="44" t="s">
        <v>4436</v>
      </c>
      <c r="AA16" s="44" t="s">
        <v>9</v>
      </c>
      <c r="AB16" s="44" t="s">
        <v>3818</v>
      </c>
      <c r="AF16" s="44" t="s">
        <v>4161</v>
      </c>
      <c r="AG16" s="44" t="s">
        <v>4045</v>
      </c>
      <c r="AH16" s="44"/>
      <c r="AI16" s="44" t="s">
        <v>4163</v>
      </c>
      <c r="AJ16" s="44" t="str">
        <f t="shared" si="0"/>
        <v>Retenção Oi ControleIlha de Contas</v>
      </c>
      <c r="AK16" s="44" t="s">
        <v>4042</v>
      </c>
      <c r="AL16" s="44" t="s">
        <v>3823</v>
      </c>
    </row>
    <row r="17" spans="1:38" x14ac:dyDescent="0.25">
      <c r="A17" s="44" t="s">
        <v>3994</v>
      </c>
      <c r="B17" s="44" t="s">
        <v>4067</v>
      </c>
      <c r="C17" s="44" t="s">
        <v>4203</v>
      </c>
      <c r="D17" s="44" t="s">
        <v>3997</v>
      </c>
      <c r="E17" s="44" t="s">
        <v>4437</v>
      </c>
      <c r="F17" s="44" t="s">
        <v>61</v>
      </c>
      <c r="G17" s="44" t="s">
        <v>3826</v>
      </c>
      <c r="H17" t="s">
        <v>4321</v>
      </c>
      <c r="L17" s="44" t="s">
        <v>4170</v>
      </c>
      <c r="M17" s="44" t="s">
        <v>4036</v>
      </c>
      <c r="N17" s="44" t="s">
        <v>4201</v>
      </c>
      <c r="O17" s="44" t="s">
        <v>4000</v>
      </c>
      <c r="P17" s="44" t="s">
        <v>4438</v>
      </c>
      <c r="Q17" s="44" t="s">
        <v>4037</v>
      </c>
      <c r="R17" s="44" t="s">
        <v>3833</v>
      </c>
      <c r="S17" t="s">
        <v>4366</v>
      </c>
      <c r="V17" s="44" t="s">
        <v>4195</v>
      </c>
      <c r="W17" s="44" t="s">
        <v>4196</v>
      </c>
      <c r="X17" s="44" t="s">
        <v>4204</v>
      </c>
      <c r="Y17" s="44" t="s">
        <v>4160</v>
      </c>
      <c r="Z17" s="44" t="s">
        <v>4439</v>
      </c>
      <c r="AA17" s="44" t="s">
        <v>9</v>
      </c>
      <c r="AB17" s="44" t="s">
        <v>3818</v>
      </c>
      <c r="AF17" s="44" t="s">
        <v>4161</v>
      </c>
      <c r="AG17" s="44" t="s">
        <v>4044</v>
      </c>
      <c r="AH17" s="44" t="s">
        <v>4197</v>
      </c>
      <c r="AI17" s="44" t="s">
        <v>4163</v>
      </c>
      <c r="AJ17" s="44" t="str">
        <f t="shared" si="0"/>
        <v>Retenção Oi ControleChat/correspondênciaMigração pré-pago</v>
      </c>
      <c r="AK17" s="44" t="s">
        <v>4042</v>
      </c>
      <c r="AL17" s="44" t="s">
        <v>3823</v>
      </c>
    </row>
    <row r="18" spans="1:38" x14ac:dyDescent="0.25">
      <c r="A18" s="44" t="s">
        <v>3994</v>
      </c>
      <c r="B18" s="44" t="s">
        <v>4071</v>
      </c>
      <c r="C18" s="44" t="s">
        <v>4205</v>
      </c>
      <c r="D18" s="44" t="s">
        <v>3997</v>
      </c>
      <c r="E18" s="44" t="s">
        <v>4440</v>
      </c>
      <c r="F18" s="44" t="s">
        <v>61</v>
      </c>
      <c r="G18" s="44" t="s">
        <v>3826</v>
      </c>
      <c r="H18" t="s">
        <v>4325</v>
      </c>
      <c r="L18" s="44" t="s">
        <v>4170</v>
      </c>
      <c r="M18" s="44" t="s">
        <v>4036</v>
      </c>
      <c r="N18" s="44" t="s">
        <v>4184</v>
      </c>
      <c r="O18" s="44" t="s">
        <v>4000</v>
      </c>
      <c r="P18" s="44" t="s">
        <v>4441</v>
      </c>
      <c r="Q18" s="44" t="s">
        <v>4037</v>
      </c>
      <c r="R18" s="44" t="s">
        <v>3833</v>
      </c>
      <c r="S18" t="s">
        <v>4366</v>
      </c>
      <c r="V18" s="44" t="s">
        <v>4195</v>
      </c>
      <c r="W18" s="44" t="s">
        <v>4199</v>
      </c>
      <c r="X18" s="44" t="s">
        <v>4159</v>
      </c>
      <c r="Y18" s="44" t="s">
        <v>4160</v>
      </c>
      <c r="Z18" s="44" t="s">
        <v>4442</v>
      </c>
      <c r="AA18" s="44" t="s">
        <v>9</v>
      </c>
      <c r="AB18" s="44" t="s">
        <v>3818</v>
      </c>
      <c r="AF18" s="44" t="s">
        <v>4161</v>
      </c>
      <c r="AG18" s="44" t="s">
        <v>4044</v>
      </c>
      <c r="AH18" s="44" t="s">
        <v>61</v>
      </c>
      <c r="AI18" s="44" t="s">
        <v>4163</v>
      </c>
      <c r="AJ18" s="44" t="str">
        <f t="shared" si="0"/>
        <v>Retenção Oi ControleChat/correspondênciaCancelamento</v>
      </c>
      <c r="AK18" s="44" t="s">
        <v>4042</v>
      </c>
      <c r="AL18" s="44" t="s">
        <v>3823</v>
      </c>
    </row>
    <row r="19" spans="1:38" x14ac:dyDescent="0.25">
      <c r="A19" s="44" t="s">
        <v>4147</v>
      </c>
      <c r="B19" s="44" t="s">
        <v>4108</v>
      </c>
      <c r="C19" s="44" t="s">
        <v>4206</v>
      </c>
      <c r="D19" s="44" t="s">
        <v>3997</v>
      </c>
      <c r="E19" s="44" t="s">
        <v>4443</v>
      </c>
      <c r="F19" s="44" t="s">
        <v>61</v>
      </c>
      <c r="G19" s="44" t="s">
        <v>3826</v>
      </c>
      <c r="H19" t="s">
        <v>4362</v>
      </c>
      <c r="L19" s="44" t="s">
        <v>4165</v>
      </c>
      <c r="M19" s="44" t="s">
        <v>4036</v>
      </c>
      <c r="N19" s="44"/>
      <c r="O19" s="44" t="s">
        <v>4000</v>
      </c>
      <c r="P19" s="44" t="s">
        <v>4444</v>
      </c>
      <c r="Q19" s="44" t="s">
        <v>4037</v>
      </c>
      <c r="R19" s="44" t="s">
        <v>3833</v>
      </c>
      <c r="S19" t="s">
        <v>4366</v>
      </c>
      <c r="V19" s="44" t="s">
        <v>4195</v>
      </c>
      <c r="W19" s="44" t="s">
        <v>4196</v>
      </c>
      <c r="X19" s="44" t="s">
        <v>4207</v>
      </c>
      <c r="Y19" s="44" t="s">
        <v>4160</v>
      </c>
      <c r="Z19" s="44" t="s">
        <v>4445</v>
      </c>
      <c r="AA19" s="44" t="s">
        <v>9</v>
      </c>
      <c r="AB19" s="44" t="s">
        <v>3818</v>
      </c>
      <c r="AF19" s="44" t="s">
        <v>4161</v>
      </c>
      <c r="AG19" s="44" t="s">
        <v>3995</v>
      </c>
      <c r="AH19" s="44" t="s">
        <v>4208</v>
      </c>
      <c r="AI19" s="44" t="s">
        <v>4163</v>
      </c>
      <c r="AJ19" s="44" t="str">
        <f t="shared" si="0"/>
        <v>Retenção Oi ControleAplicação de OfertaInclusão de benefício</v>
      </c>
      <c r="AK19" s="44" t="s">
        <v>4042</v>
      </c>
      <c r="AL19" s="44" t="s">
        <v>3823</v>
      </c>
    </row>
    <row r="20" spans="1:38" x14ac:dyDescent="0.25">
      <c r="A20" s="44" t="s">
        <v>3994</v>
      </c>
      <c r="B20" s="44" t="s">
        <v>4064</v>
      </c>
      <c r="C20" s="44" t="s">
        <v>4209</v>
      </c>
      <c r="D20" s="44" t="s">
        <v>3997</v>
      </c>
      <c r="E20" s="44" t="s">
        <v>4446</v>
      </c>
      <c r="F20" s="44" t="s">
        <v>61</v>
      </c>
      <c r="G20" s="44" t="s">
        <v>3826</v>
      </c>
      <c r="H20" t="s">
        <v>4318</v>
      </c>
      <c r="L20" s="44" t="s">
        <v>4210</v>
      </c>
      <c r="M20" s="44" t="s">
        <v>4036</v>
      </c>
      <c r="N20" s="44" t="s">
        <v>4171</v>
      </c>
      <c r="O20" s="44" t="s">
        <v>4000</v>
      </c>
      <c r="P20" s="44" t="s">
        <v>4447</v>
      </c>
      <c r="Q20" s="44" t="s">
        <v>4037</v>
      </c>
      <c r="R20" s="44" t="s">
        <v>3833</v>
      </c>
      <c r="S20" t="s">
        <v>4366</v>
      </c>
      <c r="V20" s="44" t="s">
        <v>4195</v>
      </c>
      <c r="W20" s="44" t="s">
        <v>4196</v>
      </c>
      <c r="X20" s="44" t="s">
        <v>4211</v>
      </c>
      <c r="Y20" s="44" t="s">
        <v>4160</v>
      </c>
      <c r="Z20" s="44" t="s">
        <v>4448</v>
      </c>
      <c r="AA20" s="44" t="s">
        <v>9</v>
      </c>
      <c r="AB20" s="44" t="s">
        <v>3818</v>
      </c>
      <c r="AF20" s="44" t="s">
        <v>4161</v>
      </c>
      <c r="AG20" s="44" t="s">
        <v>3995</v>
      </c>
      <c r="AH20" s="44" t="s">
        <v>4212</v>
      </c>
      <c r="AI20" s="44" t="s">
        <v>4163</v>
      </c>
      <c r="AJ20" s="44" t="str">
        <f t="shared" si="0"/>
        <v>Retenção Oi ControleAplicação de OfertaMigração Oi Cartão</v>
      </c>
      <c r="AK20" s="44" t="s">
        <v>4042</v>
      </c>
      <c r="AL20" s="44" t="s">
        <v>3823</v>
      </c>
    </row>
    <row r="21" spans="1:38" x14ac:dyDescent="0.25">
      <c r="A21" s="44" t="s">
        <v>3994</v>
      </c>
      <c r="B21" s="44" t="s">
        <v>61</v>
      </c>
      <c r="C21" s="44" t="s">
        <v>4213</v>
      </c>
      <c r="D21" s="44" t="s">
        <v>3997</v>
      </c>
      <c r="E21" s="44" t="s">
        <v>4449</v>
      </c>
      <c r="F21" s="44" t="s">
        <v>61</v>
      </c>
      <c r="G21" s="44" t="s">
        <v>3826</v>
      </c>
      <c r="H21" t="s">
        <v>4308</v>
      </c>
      <c r="L21" s="44" t="s">
        <v>4165</v>
      </c>
      <c r="M21" s="44" t="s">
        <v>4036</v>
      </c>
      <c r="N21" s="44" t="s">
        <v>4214</v>
      </c>
      <c r="O21" s="44" t="s">
        <v>4000</v>
      </c>
      <c r="P21" s="44" t="s">
        <v>4450</v>
      </c>
      <c r="Q21" s="44" t="s">
        <v>4037</v>
      </c>
      <c r="R21" s="44" t="s">
        <v>3833</v>
      </c>
      <c r="S21" t="s">
        <v>4366</v>
      </c>
      <c r="V21" s="44" t="s">
        <v>4195</v>
      </c>
      <c r="W21" s="44" t="s">
        <v>4196</v>
      </c>
      <c r="X21" s="44" t="s">
        <v>4215</v>
      </c>
      <c r="Y21" s="44" t="s">
        <v>4160</v>
      </c>
      <c r="Z21" s="44" t="s">
        <v>4451</v>
      </c>
      <c r="AA21" s="44" t="s">
        <v>9</v>
      </c>
      <c r="AB21" s="44" t="s">
        <v>3818</v>
      </c>
      <c r="AF21" s="44" t="s">
        <v>4161</v>
      </c>
      <c r="AG21" s="44" t="s">
        <v>4044</v>
      </c>
      <c r="AH21" s="44"/>
      <c r="AI21" s="44" t="s">
        <v>4163</v>
      </c>
      <c r="AJ21" s="44" t="str">
        <f t="shared" si="0"/>
        <v>Retenção Oi ControleChat/correspondência</v>
      </c>
      <c r="AK21" s="44" t="s">
        <v>4042</v>
      </c>
      <c r="AL21" s="44" t="s">
        <v>3823</v>
      </c>
    </row>
    <row r="22" spans="1:38" x14ac:dyDescent="0.25">
      <c r="A22" s="44" t="s">
        <v>3994</v>
      </c>
      <c r="B22" s="44" t="s">
        <v>4064</v>
      </c>
      <c r="C22" s="44" t="s">
        <v>4216</v>
      </c>
      <c r="D22" s="44" t="s">
        <v>3997</v>
      </c>
      <c r="E22" s="44" t="s">
        <v>4452</v>
      </c>
      <c r="F22" s="44" t="s">
        <v>61</v>
      </c>
      <c r="G22" s="44" t="s">
        <v>3826</v>
      </c>
      <c r="H22" t="s">
        <v>4318</v>
      </c>
      <c r="L22" s="44" t="s">
        <v>4165</v>
      </c>
      <c r="M22" s="44" t="s">
        <v>4036</v>
      </c>
      <c r="N22" s="44" t="s">
        <v>4217</v>
      </c>
      <c r="O22" s="44" t="s">
        <v>4000</v>
      </c>
      <c r="P22" s="44" t="s">
        <v>4453</v>
      </c>
      <c r="Q22" s="44" t="s">
        <v>4037</v>
      </c>
      <c r="R22" s="44" t="s">
        <v>3833</v>
      </c>
      <c r="S22" t="s">
        <v>4366</v>
      </c>
      <c r="V22" s="44" t="s">
        <v>4195</v>
      </c>
      <c r="W22" s="44" t="s">
        <v>4196</v>
      </c>
      <c r="X22" s="44" t="s">
        <v>4174</v>
      </c>
      <c r="Y22" s="44" t="s">
        <v>4160</v>
      </c>
      <c r="Z22" s="44" t="s">
        <v>4454</v>
      </c>
      <c r="AA22" s="44" t="s">
        <v>9</v>
      </c>
      <c r="AB22" s="44" t="s">
        <v>3818</v>
      </c>
      <c r="AF22" s="44" t="s">
        <v>4161</v>
      </c>
      <c r="AG22" s="44" t="s">
        <v>4046</v>
      </c>
      <c r="AH22" s="44"/>
      <c r="AI22" s="44" t="s">
        <v>4163</v>
      </c>
      <c r="AJ22" s="44" t="str">
        <f t="shared" si="0"/>
        <v>Retenção Oi ControleOuvidoria</v>
      </c>
      <c r="AK22" s="44" t="s">
        <v>4042</v>
      </c>
      <c r="AL22" s="44" t="s">
        <v>3823</v>
      </c>
    </row>
    <row r="23" spans="1:38" x14ac:dyDescent="0.25">
      <c r="A23" s="44" t="s">
        <v>3994</v>
      </c>
      <c r="B23" s="44" t="s">
        <v>4064</v>
      </c>
      <c r="C23" s="44" t="s">
        <v>4218</v>
      </c>
      <c r="D23" s="44" t="s">
        <v>3997</v>
      </c>
      <c r="E23" s="44" t="s">
        <v>4455</v>
      </c>
      <c r="F23" s="44" t="s">
        <v>61</v>
      </c>
      <c r="G23" s="44" t="s">
        <v>3826</v>
      </c>
      <c r="H23" t="s">
        <v>4318</v>
      </c>
      <c r="L23" s="44" t="s">
        <v>4170</v>
      </c>
      <c r="M23" s="44" t="s">
        <v>4036</v>
      </c>
      <c r="N23" s="44"/>
      <c r="O23" s="44" t="s">
        <v>4000</v>
      </c>
      <c r="P23" s="44" t="s">
        <v>4456</v>
      </c>
      <c r="Q23" s="44" t="s">
        <v>4037</v>
      </c>
      <c r="R23" s="44" t="s">
        <v>3833</v>
      </c>
      <c r="S23" t="s">
        <v>4366</v>
      </c>
      <c r="V23" s="44" t="s">
        <v>4195</v>
      </c>
      <c r="W23" s="44" t="s">
        <v>4199</v>
      </c>
      <c r="X23" s="44"/>
      <c r="Y23" s="44" t="s">
        <v>4160</v>
      </c>
      <c r="Z23" s="44" t="s">
        <v>4457</v>
      </c>
      <c r="AA23" s="44" t="s">
        <v>9</v>
      </c>
      <c r="AB23" s="44" t="s">
        <v>3818</v>
      </c>
      <c r="AF23" s="44" t="s">
        <v>4161</v>
      </c>
      <c r="AG23" s="44" t="s">
        <v>4048</v>
      </c>
      <c r="AH23" s="44"/>
      <c r="AI23" s="44" t="s">
        <v>4163</v>
      </c>
      <c r="AJ23" s="44" t="str">
        <f t="shared" si="0"/>
        <v>Retenção Oi ControleProcon</v>
      </c>
      <c r="AK23" s="44" t="s">
        <v>4042</v>
      </c>
      <c r="AL23" s="44" t="s">
        <v>3823</v>
      </c>
    </row>
    <row r="24" spans="1:38" x14ac:dyDescent="0.25">
      <c r="A24" s="44" t="s">
        <v>3994</v>
      </c>
      <c r="B24" s="44" t="s">
        <v>3995</v>
      </c>
      <c r="C24" s="44" t="s">
        <v>4219</v>
      </c>
      <c r="D24" s="44" t="s">
        <v>3997</v>
      </c>
      <c r="E24" s="44" t="s">
        <v>4458</v>
      </c>
      <c r="F24" s="44" t="s">
        <v>4042</v>
      </c>
      <c r="G24" s="44" t="s">
        <v>3827</v>
      </c>
      <c r="H24" t="s">
        <v>4329</v>
      </c>
      <c r="L24" s="44" t="s">
        <v>4170</v>
      </c>
      <c r="M24" s="44" t="s">
        <v>4073</v>
      </c>
      <c r="N24" s="44" t="s">
        <v>4200</v>
      </c>
      <c r="O24" s="44" t="s">
        <v>4000</v>
      </c>
      <c r="P24" s="44" t="s">
        <v>4459</v>
      </c>
      <c r="Q24" s="44" t="s">
        <v>4042</v>
      </c>
      <c r="R24" s="44" t="s">
        <v>3832</v>
      </c>
      <c r="S24" t="s">
        <v>4327</v>
      </c>
      <c r="V24" s="44" t="s">
        <v>4195</v>
      </c>
      <c r="W24" s="44" t="s">
        <v>4196</v>
      </c>
      <c r="X24" s="44"/>
      <c r="Y24" s="44" t="s">
        <v>4160</v>
      </c>
      <c r="Z24" s="44" t="s">
        <v>4460</v>
      </c>
      <c r="AA24" s="44" t="s">
        <v>9</v>
      </c>
      <c r="AB24" s="44" t="s">
        <v>3818</v>
      </c>
      <c r="AF24" s="44" t="s">
        <v>4161</v>
      </c>
      <c r="AG24" s="44" t="s">
        <v>4041</v>
      </c>
      <c r="AH24" s="44"/>
      <c r="AI24" s="44" t="s">
        <v>4163</v>
      </c>
      <c r="AJ24" s="44" t="str">
        <f t="shared" si="0"/>
        <v>Retenção Oi ControleAnatel</v>
      </c>
      <c r="AK24" s="44" t="s">
        <v>4042</v>
      </c>
      <c r="AL24" s="44" t="s">
        <v>3823</v>
      </c>
    </row>
    <row r="25" spans="1:38" x14ac:dyDescent="0.25">
      <c r="A25" s="44" t="s">
        <v>4147</v>
      </c>
      <c r="B25" s="44" t="s">
        <v>4072</v>
      </c>
      <c r="C25" s="44" t="s">
        <v>4123</v>
      </c>
      <c r="D25" s="44" t="s">
        <v>3997</v>
      </c>
      <c r="E25" s="44" t="s">
        <v>4461</v>
      </c>
      <c r="F25" s="44" t="s">
        <v>4042</v>
      </c>
      <c r="G25" s="44" t="s">
        <v>3827</v>
      </c>
      <c r="H25" t="s">
        <v>4326</v>
      </c>
      <c r="L25" s="44" t="s">
        <v>4170</v>
      </c>
      <c r="M25" s="44" t="s">
        <v>3995</v>
      </c>
      <c r="N25" s="44" t="s">
        <v>4167</v>
      </c>
      <c r="O25" s="44" t="s">
        <v>4000</v>
      </c>
      <c r="P25" s="44" t="s">
        <v>4462</v>
      </c>
      <c r="Q25" s="44" t="s">
        <v>4042</v>
      </c>
      <c r="R25" s="44" t="s">
        <v>3832</v>
      </c>
      <c r="S25" t="s">
        <v>4329</v>
      </c>
      <c r="V25" s="44" t="s">
        <v>4195</v>
      </c>
      <c r="W25" s="44" t="s">
        <v>4199</v>
      </c>
      <c r="X25" s="44" t="s">
        <v>4220</v>
      </c>
      <c r="Y25" s="44" t="s">
        <v>4160</v>
      </c>
      <c r="Z25" s="44" t="s">
        <v>4463</v>
      </c>
      <c r="AA25" s="44" t="s">
        <v>9</v>
      </c>
      <c r="AB25" s="44" t="s">
        <v>3818</v>
      </c>
      <c r="AF25" s="44" t="s">
        <v>4161</v>
      </c>
      <c r="AG25" s="44" t="s">
        <v>4221</v>
      </c>
      <c r="AH25" s="44" t="s">
        <v>4187</v>
      </c>
      <c r="AI25" s="44" t="s">
        <v>4163</v>
      </c>
      <c r="AJ25" s="44" t="str">
        <f t="shared" si="0"/>
        <v>Retenção Oi ControleAcompanhamento BoTT Pai</v>
      </c>
      <c r="AK25" s="44" t="s">
        <v>4037</v>
      </c>
      <c r="AL25" s="44" t="s">
        <v>3824</v>
      </c>
    </row>
    <row r="26" spans="1:38" x14ac:dyDescent="0.25">
      <c r="A26" s="44" t="s">
        <v>4147</v>
      </c>
      <c r="B26" s="44" t="s">
        <v>4072</v>
      </c>
      <c r="C26" s="44" t="s">
        <v>4122</v>
      </c>
      <c r="D26" s="44" t="s">
        <v>3997</v>
      </c>
      <c r="E26" s="44" t="s">
        <v>4464</v>
      </c>
      <c r="F26" s="44" t="s">
        <v>4042</v>
      </c>
      <c r="G26" s="44" t="s">
        <v>3827</v>
      </c>
      <c r="H26" t="s">
        <v>4326</v>
      </c>
      <c r="L26" s="44" t="s">
        <v>4172</v>
      </c>
      <c r="M26" s="44" t="s">
        <v>3995</v>
      </c>
      <c r="N26" s="44" t="s">
        <v>4222</v>
      </c>
      <c r="O26" s="44" t="s">
        <v>4000</v>
      </c>
      <c r="P26" s="44" t="s">
        <v>4465</v>
      </c>
      <c r="Q26" s="44" t="s">
        <v>4042</v>
      </c>
      <c r="R26" s="44" t="s">
        <v>3832</v>
      </c>
      <c r="S26" t="s">
        <v>4329</v>
      </c>
      <c r="V26" s="44" t="s">
        <v>4195</v>
      </c>
      <c r="W26" s="44" t="s">
        <v>4022</v>
      </c>
      <c r="X26" s="44" t="s">
        <v>4178</v>
      </c>
      <c r="Y26" s="44" t="s">
        <v>4160</v>
      </c>
      <c r="Z26" s="44" t="s">
        <v>4466</v>
      </c>
      <c r="AA26" s="44" t="s">
        <v>10</v>
      </c>
      <c r="AB26" s="44" t="s">
        <v>3820</v>
      </c>
      <c r="AF26" s="44" t="s">
        <v>4161</v>
      </c>
      <c r="AG26" s="44" t="s">
        <v>4221</v>
      </c>
      <c r="AH26" s="44" t="s">
        <v>4188</v>
      </c>
      <c r="AI26" s="44" t="s">
        <v>4163</v>
      </c>
      <c r="AJ26" s="44" t="str">
        <f t="shared" si="0"/>
        <v>Retenção Oi ControleAcompanhamento BoARS</v>
      </c>
      <c r="AK26" s="44" t="s">
        <v>4037</v>
      </c>
      <c r="AL26" s="44" t="s">
        <v>3824</v>
      </c>
    </row>
    <row r="27" spans="1:38" x14ac:dyDescent="0.25">
      <c r="A27" s="44" t="s">
        <v>4147</v>
      </c>
      <c r="B27" s="44" t="s">
        <v>4122</v>
      </c>
      <c r="C27" s="44" t="s">
        <v>4206</v>
      </c>
      <c r="D27" s="44" t="s">
        <v>3997</v>
      </c>
      <c r="E27" s="44" t="s">
        <v>4467</v>
      </c>
      <c r="F27" s="44" t="s">
        <v>4042</v>
      </c>
      <c r="G27" s="44" t="s">
        <v>3827</v>
      </c>
      <c r="H27" t="s">
        <v>4372</v>
      </c>
      <c r="L27" s="44" t="s">
        <v>4170</v>
      </c>
      <c r="M27" s="44" t="s">
        <v>4073</v>
      </c>
      <c r="N27" s="44" t="s">
        <v>4191</v>
      </c>
      <c r="O27" s="44" t="s">
        <v>4000</v>
      </c>
      <c r="P27" s="44" t="s">
        <v>4468</v>
      </c>
      <c r="Q27" s="44" t="s">
        <v>4042</v>
      </c>
      <c r="R27" s="44" t="s">
        <v>3832</v>
      </c>
      <c r="S27" t="s">
        <v>4327</v>
      </c>
      <c r="V27" s="44" t="s">
        <v>4158</v>
      </c>
      <c r="W27" s="44" t="s">
        <v>4021</v>
      </c>
      <c r="X27" s="44" t="s">
        <v>8</v>
      </c>
      <c r="Y27" s="44" t="s">
        <v>4160</v>
      </c>
      <c r="Z27" s="44" t="s">
        <v>4469</v>
      </c>
      <c r="AA27" s="44" t="s">
        <v>10</v>
      </c>
      <c r="AB27" s="44" t="s">
        <v>3820</v>
      </c>
      <c r="AF27" s="44" t="s">
        <v>4161</v>
      </c>
      <c r="AG27" s="44" t="s">
        <v>4036</v>
      </c>
      <c r="AH27" s="44" t="s">
        <v>4171</v>
      </c>
      <c r="AI27" s="44" t="s">
        <v>4163</v>
      </c>
      <c r="AJ27" s="44" t="str">
        <f t="shared" si="0"/>
        <v>Retenção Oi ControleAcompanhamento BOTratamento de Indevido</v>
      </c>
      <c r="AK27" s="44" t="s">
        <v>4037</v>
      </c>
      <c r="AL27" s="44" t="s">
        <v>3824</v>
      </c>
    </row>
    <row r="28" spans="1:38" x14ac:dyDescent="0.25">
      <c r="A28" s="44" t="s">
        <v>3994</v>
      </c>
      <c r="B28" s="44" t="s">
        <v>3995</v>
      </c>
      <c r="C28" s="44" t="s">
        <v>4223</v>
      </c>
      <c r="D28" s="44" t="s">
        <v>3997</v>
      </c>
      <c r="E28" s="44" t="s">
        <v>4470</v>
      </c>
      <c r="F28" s="44" t="s">
        <v>4042</v>
      </c>
      <c r="G28" s="44" t="s">
        <v>3827</v>
      </c>
      <c r="H28" t="s">
        <v>4329</v>
      </c>
      <c r="L28" s="44" t="s">
        <v>4170</v>
      </c>
      <c r="M28" s="44" t="s">
        <v>3995</v>
      </c>
      <c r="N28" s="44" t="s">
        <v>4201</v>
      </c>
      <c r="O28" s="44" t="s">
        <v>4000</v>
      </c>
      <c r="P28" s="44" t="s">
        <v>4471</v>
      </c>
      <c r="Q28" s="44" t="s">
        <v>4042</v>
      </c>
      <c r="R28" s="44" t="s">
        <v>3832</v>
      </c>
      <c r="S28" t="s">
        <v>4329</v>
      </c>
      <c r="V28" s="44" t="s">
        <v>4195</v>
      </c>
      <c r="W28" s="44" t="s">
        <v>4023</v>
      </c>
      <c r="X28" s="44" t="s">
        <v>4224</v>
      </c>
      <c r="Y28" s="44" t="s">
        <v>4160</v>
      </c>
      <c r="Z28" s="44" t="s">
        <v>4472</v>
      </c>
      <c r="AA28" s="44" t="s">
        <v>10</v>
      </c>
      <c r="AB28" s="44" t="s">
        <v>3820</v>
      </c>
      <c r="AF28" s="44" t="s">
        <v>4161</v>
      </c>
      <c r="AG28" s="44" t="s">
        <v>4221</v>
      </c>
      <c r="AH28" s="44" t="s">
        <v>4225</v>
      </c>
      <c r="AI28" s="44" t="s">
        <v>4163</v>
      </c>
      <c r="AJ28" s="44" t="str">
        <f t="shared" si="0"/>
        <v>Retenção Oi ControleAcompanhamento BoInclusão Bônus dados</v>
      </c>
      <c r="AK28" s="44" t="s">
        <v>4037</v>
      </c>
      <c r="AL28" s="44" t="s">
        <v>3824</v>
      </c>
    </row>
    <row r="29" spans="1:38" x14ac:dyDescent="0.25">
      <c r="A29" s="44" t="s">
        <v>3994</v>
      </c>
      <c r="B29" s="44" t="s">
        <v>3995</v>
      </c>
      <c r="C29" s="44" t="s">
        <v>4226</v>
      </c>
      <c r="D29" s="44" t="s">
        <v>3997</v>
      </c>
      <c r="E29" s="44" t="s">
        <v>4473</v>
      </c>
      <c r="F29" s="44" t="s">
        <v>4042</v>
      </c>
      <c r="G29" s="44" t="s">
        <v>3827</v>
      </c>
      <c r="H29" t="s">
        <v>4329</v>
      </c>
      <c r="L29" s="44" t="s">
        <v>4210</v>
      </c>
      <c r="M29" s="44" t="s">
        <v>4080</v>
      </c>
      <c r="N29" s="44" t="s">
        <v>4191</v>
      </c>
      <c r="O29" s="44" t="s">
        <v>4000</v>
      </c>
      <c r="P29" s="44" t="s">
        <v>4474</v>
      </c>
      <c r="Q29" s="44" t="s">
        <v>4042</v>
      </c>
      <c r="R29" s="44" t="s">
        <v>3832</v>
      </c>
      <c r="S29" t="s">
        <v>4335</v>
      </c>
      <c r="V29" s="44" t="s">
        <v>4195</v>
      </c>
      <c r="W29" s="44" t="s">
        <v>4022</v>
      </c>
      <c r="X29" s="44" t="s">
        <v>4110</v>
      </c>
      <c r="Y29" s="44" t="s">
        <v>4160</v>
      </c>
      <c r="Z29" s="44" t="s">
        <v>4475</v>
      </c>
      <c r="AA29" s="44" t="s">
        <v>10</v>
      </c>
      <c r="AB29" s="44" t="s">
        <v>3820</v>
      </c>
      <c r="AF29" s="44" t="s">
        <v>4161</v>
      </c>
      <c r="AG29" s="44" t="s">
        <v>4221</v>
      </c>
      <c r="AH29" s="44" t="s">
        <v>4227</v>
      </c>
      <c r="AI29" s="44" t="s">
        <v>4163</v>
      </c>
      <c r="AJ29" s="44" t="str">
        <f t="shared" si="0"/>
        <v>Retenção Oi ControleAcompanhamento BoTT Cati erro</v>
      </c>
      <c r="AK29" s="44" t="s">
        <v>4037</v>
      </c>
      <c r="AL29" s="44" t="s">
        <v>3824</v>
      </c>
    </row>
    <row r="30" spans="1:38" x14ac:dyDescent="0.25">
      <c r="A30" s="44" t="s">
        <v>3994</v>
      </c>
      <c r="B30" s="44" t="s">
        <v>4126</v>
      </c>
      <c r="C30" s="44" t="s">
        <v>4228</v>
      </c>
      <c r="D30" s="44" t="s">
        <v>3997</v>
      </c>
      <c r="E30" s="44" t="s">
        <v>4476</v>
      </c>
      <c r="F30" s="44" t="s">
        <v>4042</v>
      </c>
      <c r="G30" s="44" t="s">
        <v>3827</v>
      </c>
      <c r="H30" t="s">
        <v>4377</v>
      </c>
      <c r="L30" s="44" t="s">
        <v>4127</v>
      </c>
      <c r="M30" s="44" t="s">
        <v>4085</v>
      </c>
      <c r="N30" s="44" t="s">
        <v>4229</v>
      </c>
      <c r="O30" s="44" t="s">
        <v>4000</v>
      </c>
      <c r="P30" s="44" t="s">
        <v>4477</v>
      </c>
      <c r="Q30" s="44" t="s">
        <v>4042</v>
      </c>
      <c r="R30" s="44" t="s">
        <v>3832</v>
      </c>
      <c r="S30" t="s">
        <v>4340</v>
      </c>
      <c r="V30" s="44" t="s">
        <v>4158</v>
      </c>
      <c r="W30" s="44" t="s">
        <v>4030</v>
      </c>
      <c r="X30" s="44" t="s">
        <v>4174</v>
      </c>
      <c r="Y30" s="44" t="s">
        <v>4160</v>
      </c>
      <c r="Z30" s="44" t="s">
        <v>4478</v>
      </c>
      <c r="AA30" s="44" t="s">
        <v>4029</v>
      </c>
      <c r="AB30" s="44" t="s">
        <v>3819</v>
      </c>
      <c r="AF30" s="44" t="s">
        <v>4161</v>
      </c>
      <c r="AG30" s="44" t="s">
        <v>4221</v>
      </c>
      <c r="AH30" s="44" t="s">
        <v>4230</v>
      </c>
      <c r="AI30" s="44" t="s">
        <v>4163</v>
      </c>
      <c r="AJ30" s="44" t="str">
        <f t="shared" si="0"/>
        <v>Retenção Oi ControleAcompanhamento BoCampanha indisponível</v>
      </c>
      <c r="AK30" s="44" t="s">
        <v>4037</v>
      </c>
      <c r="AL30" s="44" t="s">
        <v>3824</v>
      </c>
    </row>
    <row r="31" spans="1:38" x14ac:dyDescent="0.25">
      <c r="A31" s="44" t="s">
        <v>3994</v>
      </c>
      <c r="B31" s="44" t="s">
        <v>4054</v>
      </c>
      <c r="C31" s="44" t="s">
        <v>3995</v>
      </c>
      <c r="D31" s="44" t="s">
        <v>3997</v>
      </c>
      <c r="E31" s="44" t="s">
        <v>4479</v>
      </c>
      <c r="F31" s="44" t="s">
        <v>4042</v>
      </c>
      <c r="G31" s="44" t="s">
        <v>3827</v>
      </c>
      <c r="H31" t="s">
        <v>4369</v>
      </c>
      <c r="L31" s="44" t="s">
        <v>4210</v>
      </c>
      <c r="M31" s="44" t="s">
        <v>4083</v>
      </c>
      <c r="N31" s="44" t="s">
        <v>4200</v>
      </c>
      <c r="O31" s="44" t="s">
        <v>4000</v>
      </c>
      <c r="P31" s="44" t="s">
        <v>4480</v>
      </c>
      <c r="Q31" s="44" t="s">
        <v>4042</v>
      </c>
      <c r="R31" s="44" t="s">
        <v>3832</v>
      </c>
      <c r="S31" t="s">
        <v>4338</v>
      </c>
      <c r="V31" s="44" t="s">
        <v>4158</v>
      </c>
      <c r="W31" s="44" t="s">
        <v>4028</v>
      </c>
      <c r="X31" s="44" t="s">
        <v>4174</v>
      </c>
      <c r="Y31" s="44" t="s">
        <v>4160</v>
      </c>
      <c r="Z31" s="44" t="s">
        <v>4481</v>
      </c>
      <c r="AA31" s="44" t="s">
        <v>4029</v>
      </c>
      <c r="AB31" s="44" t="s">
        <v>3819</v>
      </c>
      <c r="AF31" s="44" t="s">
        <v>4161</v>
      </c>
      <c r="AG31" s="44" t="s">
        <v>4036</v>
      </c>
      <c r="AH31" s="44"/>
      <c r="AI31" s="44" t="s">
        <v>4163</v>
      </c>
      <c r="AJ31" s="44" t="str">
        <f t="shared" si="0"/>
        <v>Retenção Oi ControleAcompanhamento BO</v>
      </c>
      <c r="AK31" s="44" t="s">
        <v>4037</v>
      </c>
      <c r="AL31" s="44" t="s">
        <v>3824</v>
      </c>
    </row>
    <row r="32" spans="1:38" x14ac:dyDescent="0.25">
      <c r="A32" s="44" t="s">
        <v>4231</v>
      </c>
      <c r="B32" s="44" t="s">
        <v>3995</v>
      </c>
      <c r="C32" s="44" t="s">
        <v>3996</v>
      </c>
      <c r="D32" s="44" t="s">
        <v>3997</v>
      </c>
      <c r="E32" s="44" t="s">
        <v>4482</v>
      </c>
      <c r="F32" s="44" t="s">
        <v>4042</v>
      </c>
      <c r="G32" s="44" t="s">
        <v>3827</v>
      </c>
      <c r="H32" t="s">
        <v>4329</v>
      </c>
      <c r="L32" s="44" t="s">
        <v>4170</v>
      </c>
      <c r="M32" s="44" t="s">
        <v>4073</v>
      </c>
      <c r="N32" s="44" t="s">
        <v>4167</v>
      </c>
      <c r="O32" s="44" t="s">
        <v>4000</v>
      </c>
      <c r="P32" s="44" t="s">
        <v>4483</v>
      </c>
      <c r="Q32" s="44" t="s">
        <v>4042</v>
      </c>
      <c r="R32" s="44" t="s">
        <v>3832</v>
      </c>
      <c r="S32" t="s">
        <v>4327</v>
      </c>
      <c r="V32" s="44" t="s">
        <v>4232</v>
      </c>
      <c r="W32" s="44" t="s">
        <v>4233</v>
      </c>
      <c r="X32" s="44" t="s">
        <v>4234</v>
      </c>
      <c r="Y32" s="44" t="s">
        <v>4160</v>
      </c>
      <c r="Z32" s="44" t="s">
        <v>4484</v>
      </c>
      <c r="AA32" s="44" t="s">
        <v>4029</v>
      </c>
      <c r="AB32" s="44" t="s">
        <v>3819</v>
      </c>
      <c r="AF32" s="44" t="s">
        <v>4161</v>
      </c>
      <c r="AG32" s="44" t="s">
        <v>4038</v>
      </c>
      <c r="AH32" s="44" t="s">
        <v>4197</v>
      </c>
      <c r="AI32" s="44" t="s">
        <v>4163</v>
      </c>
      <c r="AJ32" s="44" t="str">
        <f t="shared" si="0"/>
        <v>Retenção Oi ControleAtivo de reversãoMigração pré-pago</v>
      </c>
      <c r="AK32" s="44" t="s">
        <v>4038</v>
      </c>
      <c r="AL32" s="44" t="s">
        <v>3822</v>
      </c>
    </row>
    <row r="33" spans="1:39" x14ac:dyDescent="0.25">
      <c r="A33" s="44" t="s">
        <v>4147</v>
      </c>
      <c r="B33" s="44" t="s">
        <v>4072</v>
      </c>
      <c r="C33" s="44" t="s">
        <v>4235</v>
      </c>
      <c r="D33" s="44" t="s">
        <v>3997</v>
      </c>
      <c r="E33" s="44" t="s">
        <v>4485</v>
      </c>
      <c r="F33" s="44" t="s">
        <v>4042</v>
      </c>
      <c r="G33" s="44" t="s">
        <v>3827</v>
      </c>
      <c r="H33" t="s">
        <v>4326</v>
      </c>
      <c r="L33" s="44" t="s">
        <v>4170</v>
      </c>
      <c r="M33" s="44" t="s">
        <v>4072</v>
      </c>
      <c r="N33" s="44" t="s">
        <v>4167</v>
      </c>
      <c r="O33" s="44" t="s">
        <v>4000</v>
      </c>
      <c r="P33" s="44" t="s">
        <v>4486</v>
      </c>
      <c r="Q33" s="44" t="s">
        <v>4042</v>
      </c>
      <c r="R33" s="44" t="s">
        <v>3832</v>
      </c>
      <c r="S33" t="s">
        <v>4326</v>
      </c>
      <c r="V33" s="44" t="s">
        <v>4232</v>
      </c>
      <c r="W33" s="44" t="s">
        <v>4233</v>
      </c>
      <c r="X33" s="44"/>
      <c r="Y33" s="44" t="s">
        <v>4160</v>
      </c>
      <c r="Z33" s="44" t="s">
        <v>4487</v>
      </c>
      <c r="AA33" s="44" t="s">
        <v>4029</v>
      </c>
      <c r="AB33" s="44" t="s">
        <v>3819</v>
      </c>
      <c r="AF33" s="44" t="s">
        <v>4161</v>
      </c>
      <c r="AG33" s="44" t="s">
        <v>4038</v>
      </c>
      <c r="AH33" s="44"/>
      <c r="AI33" s="44" t="s">
        <v>4163</v>
      </c>
      <c r="AJ33" s="44" t="str">
        <f t="shared" si="0"/>
        <v>Retenção Oi ControleAtivo de reversão</v>
      </c>
      <c r="AK33" s="44" t="s">
        <v>4038</v>
      </c>
      <c r="AL33" s="44" t="s">
        <v>3822</v>
      </c>
    </row>
    <row r="34" spans="1:39" x14ac:dyDescent="0.25">
      <c r="A34" s="44" t="s">
        <v>3994</v>
      </c>
      <c r="B34" s="44" t="s">
        <v>3995</v>
      </c>
      <c r="C34" s="44"/>
      <c r="D34" s="44" t="s">
        <v>3997</v>
      </c>
      <c r="E34" s="44" t="s">
        <v>4488</v>
      </c>
      <c r="F34" s="44" t="s">
        <v>4042</v>
      </c>
      <c r="G34" s="44" t="s">
        <v>3827</v>
      </c>
      <c r="H34" t="s">
        <v>4329</v>
      </c>
      <c r="L34" s="44" t="s">
        <v>4170</v>
      </c>
      <c r="M34" s="44" t="s">
        <v>3995</v>
      </c>
      <c r="N34" s="44" t="s">
        <v>4191</v>
      </c>
      <c r="O34" s="44" t="s">
        <v>4000</v>
      </c>
      <c r="P34" s="44" t="s">
        <v>4489</v>
      </c>
      <c r="Q34" s="44" t="s">
        <v>4042</v>
      </c>
      <c r="R34" s="44" t="s">
        <v>3832</v>
      </c>
      <c r="S34" t="s">
        <v>4329</v>
      </c>
      <c r="V34" s="44" t="s">
        <v>4158</v>
      </c>
      <c r="W34" s="44" t="s">
        <v>4028</v>
      </c>
      <c r="X34" s="44" t="s">
        <v>4236</v>
      </c>
      <c r="Y34" s="44" t="s">
        <v>4160</v>
      </c>
      <c r="Z34" s="44" t="s">
        <v>4490</v>
      </c>
      <c r="AA34" s="44" t="s">
        <v>4029</v>
      </c>
      <c r="AB34" s="44" t="s">
        <v>3819</v>
      </c>
      <c r="AF34" s="44" t="s">
        <v>4161</v>
      </c>
      <c r="AG34" s="44" t="s">
        <v>61</v>
      </c>
      <c r="AH34" s="44" t="s">
        <v>4162</v>
      </c>
      <c r="AI34" s="44" t="s">
        <v>4163</v>
      </c>
      <c r="AJ34" s="44" t="str">
        <f t="shared" si="0"/>
        <v>Retenção Oi ControleCancelamentoErro sistêmico</v>
      </c>
      <c r="AK34" s="44" t="s">
        <v>61</v>
      </c>
      <c r="AL34" s="44" t="s">
        <v>3821</v>
      </c>
    </row>
    <row r="35" spans="1:39" x14ac:dyDescent="0.25">
      <c r="A35" s="44" t="s">
        <v>4147</v>
      </c>
      <c r="B35" s="44" t="s">
        <v>4123</v>
      </c>
      <c r="C35" s="44" t="s">
        <v>4206</v>
      </c>
      <c r="D35" s="44" t="s">
        <v>3997</v>
      </c>
      <c r="E35" s="44" t="s">
        <v>4491</v>
      </c>
      <c r="F35" s="44" t="s">
        <v>4042</v>
      </c>
      <c r="G35" s="44" t="s">
        <v>3827</v>
      </c>
      <c r="H35" t="s">
        <v>4373</v>
      </c>
      <c r="L35" s="44" t="s">
        <v>4170</v>
      </c>
      <c r="M35" s="44" t="s">
        <v>3995</v>
      </c>
      <c r="N35" s="44" t="s">
        <v>4237</v>
      </c>
      <c r="O35" s="44" t="s">
        <v>4000</v>
      </c>
      <c r="P35" s="44" t="s">
        <v>4492</v>
      </c>
      <c r="Q35" s="44" t="s">
        <v>4042</v>
      </c>
      <c r="R35" s="44" t="s">
        <v>3832</v>
      </c>
      <c r="S35" t="s">
        <v>4329</v>
      </c>
      <c r="V35" s="44" t="s">
        <v>4195</v>
      </c>
      <c r="W35" s="44" t="s">
        <v>4022</v>
      </c>
      <c r="X35" s="44" t="s">
        <v>4159</v>
      </c>
      <c r="Y35" s="44" t="s">
        <v>4160</v>
      </c>
      <c r="Z35" s="44" t="s">
        <v>4493</v>
      </c>
      <c r="AA35" s="44" t="s">
        <v>10</v>
      </c>
      <c r="AB35" s="44" t="s">
        <v>3820</v>
      </c>
      <c r="AC35" s="63">
        <v>44238</v>
      </c>
      <c r="AF35" s="44" t="s">
        <v>4161</v>
      </c>
      <c r="AG35" s="44" t="s">
        <v>61</v>
      </c>
      <c r="AH35" s="44"/>
      <c r="AI35" s="44" t="s">
        <v>4163</v>
      </c>
      <c r="AJ35" s="44" t="str">
        <f t="shared" si="0"/>
        <v>Retenção Oi ControleCancelamento</v>
      </c>
      <c r="AK35" s="44" t="s">
        <v>61</v>
      </c>
      <c r="AL35" s="44" t="s">
        <v>3821</v>
      </c>
    </row>
    <row r="36" spans="1:39" x14ac:dyDescent="0.25">
      <c r="A36" s="44" t="s">
        <v>3994</v>
      </c>
      <c r="B36" s="44" t="s">
        <v>4054</v>
      </c>
      <c r="C36" s="44"/>
      <c r="D36" s="44" t="s">
        <v>3997</v>
      </c>
      <c r="E36" s="44" t="s">
        <v>4494</v>
      </c>
      <c r="F36" s="44" t="s">
        <v>4042</v>
      </c>
      <c r="G36" s="44" t="s">
        <v>3827</v>
      </c>
      <c r="H36" t="s">
        <v>4369</v>
      </c>
      <c r="L36" s="44" t="s">
        <v>4238</v>
      </c>
      <c r="M36" s="44" t="s">
        <v>8</v>
      </c>
      <c r="N36" s="44" t="s">
        <v>4239</v>
      </c>
      <c r="O36" s="44" t="s">
        <v>4000</v>
      </c>
      <c r="P36" s="44" t="s">
        <v>4495</v>
      </c>
      <c r="Q36" s="44" t="s">
        <v>4042</v>
      </c>
      <c r="R36" s="44" t="s">
        <v>3832</v>
      </c>
      <c r="S36" t="s">
        <v>4346</v>
      </c>
      <c r="V36" s="44" t="s">
        <v>4195</v>
      </c>
      <c r="W36" s="44" t="s">
        <v>4022</v>
      </c>
      <c r="X36" s="44" t="s">
        <v>4064</v>
      </c>
      <c r="Y36" s="44" t="s">
        <v>4160</v>
      </c>
      <c r="Z36" s="44" t="s">
        <v>4496</v>
      </c>
      <c r="AA36" s="44" t="s">
        <v>10</v>
      </c>
      <c r="AB36" s="44" t="s">
        <v>3820</v>
      </c>
      <c r="AF36" s="44" t="s">
        <v>4161</v>
      </c>
      <c r="AG36" s="44" t="s">
        <v>61</v>
      </c>
      <c r="AH36" s="44" t="s">
        <v>4240</v>
      </c>
      <c r="AI36" s="44" t="s">
        <v>4163</v>
      </c>
      <c r="AJ36" s="44" t="str">
        <f t="shared" si="0"/>
        <v>Retenção Oi ControleCancelamentoLinha com flag ou bloqueio</v>
      </c>
      <c r="AK36" s="44" t="s">
        <v>61</v>
      </c>
      <c r="AL36" s="44" t="s">
        <v>3821</v>
      </c>
    </row>
    <row r="37" spans="1:39" x14ac:dyDescent="0.25">
      <c r="A37" s="44" t="s">
        <v>3994</v>
      </c>
      <c r="B37" s="44" t="s">
        <v>4124</v>
      </c>
      <c r="C37" s="44" t="s">
        <v>61</v>
      </c>
      <c r="D37" s="44" t="s">
        <v>3997</v>
      </c>
      <c r="E37" s="44" t="s">
        <v>4497</v>
      </c>
      <c r="F37" s="44" t="s">
        <v>4042</v>
      </c>
      <c r="G37" s="44" t="s">
        <v>3827</v>
      </c>
      <c r="H37" t="s">
        <v>4374</v>
      </c>
      <c r="L37" s="44" t="s">
        <v>4210</v>
      </c>
      <c r="M37" s="44" t="s">
        <v>4078</v>
      </c>
      <c r="N37" s="44" t="s">
        <v>4167</v>
      </c>
      <c r="O37" s="44" t="s">
        <v>4000</v>
      </c>
      <c r="P37" s="44" t="s">
        <v>4498</v>
      </c>
      <c r="Q37" s="44" t="s">
        <v>4042</v>
      </c>
      <c r="R37" s="44" t="s">
        <v>3832</v>
      </c>
      <c r="S37" t="s">
        <v>4333</v>
      </c>
      <c r="V37" s="44" t="s">
        <v>4195</v>
      </c>
      <c r="W37" s="44" t="s">
        <v>4022</v>
      </c>
      <c r="X37" s="44" t="s">
        <v>4211</v>
      </c>
      <c r="Y37" s="44" t="s">
        <v>4160</v>
      </c>
      <c r="Z37" s="44" t="s">
        <v>4499</v>
      </c>
      <c r="AA37" s="44" t="s">
        <v>10</v>
      </c>
      <c r="AB37" s="44" t="s">
        <v>3820</v>
      </c>
      <c r="AF37" s="44" t="s">
        <v>4161</v>
      </c>
      <c r="AG37" s="44" t="s">
        <v>61</v>
      </c>
      <c r="AH37" s="44" t="s">
        <v>4241</v>
      </c>
      <c r="AI37" s="44" t="s">
        <v>4163</v>
      </c>
      <c r="AJ37" s="44" t="str">
        <f t="shared" si="0"/>
        <v>Retenção Oi ControleCancelamentoCliente recusa transf para Ret</v>
      </c>
      <c r="AK37" s="44" t="s">
        <v>61</v>
      </c>
      <c r="AL37" s="44" t="s">
        <v>3821</v>
      </c>
    </row>
    <row r="38" spans="1:39" x14ac:dyDescent="0.25">
      <c r="A38" s="44" t="s">
        <v>3994</v>
      </c>
      <c r="B38" s="44" t="s">
        <v>4125</v>
      </c>
      <c r="C38" s="44" t="s">
        <v>4242</v>
      </c>
      <c r="D38" s="44" t="s">
        <v>3997</v>
      </c>
      <c r="E38" s="44" t="s">
        <v>4500</v>
      </c>
      <c r="F38" s="44" t="s">
        <v>4042</v>
      </c>
      <c r="G38" s="44" t="s">
        <v>3827</v>
      </c>
      <c r="H38" t="s">
        <v>4375</v>
      </c>
      <c r="L38" s="44" t="s">
        <v>4210</v>
      </c>
      <c r="M38" s="44" t="s">
        <v>4080</v>
      </c>
      <c r="N38" s="44" t="s">
        <v>4167</v>
      </c>
      <c r="O38" s="44" t="s">
        <v>4000</v>
      </c>
      <c r="P38" s="44" t="s">
        <v>4501</v>
      </c>
      <c r="Q38" s="44" t="s">
        <v>4042</v>
      </c>
      <c r="R38" s="44" t="s">
        <v>3832</v>
      </c>
      <c r="S38" t="s">
        <v>4335</v>
      </c>
      <c r="V38" s="44" t="s">
        <v>4195</v>
      </c>
      <c r="W38" s="44" t="s">
        <v>4026</v>
      </c>
      <c r="X38" s="44"/>
      <c r="Y38" s="44" t="s">
        <v>4160</v>
      </c>
      <c r="Z38" s="44" t="s">
        <v>4502</v>
      </c>
      <c r="AA38" s="44" t="s">
        <v>10</v>
      </c>
      <c r="AB38" s="44" t="s">
        <v>3820</v>
      </c>
      <c r="AF38" s="44" t="s">
        <v>4161</v>
      </c>
      <c r="AG38" s="44" t="s">
        <v>61</v>
      </c>
      <c r="AH38" s="44" t="s">
        <v>4175</v>
      </c>
      <c r="AI38" s="44" t="s">
        <v>4163</v>
      </c>
      <c r="AJ38" s="44" t="str">
        <f t="shared" si="0"/>
        <v>Retenção Oi ControleCancelamentoPerda e Roubo</v>
      </c>
      <c r="AK38" s="44" t="s">
        <v>61</v>
      </c>
      <c r="AL38" s="44" t="s">
        <v>3821</v>
      </c>
    </row>
    <row r="39" spans="1:39" x14ac:dyDescent="0.25">
      <c r="A39" s="44" t="s">
        <v>3994</v>
      </c>
      <c r="B39" s="44" t="s">
        <v>3995</v>
      </c>
      <c r="C39" s="44" t="s">
        <v>4191</v>
      </c>
      <c r="D39" s="44" t="s">
        <v>3997</v>
      </c>
      <c r="E39" s="44" t="s">
        <v>4503</v>
      </c>
      <c r="F39" s="44" t="s">
        <v>4042</v>
      </c>
      <c r="G39" s="44" t="s">
        <v>3827</v>
      </c>
      <c r="H39" t="s">
        <v>4329</v>
      </c>
      <c r="L39" s="44" t="s">
        <v>4165</v>
      </c>
      <c r="M39" s="44" t="s">
        <v>3995</v>
      </c>
      <c r="N39" s="44" t="s">
        <v>4167</v>
      </c>
      <c r="O39" s="44" t="s">
        <v>4000</v>
      </c>
      <c r="P39" s="44" t="s">
        <v>4504</v>
      </c>
      <c r="Q39" s="44" t="s">
        <v>4042</v>
      </c>
      <c r="R39" s="44" t="s">
        <v>3832</v>
      </c>
      <c r="S39" t="s">
        <v>4329</v>
      </c>
      <c r="V39" s="44" t="s">
        <v>4195</v>
      </c>
      <c r="W39" s="44" t="s">
        <v>4022</v>
      </c>
      <c r="X39" s="44"/>
      <c r="Y39" s="44" t="s">
        <v>4160</v>
      </c>
      <c r="Z39" s="44" t="s">
        <v>4505</v>
      </c>
      <c r="AA39" s="44" t="s">
        <v>10</v>
      </c>
      <c r="AB39" s="44" t="s">
        <v>3820</v>
      </c>
      <c r="AF39" s="44" t="s">
        <v>3994</v>
      </c>
      <c r="AG39" s="44" t="s">
        <v>4129</v>
      </c>
      <c r="AH39" s="44" t="s">
        <v>4243</v>
      </c>
      <c r="AI39" s="44" t="s">
        <v>4163</v>
      </c>
      <c r="AJ39" s="44" t="str">
        <f t="shared" si="0"/>
        <v>Retenção Oi TotalCancelamento TLVCancelamento linha ativa</v>
      </c>
      <c r="AK39" s="44" t="s">
        <v>61</v>
      </c>
      <c r="AL39" s="44" t="s">
        <v>3821</v>
      </c>
    </row>
    <row r="40" spans="1:39" x14ac:dyDescent="0.25">
      <c r="A40" s="44" t="s">
        <v>3994</v>
      </c>
      <c r="B40" s="44" t="s">
        <v>3995</v>
      </c>
      <c r="C40" s="44" t="s">
        <v>4118</v>
      </c>
      <c r="D40" s="44" t="s">
        <v>3997</v>
      </c>
      <c r="E40" s="44" t="s">
        <v>4506</v>
      </c>
      <c r="F40" s="44" t="s">
        <v>4118</v>
      </c>
      <c r="G40" s="44" t="s">
        <v>3969</v>
      </c>
      <c r="H40" t="s">
        <v>4368</v>
      </c>
      <c r="L40" s="44" t="s">
        <v>4244</v>
      </c>
      <c r="M40" s="44" t="s">
        <v>3995</v>
      </c>
      <c r="N40" s="44" t="s">
        <v>4222</v>
      </c>
      <c r="O40" s="44" t="s">
        <v>4000</v>
      </c>
      <c r="P40" s="44" t="s">
        <v>4507</v>
      </c>
      <c r="Q40" s="44" t="s">
        <v>4042</v>
      </c>
      <c r="R40" s="44" t="s">
        <v>3832</v>
      </c>
      <c r="S40" t="s">
        <v>4329</v>
      </c>
      <c r="V40" s="44" t="s">
        <v>4195</v>
      </c>
      <c r="W40" s="44" t="s">
        <v>4023</v>
      </c>
      <c r="X40" s="44" t="s">
        <v>4245</v>
      </c>
      <c r="Y40" s="44" t="s">
        <v>4160</v>
      </c>
      <c r="Z40" s="44" t="s">
        <v>4508</v>
      </c>
      <c r="AA40" s="44" t="s">
        <v>10</v>
      </c>
      <c r="AB40" s="44" t="s">
        <v>3820</v>
      </c>
      <c r="AF40" s="44" t="s">
        <v>4161</v>
      </c>
      <c r="AG40" s="44" t="s">
        <v>61</v>
      </c>
      <c r="AH40" s="44" t="s">
        <v>4085</v>
      </c>
      <c r="AI40" s="44" t="s">
        <v>4163</v>
      </c>
      <c r="AJ40" s="44" t="str">
        <f t="shared" si="0"/>
        <v>Retenção Oi ControleCancelamentoReativação de linha</v>
      </c>
      <c r="AK40" s="44" t="s">
        <v>61</v>
      </c>
      <c r="AL40" s="44" t="s">
        <v>3821</v>
      </c>
      <c r="AM40" s="63">
        <v>44238</v>
      </c>
    </row>
    <row r="41" spans="1:39" x14ac:dyDescent="0.25">
      <c r="A41" s="44" t="s">
        <v>3994</v>
      </c>
      <c r="B41" s="44" t="s">
        <v>4134</v>
      </c>
      <c r="C41" s="44" t="s">
        <v>4246</v>
      </c>
      <c r="D41" s="44" t="s">
        <v>3997</v>
      </c>
      <c r="E41" s="44" t="s">
        <v>4509</v>
      </c>
      <c r="F41" s="44" t="s">
        <v>3978</v>
      </c>
      <c r="G41" s="44" t="s">
        <v>3975</v>
      </c>
      <c r="H41" t="s">
        <v>4386</v>
      </c>
      <c r="L41" s="44" t="s">
        <v>4247</v>
      </c>
      <c r="M41" s="44" t="s">
        <v>4090</v>
      </c>
      <c r="N41" s="44" t="s">
        <v>4248</v>
      </c>
      <c r="O41" s="44" t="s">
        <v>4000</v>
      </c>
      <c r="P41" s="44" t="s">
        <v>4510</v>
      </c>
      <c r="Q41" s="44" t="s">
        <v>4042</v>
      </c>
      <c r="R41" s="44" t="s">
        <v>3832</v>
      </c>
      <c r="S41" t="s">
        <v>4345</v>
      </c>
      <c r="V41" s="44" t="s">
        <v>4195</v>
      </c>
      <c r="W41" s="44" t="s">
        <v>4024</v>
      </c>
      <c r="X41" s="44" t="s">
        <v>4178</v>
      </c>
      <c r="Y41" s="44" t="s">
        <v>4160</v>
      </c>
      <c r="Z41" s="44" t="s">
        <v>4511</v>
      </c>
      <c r="AA41" s="44" t="s">
        <v>10</v>
      </c>
      <c r="AB41" s="44" t="s">
        <v>3820</v>
      </c>
      <c r="AF41" s="44" t="s">
        <v>4161</v>
      </c>
      <c r="AG41" s="44" t="s">
        <v>4663</v>
      </c>
      <c r="AH41" s="44" t="s">
        <v>4297</v>
      </c>
      <c r="AI41" s="44" t="s">
        <v>4163</v>
      </c>
      <c r="AJ41" s="44" t="str">
        <f t="shared" ref="AJ41" si="1">AF41&amp;AG41&amp;AH41</f>
        <v>Retenção Oi ControleDesistência Cancelamento RACOPedido(URA/Web/Minha Oi)</v>
      </c>
      <c r="AK41" s="44"/>
      <c r="AL41" s="44"/>
      <c r="AM41" s="63"/>
    </row>
    <row r="42" spans="1:39" x14ac:dyDescent="0.25">
      <c r="A42" s="44" t="s">
        <v>3994</v>
      </c>
      <c r="B42" s="44" t="s">
        <v>4134</v>
      </c>
      <c r="C42" s="44"/>
      <c r="D42" s="44" t="s">
        <v>3997</v>
      </c>
      <c r="E42" s="44" t="s">
        <v>4512</v>
      </c>
      <c r="F42" s="44" t="s">
        <v>3978</v>
      </c>
      <c r="G42" s="44" t="s">
        <v>3975</v>
      </c>
      <c r="H42" t="s">
        <v>4386</v>
      </c>
      <c r="L42" s="44" t="s">
        <v>4170</v>
      </c>
      <c r="M42" s="44" t="s">
        <v>4073</v>
      </c>
      <c r="N42" s="44" t="s">
        <v>4201</v>
      </c>
      <c r="O42" s="44" t="s">
        <v>4000</v>
      </c>
      <c r="P42" s="44" t="s">
        <v>4513</v>
      </c>
      <c r="Q42" s="44" t="s">
        <v>4042</v>
      </c>
      <c r="R42" s="44" t="s">
        <v>3832</v>
      </c>
      <c r="S42" t="s">
        <v>4327</v>
      </c>
      <c r="V42" s="44" t="s">
        <v>4195</v>
      </c>
      <c r="W42" s="44" t="s">
        <v>4024</v>
      </c>
      <c r="X42" s="44" t="s">
        <v>4159</v>
      </c>
      <c r="Y42" s="44" t="s">
        <v>4160</v>
      </c>
      <c r="Z42" s="44" t="s">
        <v>4514</v>
      </c>
      <c r="AA42" s="44" t="s">
        <v>10</v>
      </c>
      <c r="AB42" s="44" t="s">
        <v>3820</v>
      </c>
      <c r="AF42" s="44"/>
      <c r="AG42" s="44"/>
      <c r="AH42" s="44"/>
      <c r="AI42" s="44"/>
      <c r="AJ42" s="44"/>
      <c r="AK42" s="44"/>
      <c r="AL42" s="44"/>
    </row>
    <row r="43" spans="1:39" x14ac:dyDescent="0.25">
      <c r="A43" s="44" t="s">
        <v>3994</v>
      </c>
      <c r="B43" s="44" t="s">
        <v>4036</v>
      </c>
      <c r="C43" s="44" t="s">
        <v>4112</v>
      </c>
      <c r="D43" s="44" t="s">
        <v>3997</v>
      </c>
      <c r="E43" s="44" t="s">
        <v>4515</v>
      </c>
      <c r="F43" s="44" t="s">
        <v>3977</v>
      </c>
      <c r="G43" s="44" t="s">
        <v>3976</v>
      </c>
      <c r="H43" t="s">
        <v>4365</v>
      </c>
      <c r="L43" s="44" t="s">
        <v>4170</v>
      </c>
      <c r="M43" s="44" t="s">
        <v>4073</v>
      </c>
      <c r="N43" s="44" t="s">
        <v>4198</v>
      </c>
      <c r="O43" s="44" t="s">
        <v>4000</v>
      </c>
      <c r="P43" s="44" t="s">
        <v>4516</v>
      </c>
      <c r="Q43" s="44" t="s">
        <v>4042</v>
      </c>
      <c r="R43" s="44" t="s">
        <v>3832</v>
      </c>
      <c r="S43" t="s">
        <v>4327</v>
      </c>
      <c r="V43" s="44" t="s">
        <v>4195</v>
      </c>
      <c r="W43" s="44" t="s">
        <v>4022</v>
      </c>
      <c r="X43" s="44" t="s">
        <v>4249</v>
      </c>
      <c r="Y43" s="44" t="s">
        <v>4160</v>
      </c>
      <c r="Z43" s="44" t="s">
        <v>4517</v>
      </c>
      <c r="AA43" s="44" t="s">
        <v>10</v>
      </c>
      <c r="AB43" s="44" t="s">
        <v>3820</v>
      </c>
      <c r="AF43" s="44"/>
      <c r="AG43" s="44"/>
      <c r="AH43" s="44"/>
      <c r="AI43" s="44"/>
      <c r="AJ43" s="44"/>
      <c r="AK43" s="44"/>
      <c r="AL43" s="44"/>
    </row>
    <row r="44" spans="1:39" x14ac:dyDescent="0.25">
      <c r="A44" s="44" t="s">
        <v>3994</v>
      </c>
      <c r="B44" s="44" t="s">
        <v>4036</v>
      </c>
      <c r="C44" s="44" t="s">
        <v>4113</v>
      </c>
      <c r="D44" s="44" t="s">
        <v>3997</v>
      </c>
      <c r="E44" s="44" t="s">
        <v>4518</v>
      </c>
      <c r="F44" s="44" t="s">
        <v>3977</v>
      </c>
      <c r="G44" s="44" t="s">
        <v>3976</v>
      </c>
      <c r="H44" t="s">
        <v>4365</v>
      </c>
      <c r="L44" s="44" t="s">
        <v>4170</v>
      </c>
      <c r="M44" s="44" t="s">
        <v>3995</v>
      </c>
      <c r="N44" s="44"/>
      <c r="O44" s="44" t="s">
        <v>4000</v>
      </c>
      <c r="P44" s="44" t="s">
        <v>4519</v>
      </c>
      <c r="Q44" s="44" t="s">
        <v>4042</v>
      </c>
      <c r="R44" s="44" t="s">
        <v>3832</v>
      </c>
      <c r="S44" t="s">
        <v>4329</v>
      </c>
      <c r="V44" s="44" t="s">
        <v>4158</v>
      </c>
      <c r="W44" s="44" t="s">
        <v>4021</v>
      </c>
      <c r="X44" s="44"/>
      <c r="Y44" s="44" t="s">
        <v>4160</v>
      </c>
      <c r="Z44" s="44" t="s">
        <v>4520</v>
      </c>
      <c r="AA44" s="44" t="s">
        <v>10</v>
      </c>
      <c r="AB44" s="44" t="s">
        <v>3820</v>
      </c>
      <c r="AF44" s="44"/>
      <c r="AG44" s="44"/>
      <c r="AH44" s="44"/>
      <c r="AI44" s="44"/>
      <c r="AJ44" s="44"/>
      <c r="AK44" s="44"/>
      <c r="AL44" s="44"/>
    </row>
    <row r="45" spans="1:39" x14ac:dyDescent="0.25">
      <c r="A45" s="44" t="s">
        <v>3994</v>
      </c>
      <c r="B45" s="44" t="s">
        <v>4036</v>
      </c>
      <c r="C45" s="44" t="s">
        <v>4110</v>
      </c>
      <c r="D45" s="44" t="s">
        <v>3997</v>
      </c>
      <c r="E45" s="44" t="s">
        <v>4521</v>
      </c>
      <c r="F45" s="44" t="s">
        <v>4111</v>
      </c>
      <c r="G45" s="44" t="s">
        <v>3973</v>
      </c>
      <c r="H45" t="s">
        <v>4364</v>
      </c>
      <c r="L45" s="44" t="s">
        <v>4165</v>
      </c>
      <c r="M45" s="44" t="s">
        <v>3995</v>
      </c>
      <c r="N45" s="44" t="s">
        <v>4191</v>
      </c>
      <c r="O45" s="44" t="s">
        <v>4000</v>
      </c>
      <c r="P45" s="44" t="s">
        <v>4522</v>
      </c>
      <c r="Q45" s="44" t="s">
        <v>4042</v>
      </c>
      <c r="R45" s="44" t="s">
        <v>3832</v>
      </c>
      <c r="S45" t="s">
        <v>4329</v>
      </c>
      <c r="V45" s="44" t="s">
        <v>4195</v>
      </c>
      <c r="W45" s="44" t="s">
        <v>4022</v>
      </c>
      <c r="X45" s="44" t="s">
        <v>4250</v>
      </c>
      <c r="Y45" s="44" t="s">
        <v>4160</v>
      </c>
      <c r="Z45" s="44" t="s">
        <v>4523</v>
      </c>
      <c r="AA45" s="44" t="s">
        <v>10</v>
      </c>
      <c r="AB45" s="44" t="s">
        <v>3820</v>
      </c>
      <c r="AF45" s="44"/>
      <c r="AG45" s="44"/>
      <c r="AH45" s="44"/>
      <c r="AI45" s="44"/>
      <c r="AJ45" s="44"/>
      <c r="AK45" s="44"/>
      <c r="AL45" s="44"/>
    </row>
    <row r="46" spans="1:39" x14ac:dyDescent="0.25">
      <c r="A46" s="44" t="s">
        <v>3994</v>
      </c>
      <c r="B46" s="44" t="s">
        <v>4036</v>
      </c>
      <c r="C46" s="44" t="s">
        <v>4251</v>
      </c>
      <c r="D46" s="44" t="s">
        <v>3997</v>
      </c>
      <c r="E46" s="44" t="s">
        <v>4524</v>
      </c>
      <c r="F46" s="44" t="s">
        <v>4037</v>
      </c>
      <c r="G46" s="44" t="s">
        <v>3828</v>
      </c>
      <c r="H46" t="s">
        <v>4366</v>
      </c>
      <c r="L46" s="44" t="s">
        <v>4170</v>
      </c>
      <c r="M46" s="44" t="s">
        <v>4072</v>
      </c>
      <c r="N46" s="44" t="s">
        <v>4191</v>
      </c>
      <c r="O46" s="44" t="s">
        <v>4000</v>
      </c>
      <c r="P46" s="44" t="s">
        <v>4525</v>
      </c>
      <c r="Q46" s="44" t="s">
        <v>4042</v>
      </c>
      <c r="R46" s="44" t="s">
        <v>3832</v>
      </c>
      <c r="S46" t="s">
        <v>4326</v>
      </c>
      <c r="V46" t="s">
        <v>4158</v>
      </c>
      <c r="W46" t="s">
        <v>4028</v>
      </c>
      <c r="Y46" t="s">
        <v>4160</v>
      </c>
      <c r="Z46" s="44" t="s">
        <v>4526</v>
      </c>
      <c r="AA46" s="44" t="s">
        <v>4029</v>
      </c>
      <c r="AB46" t="s">
        <v>3819</v>
      </c>
      <c r="AF46" s="44"/>
      <c r="AG46" s="44"/>
      <c r="AH46" s="44"/>
      <c r="AI46" s="44"/>
      <c r="AJ46" s="44"/>
      <c r="AK46" s="44"/>
      <c r="AL46" s="44"/>
    </row>
    <row r="47" spans="1:39" x14ac:dyDescent="0.25">
      <c r="A47" s="44" t="s">
        <v>3994</v>
      </c>
      <c r="B47" s="44" t="s">
        <v>4036</v>
      </c>
      <c r="C47" s="44" t="s">
        <v>4252</v>
      </c>
      <c r="D47" s="44" t="s">
        <v>3997</v>
      </c>
      <c r="E47" s="44" t="s">
        <v>4527</v>
      </c>
      <c r="F47" s="44" t="s">
        <v>4037</v>
      </c>
      <c r="G47" s="44" t="s">
        <v>3828</v>
      </c>
      <c r="H47" t="s">
        <v>4366</v>
      </c>
      <c r="L47" s="44" t="s">
        <v>4170</v>
      </c>
      <c r="M47" s="44" t="s">
        <v>4072</v>
      </c>
      <c r="N47" s="44" t="s">
        <v>4198</v>
      </c>
      <c r="O47" s="44" t="s">
        <v>4000</v>
      </c>
      <c r="P47" s="44" t="s">
        <v>4528</v>
      </c>
      <c r="Q47" s="44" t="s">
        <v>4042</v>
      </c>
      <c r="R47" s="44" t="s">
        <v>3832</v>
      </c>
      <c r="S47" t="s">
        <v>4326</v>
      </c>
      <c r="V47" t="s">
        <v>4158</v>
      </c>
      <c r="W47" t="s">
        <v>4172</v>
      </c>
      <c r="Y47" t="s">
        <v>4160</v>
      </c>
      <c r="Z47" s="44" t="s">
        <v>4529</v>
      </c>
      <c r="AA47" s="44" t="s">
        <v>10</v>
      </c>
      <c r="AB47" t="s">
        <v>3820</v>
      </c>
      <c r="AF47" s="44"/>
      <c r="AG47" s="44"/>
      <c r="AH47" s="44"/>
      <c r="AI47" s="44"/>
      <c r="AJ47" s="44"/>
      <c r="AK47" s="44"/>
      <c r="AL47" s="44"/>
    </row>
    <row r="48" spans="1:39" x14ac:dyDescent="0.25">
      <c r="A48" s="44" t="s">
        <v>3994</v>
      </c>
      <c r="B48" s="44" t="s">
        <v>4036</v>
      </c>
      <c r="C48" s="44" t="s">
        <v>4253</v>
      </c>
      <c r="D48" s="44" t="s">
        <v>3997</v>
      </c>
      <c r="E48" s="44" t="s">
        <v>4530</v>
      </c>
      <c r="F48" s="44" t="s">
        <v>4037</v>
      </c>
      <c r="G48" s="44" t="s">
        <v>3828</v>
      </c>
      <c r="H48" t="s">
        <v>4366</v>
      </c>
      <c r="L48" s="44" t="s">
        <v>4170</v>
      </c>
      <c r="M48" s="44" t="s">
        <v>4072</v>
      </c>
      <c r="N48" s="44" t="s">
        <v>4201</v>
      </c>
      <c r="O48" s="44" t="s">
        <v>4000</v>
      </c>
      <c r="P48" s="44" t="s">
        <v>4531</v>
      </c>
      <c r="Q48" s="44" t="s">
        <v>4042</v>
      </c>
      <c r="R48" s="44" t="s">
        <v>3832</v>
      </c>
      <c r="S48" t="s">
        <v>4326</v>
      </c>
      <c r="V48" t="s">
        <v>4195</v>
      </c>
      <c r="W48" t="s">
        <v>4024</v>
      </c>
      <c r="X48" t="s">
        <v>4211</v>
      </c>
      <c r="Y48" t="s">
        <v>4160</v>
      </c>
      <c r="Z48" s="44" t="s">
        <v>4532</v>
      </c>
      <c r="AA48" s="44" t="s">
        <v>10</v>
      </c>
      <c r="AB48" t="s">
        <v>3820</v>
      </c>
      <c r="AF48" s="44"/>
      <c r="AG48" s="44"/>
      <c r="AH48" s="44"/>
      <c r="AI48" s="44"/>
      <c r="AJ48" s="44"/>
      <c r="AK48" s="44"/>
      <c r="AL48" s="44"/>
    </row>
    <row r="49" spans="1:38" x14ac:dyDescent="0.25">
      <c r="A49" s="44" t="s">
        <v>3994</v>
      </c>
      <c r="B49" s="44" t="s">
        <v>4036</v>
      </c>
      <c r="C49" s="44" t="s">
        <v>4254</v>
      </c>
      <c r="D49" s="44" t="s">
        <v>3997</v>
      </c>
      <c r="E49" s="44" t="s">
        <v>4533</v>
      </c>
      <c r="F49" s="44" t="s">
        <v>4037</v>
      </c>
      <c r="G49" s="44" t="s">
        <v>3828</v>
      </c>
      <c r="H49" t="s">
        <v>4366</v>
      </c>
      <c r="L49" s="44" t="s">
        <v>4170</v>
      </c>
      <c r="M49" s="44" t="s">
        <v>4072</v>
      </c>
      <c r="N49" s="44"/>
      <c r="O49" s="44" t="s">
        <v>4000</v>
      </c>
      <c r="P49" s="44" t="s">
        <v>4534</v>
      </c>
      <c r="Q49" s="44" t="s">
        <v>4042</v>
      </c>
      <c r="R49" s="44" t="s">
        <v>3832</v>
      </c>
      <c r="S49" t="s">
        <v>4326</v>
      </c>
      <c r="V49" t="s">
        <v>4195</v>
      </c>
      <c r="W49" t="s">
        <v>4024</v>
      </c>
      <c r="X49" t="s">
        <v>4255</v>
      </c>
      <c r="Y49" t="s">
        <v>4160</v>
      </c>
      <c r="Z49" s="44" t="s">
        <v>4535</v>
      </c>
      <c r="AA49" s="44" t="s">
        <v>10</v>
      </c>
      <c r="AB49" t="s">
        <v>3820</v>
      </c>
      <c r="AF49" s="44"/>
      <c r="AG49" s="44"/>
      <c r="AH49" s="44"/>
      <c r="AI49" s="44"/>
      <c r="AJ49" s="44"/>
      <c r="AK49" s="44"/>
      <c r="AL49" s="44"/>
    </row>
    <row r="50" spans="1:38" x14ac:dyDescent="0.25">
      <c r="A50" s="44" t="s">
        <v>3994</v>
      </c>
      <c r="B50" s="44" t="s">
        <v>4036</v>
      </c>
      <c r="C50" s="44" t="s">
        <v>4256</v>
      </c>
      <c r="D50" s="44" t="s">
        <v>3997</v>
      </c>
      <c r="E50" s="44" t="s">
        <v>4536</v>
      </c>
      <c r="F50" s="44" t="s">
        <v>4037</v>
      </c>
      <c r="G50" s="44" t="s">
        <v>3828</v>
      </c>
      <c r="H50" t="s">
        <v>4366</v>
      </c>
      <c r="L50" s="44" t="s">
        <v>4170</v>
      </c>
      <c r="M50" s="44" t="s">
        <v>4082</v>
      </c>
      <c r="N50" s="44" t="s">
        <v>4257</v>
      </c>
      <c r="O50" s="44" t="s">
        <v>4000</v>
      </c>
      <c r="P50" s="44" t="s">
        <v>4537</v>
      </c>
      <c r="Q50" s="44" t="s">
        <v>4042</v>
      </c>
      <c r="R50" s="44" t="s">
        <v>3832</v>
      </c>
      <c r="S50" t="s">
        <v>4337</v>
      </c>
      <c r="V50" t="s">
        <v>4195</v>
      </c>
      <c r="W50" t="s">
        <v>4024</v>
      </c>
      <c r="X50" t="s">
        <v>4064</v>
      </c>
      <c r="Y50" t="s">
        <v>4160</v>
      </c>
      <c r="Z50" s="44" t="s">
        <v>4538</v>
      </c>
      <c r="AA50" s="44" t="s">
        <v>10</v>
      </c>
      <c r="AB50" t="s">
        <v>3820</v>
      </c>
      <c r="AF50" s="44"/>
      <c r="AG50" s="44"/>
      <c r="AH50" s="44"/>
      <c r="AI50" s="44"/>
      <c r="AJ50" s="44"/>
      <c r="AK50" s="44"/>
      <c r="AL50" s="44"/>
    </row>
    <row r="51" spans="1:38" x14ac:dyDescent="0.25">
      <c r="A51" s="44" t="s">
        <v>3994</v>
      </c>
      <c r="B51" s="44" t="s">
        <v>4036</v>
      </c>
      <c r="C51" s="44" t="s">
        <v>4258</v>
      </c>
      <c r="D51" s="44" t="s">
        <v>3997</v>
      </c>
      <c r="E51" s="44" t="s">
        <v>4539</v>
      </c>
      <c r="F51" s="44" t="s">
        <v>4037</v>
      </c>
      <c r="G51" s="44" t="s">
        <v>3828</v>
      </c>
      <c r="H51" t="s">
        <v>4366</v>
      </c>
      <c r="L51" s="44" t="s">
        <v>4170</v>
      </c>
      <c r="M51" s="44" t="s">
        <v>3995</v>
      </c>
      <c r="N51" s="44" t="s">
        <v>4200</v>
      </c>
      <c r="O51" s="44" t="s">
        <v>4000</v>
      </c>
      <c r="P51" s="44" t="s">
        <v>4540</v>
      </c>
      <c r="Q51" s="44" t="s">
        <v>4042</v>
      </c>
      <c r="R51" s="44" t="s">
        <v>3832</v>
      </c>
      <c r="S51" t="s">
        <v>4329</v>
      </c>
      <c r="V51" t="s">
        <v>4195</v>
      </c>
      <c r="W51" t="s">
        <v>4025</v>
      </c>
      <c r="X51" t="s">
        <v>4110</v>
      </c>
      <c r="Y51" t="s">
        <v>4160</v>
      </c>
      <c r="Z51" s="44" t="s">
        <v>4541</v>
      </c>
      <c r="AA51" s="44" t="s">
        <v>10</v>
      </c>
      <c r="AB51" t="s">
        <v>3820</v>
      </c>
      <c r="AF51" s="44"/>
      <c r="AG51" s="44"/>
      <c r="AH51" s="44"/>
      <c r="AI51" s="44"/>
      <c r="AJ51" s="44"/>
      <c r="AK51" s="44"/>
      <c r="AL51" s="44"/>
    </row>
    <row r="52" spans="1:38" x14ac:dyDescent="0.25">
      <c r="A52" s="44" t="s">
        <v>3994</v>
      </c>
      <c r="B52" s="44" t="s">
        <v>4036</v>
      </c>
      <c r="C52" s="44" t="s">
        <v>4259</v>
      </c>
      <c r="D52" s="44" t="s">
        <v>3997</v>
      </c>
      <c r="E52" s="44" t="s">
        <v>4542</v>
      </c>
      <c r="F52" s="44" t="s">
        <v>4037</v>
      </c>
      <c r="G52" s="44" t="s">
        <v>3828</v>
      </c>
      <c r="H52" t="s">
        <v>4366</v>
      </c>
      <c r="L52" s="44" t="s">
        <v>4170</v>
      </c>
      <c r="M52" s="44" t="s">
        <v>3995</v>
      </c>
      <c r="N52" s="44" t="s">
        <v>4260</v>
      </c>
      <c r="O52" s="44" t="s">
        <v>4000</v>
      </c>
      <c r="P52" s="44" t="s">
        <v>4543</v>
      </c>
      <c r="Q52" s="44" t="s">
        <v>4042</v>
      </c>
      <c r="R52" s="44" t="s">
        <v>3832</v>
      </c>
      <c r="S52" t="s">
        <v>4329</v>
      </c>
      <c r="V52" t="s">
        <v>4158</v>
      </c>
      <c r="W52" t="s">
        <v>4030</v>
      </c>
      <c r="X52" t="s">
        <v>4245</v>
      </c>
      <c r="Y52" t="s">
        <v>4160</v>
      </c>
      <c r="Z52" s="44" t="s">
        <v>4544</v>
      </c>
      <c r="AA52" s="44" t="s">
        <v>4029</v>
      </c>
      <c r="AB52" t="s">
        <v>3819</v>
      </c>
      <c r="AF52" s="44"/>
      <c r="AG52" s="44"/>
      <c r="AH52" s="44"/>
      <c r="AI52" s="44"/>
      <c r="AJ52" s="44"/>
      <c r="AK52" s="44"/>
      <c r="AL52" s="44"/>
    </row>
    <row r="53" spans="1:38" x14ac:dyDescent="0.25">
      <c r="A53" s="44" t="s">
        <v>3994</v>
      </c>
      <c r="B53" s="44" t="s">
        <v>4036</v>
      </c>
      <c r="C53" s="44" t="s">
        <v>4261</v>
      </c>
      <c r="D53" s="44" t="s">
        <v>3997</v>
      </c>
      <c r="E53" s="44" t="s">
        <v>4545</v>
      </c>
      <c r="F53" s="44" t="s">
        <v>4037</v>
      </c>
      <c r="G53" s="44" t="s">
        <v>3828</v>
      </c>
      <c r="H53" t="s">
        <v>4366</v>
      </c>
      <c r="L53" s="44" t="s">
        <v>4172</v>
      </c>
      <c r="M53" s="44" t="s">
        <v>3995</v>
      </c>
      <c r="N53" s="44"/>
      <c r="O53" s="44" t="s">
        <v>4000</v>
      </c>
      <c r="P53" s="44" t="s">
        <v>4546</v>
      </c>
      <c r="Q53" s="44" t="s">
        <v>4042</v>
      </c>
      <c r="R53" s="44" t="s">
        <v>3832</v>
      </c>
      <c r="S53" t="s">
        <v>4329</v>
      </c>
      <c r="V53" t="s">
        <v>4158</v>
      </c>
      <c r="W53" t="s">
        <v>4028</v>
      </c>
      <c r="X53" t="s">
        <v>4192</v>
      </c>
      <c r="Y53" t="s">
        <v>4160</v>
      </c>
      <c r="Z53" s="44" t="s">
        <v>4547</v>
      </c>
      <c r="AA53" s="44" t="s">
        <v>4029</v>
      </c>
      <c r="AB53" t="s">
        <v>3819</v>
      </c>
      <c r="AF53" s="44"/>
      <c r="AG53" s="44"/>
      <c r="AH53" s="44"/>
      <c r="AI53" s="44"/>
      <c r="AJ53" s="44"/>
      <c r="AK53" s="44"/>
      <c r="AL53" s="44"/>
    </row>
    <row r="54" spans="1:38" x14ac:dyDescent="0.25">
      <c r="A54" s="44" t="s">
        <v>3994</v>
      </c>
      <c r="B54" s="44" t="s">
        <v>4036</v>
      </c>
      <c r="C54" s="44" t="s">
        <v>4200</v>
      </c>
      <c r="D54" s="44" t="s">
        <v>3997</v>
      </c>
      <c r="E54" s="44" t="s">
        <v>4548</v>
      </c>
      <c r="F54" s="44" t="s">
        <v>4037</v>
      </c>
      <c r="G54" s="44" t="s">
        <v>3828</v>
      </c>
      <c r="H54" t="s">
        <v>4366</v>
      </c>
      <c r="L54" s="44" t="s">
        <v>4165</v>
      </c>
      <c r="M54" s="44" t="s">
        <v>4073</v>
      </c>
      <c r="N54" s="44" t="s">
        <v>4200</v>
      </c>
      <c r="O54" s="44" t="s">
        <v>4000</v>
      </c>
      <c r="P54" s="44" t="s">
        <v>4549</v>
      </c>
      <c r="Q54" s="44" t="s">
        <v>4042</v>
      </c>
      <c r="R54" s="44" t="s">
        <v>3832</v>
      </c>
      <c r="S54" t="s">
        <v>4327</v>
      </c>
      <c r="V54" t="s">
        <v>4158</v>
      </c>
      <c r="W54" t="s">
        <v>4030</v>
      </c>
      <c r="X54" t="s">
        <v>4236</v>
      </c>
      <c r="Y54" t="s">
        <v>4160</v>
      </c>
      <c r="Z54" s="44" t="s">
        <v>4550</v>
      </c>
      <c r="AA54" s="44" t="s">
        <v>4029</v>
      </c>
      <c r="AB54" t="s">
        <v>3819</v>
      </c>
      <c r="AC54" s="44"/>
      <c r="AF54" s="44"/>
      <c r="AG54" s="44"/>
      <c r="AH54" s="44"/>
      <c r="AI54" s="44"/>
      <c r="AJ54" s="44"/>
      <c r="AK54" s="44"/>
      <c r="AL54" s="44"/>
    </row>
    <row r="55" spans="1:38" x14ac:dyDescent="0.25">
      <c r="A55" s="44" t="s">
        <v>3994</v>
      </c>
      <c r="B55" s="44" t="s">
        <v>4036</v>
      </c>
      <c r="C55" s="44" t="s">
        <v>4262</v>
      </c>
      <c r="D55" s="44" t="s">
        <v>3997</v>
      </c>
      <c r="E55" s="44" t="s">
        <v>4551</v>
      </c>
      <c r="F55" s="44" t="s">
        <v>4037</v>
      </c>
      <c r="G55" s="44" t="s">
        <v>3828</v>
      </c>
      <c r="H55" t="s">
        <v>4366</v>
      </c>
      <c r="L55" s="44" t="s">
        <v>4172</v>
      </c>
      <c r="M55" s="44" t="s">
        <v>3995</v>
      </c>
      <c r="N55" s="44" t="s">
        <v>4263</v>
      </c>
      <c r="O55" s="44" t="s">
        <v>4000</v>
      </c>
      <c r="P55" s="44" t="s">
        <v>4552</v>
      </c>
      <c r="Q55" s="44" t="s">
        <v>4042</v>
      </c>
      <c r="R55" s="44" t="s">
        <v>3832</v>
      </c>
      <c r="S55" t="s">
        <v>4329</v>
      </c>
      <c r="V55" t="s">
        <v>4158</v>
      </c>
      <c r="W55" t="s">
        <v>4030</v>
      </c>
      <c r="Y55" t="s">
        <v>4160</v>
      </c>
      <c r="Z55" s="44" t="s">
        <v>4553</v>
      </c>
      <c r="AA55" s="44" t="s">
        <v>4029</v>
      </c>
      <c r="AB55" t="s">
        <v>3819</v>
      </c>
    </row>
    <row r="56" spans="1:38" x14ac:dyDescent="0.25">
      <c r="A56" s="44" t="s">
        <v>3994</v>
      </c>
      <c r="B56" s="44" t="s">
        <v>4036</v>
      </c>
      <c r="C56" s="44"/>
      <c r="D56" s="44" t="s">
        <v>3997</v>
      </c>
      <c r="E56" s="44" t="s">
        <v>4554</v>
      </c>
      <c r="F56" s="44" t="s">
        <v>4037</v>
      </c>
      <c r="G56" s="44" t="s">
        <v>3828</v>
      </c>
      <c r="H56" t="s">
        <v>4366</v>
      </c>
      <c r="L56" s="44" t="s">
        <v>4210</v>
      </c>
      <c r="M56" s="44" t="s">
        <v>4083</v>
      </c>
      <c r="N56" s="44" t="s">
        <v>4198</v>
      </c>
      <c r="O56" s="44" t="s">
        <v>4000</v>
      </c>
      <c r="P56" s="44" t="s">
        <v>4555</v>
      </c>
      <c r="Q56" s="44" t="s">
        <v>4042</v>
      </c>
      <c r="R56" s="44" t="s">
        <v>3832</v>
      </c>
      <c r="S56" t="s">
        <v>4338</v>
      </c>
    </row>
    <row r="57" spans="1:38" x14ac:dyDescent="0.25">
      <c r="A57" s="44" t="s">
        <v>3994</v>
      </c>
      <c r="B57" s="44" t="s">
        <v>4036</v>
      </c>
      <c r="C57" s="44" t="s">
        <v>4264</v>
      </c>
      <c r="D57" s="44" t="s">
        <v>3997</v>
      </c>
      <c r="E57" s="44" t="s">
        <v>4556</v>
      </c>
      <c r="F57" s="44" t="s">
        <v>4037</v>
      </c>
      <c r="G57" s="44" t="s">
        <v>3828</v>
      </c>
      <c r="H57" t="s">
        <v>4366</v>
      </c>
      <c r="L57" s="44" t="s">
        <v>4170</v>
      </c>
      <c r="M57" s="44" t="s">
        <v>3995</v>
      </c>
      <c r="N57" s="44" t="s">
        <v>4198</v>
      </c>
      <c r="O57" s="44" t="s">
        <v>4000</v>
      </c>
      <c r="P57" s="44" t="s">
        <v>4557</v>
      </c>
      <c r="Q57" s="44" t="s">
        <v>4042</v>
      </c>
      <c r="R57" s="44" t="s">
        <v>3832</v>
      </c>
      <c r="S57" t="s">
        <v>4329</v>
      </c>
    </row>
    <row r="58" spans="1:38" x14ac:dyDescent="0.25">
      <c r="A58" s="44" t="s">
        <v>3994</v>
      </c>
      <c r="B58" s="44" t="s">
        <v>4130</v>
      </c>
      <c r="C58" s="44" t="s">
        <v>61</v>
      </c>
      <c r="D58" s="44" t="s">
        <v>3997</v>
      </c>
      <c r="E58" s="44" t="s">
        <v>4558</v>
      </c>
      <c r="F58" s="44" t="s">
        <v>4138</v>
      </c>
      <c r="G58" s="44" t="s">
        <v>3951</v>
      </c>
      <c r="H58" t="s">
        <v>4388</v>
      </c>
      <c r="L58" s="44" t="s">
        <v>4170</v>
      </c>
      <c r="M58" s="44" t="s">
        <v>4054</v>
      </c>
      <c r="N58" s="44" t="s">
        <v>4265</v>
      </c>
      <c r="O58" s="44" t="s">
        <v>4000</v>
      </c>
      <c r="P58" s="44" t="s">
        <v>4559</v>
      </c>
      <c r="Q58" s="44" t="s">
        <v>4038</v>
      </c>
      <c r="R58" s="44" t="s">
        <v>3831</v>
      </c>
      <c r="S58" t="s">
        <v>4302</v>
      </c>
    </row>
    <row r="59" spans="1:38" x14ac:dyDescent="0.25">
      <c r="A59" s="44" t="s">
        <v>3994</v>
      </c>
      <c r="B59" s="44" t="s">
        <v>4139</v>
      </c>
      <c r="C59" s="44" t="s">
        <v>4140</v>
      </c>
      <c r="D59" s="44" t="s">
        <v>3997</v>
      </c>
      <c r="E59" s="44" t="s">
        <v>4560</v>
      </c>
      <c r="F59" s="44" t="s">
        <v>4138</v>
      </c>
      <c r="G59" s="44" t="s">
        <v>3951</v>
      </c>
      <c r="H59" t="s">
        <v>4389</v>
      </c>
      <c r="L59" s="44" t="s">
        <v>4210</v>
      </c>
      <c r="M59" s="44" t="s">
        <v>4054</v>
      </c>
      <c r="N59" s="44" t="s">
        <v>4265</v>
      </c>
      <c r="O59" s="44" t="s">
        <v>4000</v>
      </c>
      <c r="P59" s="44" t="s">
        <v>4561</v>
      </c>
      <c r="Q59" s="44" t="s">
        <v>4038</v>
      </c>
      <c r="R59" s="44" t="s">
        <v>3831</v>
      </c>
      <c r="S59" t="s">
        <v>4302</v>
      </c>
    </row>
    <row r="60" spans="1:38" x14ac:dyDescent="0.25">
      <c r="A60" s="44" t="s">
        <v>3994</v>
      </c>
      <c r="B60" s="44" t="s">
        <v>4141</v>
      </c>
      <c r="C60" s="44" t="s">
        <v>61</v>
      </c>
      <c r="D60" s="44" t="s">
        <v>3997</v>
      </c>
      <c r="E60" s="44" t="s">
        <v>4562</v>
      </c>
      <c r="F60" s="44" t="s">
        <v>4138</v>
      </c>
      <c r="G60" s="44" t="s">
        <v>3951</v>
      </c>
      <c r="H60" t="s">
        <v>4390</v>
      </c>
      <c r="L60" s="44" t="s">
        <v>4165</v>
      </c>
      <c r="M60" s="44" t="s">
        <v>4054</v>
      </c>
      <c r="N60" s="44" t="s">
        <v>4266</v>
      </c>
      <c r="O60" s="44" t="s">
        <v>4000</v>
      </c>
      <c r="P60" s="44" t="s">
        <v>4563</v>
      </c>
      <c r="Q60" s="44" t="s">
        <v>4038</v>
      </c>
      <c r="R60" s="44" t="s">
        <v>3831</v>
      </c>
      <c r="S60" t="s">
        <v>4302</v>
      </c>
    </row>
    <row r="61" spans="1:38" x14ac:dyDescent="0.25">
      <c r="A61" s="44" t="s">
        <v>3994</v>
      </c>
      <c r="B61" s="44" t="s">
        <v>4070</v>
      </c>
      <c r="C61" s="44"/>
      <c r="D61" s="44" t="s">
        <v>3997</v>
      </c>
      <c r="E61" s="44" t="s">
        <v>4564</v>
      </c>
      <c r="F61" s="44" t="s">
        <v>4038</v>
      </c>
      <c r="G61" s="44" t="s">
        <v>3827</v>
      </c>
      <c r="H61" t="s">
        <v>4380</v>
      </c>
      <c r="L61" s="44" t="s">
        <v>4170</v>
      </c>
      <c r="M61" s="44" t="s">
        <v>4055</v>
      </c>
      <c r="N61" s="44" t="s">
        <v>4267</v>
      </c>
      <c r="O61" s="44" t="s">
        <v>4000</v>
      </c>
      <c r="P61" s="44" t="s">
        <v>4565</v>
      </c>
      <c r="Q61" s="44" t="s">
        <v>4038</v>
      </c>
      <c r="R61" s="44" t="s">
        <v>3831</v>
      </c>
      <c r="S61" t="s">
        <v>4304</v>
      </c>
    </row>
    <row r="62" spans="1:38" x14ac:dyDescent="0.25">
      <c r="A62" s="44" t="s">
        <v>3994</v>
      </c>
      <c r="B62" s="44" t="s">
        <v>4129</v>
      </c>
      <c r="C62" s="44" t="s">
        <v>4268</v>
      </c>
      <c r="D62" s="44" t="s">
        <v>3997</v>
      </c>
      <c r="E62" s="44" t="s">
        <v>4566</v>
      </c>
      <c r="F62" s="44" t="s">
        <v>4038</v>
      </c>
      <c r="G62" s="44" t="s">
        <v>3827</v>
      </c>
      <c r="H62" t="s">
        <v>4382</v>
      </c>
      <c r="L62" s="44" t="s">
        <v>4170</v>
      </c>
      <c r="M62" s="44" t="s">
        <v>4054</v>
      </c>
      <c r="N62" s="44"/>
      <c r="O62" s="44" t="s">
        <v>4000</v>
      </c>
      <c r="P62" s="44" t="s">
        <v>4567</v>
      </c>
      <c r="Q62" s="44" t="s">
        <v>4038</v>
      </c>
      <c r="R62" s="44" t="s">
        <v>3831</v>
      </c>
      <c r="S62" t="s">
        <v>4302</v>
      </c>
    </row>
    <row r="63" spans="1:38" x14ac:dyDescent="0.25">
      <c r="A63" s="44" t="s">
        <v>3994</v>
      </c>
      <c r="B63" s="44" t="s">
        <v>4069</v>
      </c>
      <c r="C63" s="44" t="s">
        <v>4269</v>
      </c>
      <c r="D63" s="44" t="s">
        <v>3997</v>
      </c>
      <c r="E63" s="44" t="s">
        <v>4568</v>
      </c>
      <c r="F63" s="44" t="s">
        <v>4038</v>
      </c>
      <c r="G63" s="44" t="s">
        <v>3827</v>
      </c>
      <c r="H63" t="s">
        <v>4379</v>
      </c>
      <c r="L63" s="44" t="s">
        <v>4170</v>
      </c>
      <c r="M63" s="44" t="s">
        <v>4055</v>
      </c>
      <c r="N63" s="44"/>
      <c r="O63" s="44" t="s">
        <v>4000</v>
      </c>
      <c r="P63" s="44" t="s">
        <v>4569</v>
      </c>
      <c r="Q63" s="44" t="s">
        <v>4038</v>
      </c>
      <c r="R63" s="44" t="s">
        <v>3831</v>
      </c>
      <c r="S63" t="s">
        <v>4304</v>
      </c>
    </row>
    <row r="64" spans="1:38" x14ac:dyDescent="0.25">
      <c r="A64" s="44" t="s">
        <v>3994</v>
      </c>
      <c r="B64" s="44" t="s">
        <v>4270</v>
      </c>
      <c r="C64" s="44" t="s">
        <v>4271</v>
      </c>
      <c r="D64" s="44" t="s">
        <v>3997</v>
      </c>
      <c r="E64" s="44" t="s">
        <v>4570</v>
      </c>
      <c r="F64" s="44" t="s">
        <v>61</v>
      </c>
      <c r="G64" s="44" t="s">
        <v>3826</v>
      </c>
      <c r="H64" t="s">
        <v>4571</v>
      </c>
      <c r="L64" s="44" t="s">
        <v>4210</v>
      </c>
      <c r="M64" s="44" t="s">
        <v>4054</v>
      </c>
      <c r="N64" s="44" t="s">
        <v>4266</v>
      </c>
      <c r="O64" s="44" t="s">
        <v>4000</v>
      </c>
      <c r="P64" s="44" t="s">
        <v>4572</v>
      </c>
      <c r="Q64" s="44" t="s">
        <v>4038</v>
      </c>
      <c r="R64" s="44" t="s">
        <v>3831</v>
      </c>
      <c r="S64" t="s">
        <v>4302</v>
      </c>
    </row>
    <row r="65" spans="1:19" x14ac:dyDescent="0.25">
      <c r="A65" s="44" t="s">
        <v>3994</v>
      </c>
      <c r="B65" s="44" t="s">
        <v>61</v>
      </c>
      <c r="C65" s="44" t="s">
        <v>4085</v>
      </c>
      <c r="D65" s="44" t="s">
        <v>3997</v>
      </c>
      <c r="E65" s="44" t="s">
        <v>4573</v>
      </c>
      <c r="F65" s="44" t="s">
        <v>61</v>
      </c>
      <c r="G65" s="44" t="s">
        <v>3826</v>
      </c>
      <c r="H65" t="s">
        <v>4308</v>
      </c>
      <c r="L65" s="44" t="s">
        <v>4238</v>
      </c>
      <c r="M65" s="44" t="s">
        <v>61</v>
      </c>
      <c r="N65" s="44"/>
      <c r="O65" s="44" t="s">
        <v>4000</v>
      </c>
      <c r="P65" s="44" t="s">
        <v>4574</v>
      </c>
      <c r="Q65" s="44" t="s">
        <v>61</v>
      </c>
      <c r="R65" s="44" t="s">
        <v>3830</v>
      </c>
      <c r="S65" t="s">
        <v>4308</v>
      </c>
    </row>
    <row r="66" spans="1:19" x14ac:dyDescent="0.25">
      <c r="A66" s="44" t="s">
        <v>3994</v>
      </c>
      <c r="B66" s="44" t="s">
        <v>61</v>
      </c>
      <c r="C66" s="44" t="s">
        <v>4201</v>
      </c>
      <c r="D66" s="44" t="s">
        <v>3997</v>
      </c>
      <c r="E66" s="44" t="s">
        <v>4575</v>
      </c>
      <c r="F66" s="44" t="s">
        <v>61</v>
      </c>
      <c r="G66" s="44" t="s">
        <v>3826</v>
      </c>
      <c r="H66" t="s">
        <v>4308</v>
      </c>
      <c r="L66" s="44" t="s">
        <v>4170</v>
      </c>
      <c r="M66" s="44" t="s">
        <v>61</v>
      </c>
      <c r="N66" s="44" t="s">
        <v>4191</v>
      </c>
      <c r="O66" s="44" t="s">
        <v>4000</v>
      </c>
      <c r="P66" s="44" t="s">
        <v>4576</v>
      </c>
      <c r="Q66" s="44" t="s">
        <v>61</v>
      </c>
      <c r="R66" s="44" t="s">
        <v>3830</v>
      </c>
      <c r="S66" t="s">
        <v>4308</v>
      </c>
    </row>
    <row r="67" spans="1:19" x14ac:dyDescent="0.25">
      <c r="A67" s="44" t="s">
        <v>3994</v>
      </c>
      <c r="B67" s="44" t="s">
        <v>4064</v>
      </c>
      <c r="C67" s="44" t="s">
        <v>4272</v>
      </c>
      <c r="D67" s="44" t="s">
        <v>3997</v>
      </c>
      <c r="E67" s="44" t="s">
        <v>4577</v>
      </c>
      <c r="F67" s="44" t="s">
        <v>61</v>
      </c>
      <c r="G67" s="44" t="s">
        <v>3826</v>
      </c>
      <c r="H67" t="s">
        <v>4318</v>
      </c>
      <c r="L67" s="44" t="s">
        <v>4170</v>
      </c>
      <c r="M67" s="44" t="s">
        <v>61</v>
      </c>
      <c r="N67" s="44" t="s">
        <v>4273</v>
      </c>
      <c r="O67" s="44" t="s">
        <v>4000</v>
      </c>
      <c r="P67" s="44" t="s">
        <v>4578</v>
      </c>
      <c r="Q67" s="44" t="s">
        <v>61</v>
      </c>
      <c r="R67" s="44" t="s">
        <v>3830</v>
      </c>
      <c r="S67" t="s">
        <v>4308</v>
      </c>
    </row>
    <row r="68" spans="1:19" x14ac:dyDescent="0.25">
      <c r="A68" s="44" t="s">
        <v>3994</v>
      </c>
      <c r="B68" s="44" t="s">
        <v>61</v>
      </c>
      <c r="C68" s="44" t="s">
        <v>4274</v>
      </c>
      <c r="D68" s="44" t="s">
        <v>3997</v>
      </c>
      <c r="E68" s="44" t="s">
        <v>4579</v>
      </c>
      <c r="F68" s="44" t="s">
        <v>61</v>
      </c>
      <c r="G68" s="44" t="s">
        <v>3826</v>
      </c>
      <c r="H68" t="s">
        <v>4308</v>
      </c>
      <c r="L68" s="44" t="s">
        <v>4170</v>
      </c>
      <c r="M68" s="44" t="s">
        <v>4064</v>
      </c>
      <c r="N68" s="44" t="s">
        <v>4275</v>
      </c>
      <c r="O68" s="44" t="s">
        <v>4000</v>
      </c>
      <c r="P68" s="44" t="s">
        <v>4580</v>
      </c>
      <c r="Q68" s="44" t="s">
        <v>61</v>
      </c>
      <c r="R68" s="44" t="s">
        <v>3830</v>
      </c>
      <c r="S68" t="s">
        <v>4318</v>
      </c>
    </row>
    <row r="69" spans="1:19" x14ac:dyDescent="0.25">
      <c r="A69" s="44" t="s">
        <v>3994</v>
      </c>
      <c r="B69" s="44" t="s">
        <v>4109</v>
      </c>
      <c r="C69" s="44" t="s">
        <v>4276</v>
      </c>
      <c r="D69" s="44" t="s">
        <v>3997</v>
      </c>
      <c r="E69" s="44" t="s">
        <v>4581</v>
      </c>
      <c r="F69" s="44" t="s">
        <v>61</v>
      </c>
      <c r="G69" s="44" t="s">
        <v>3826</v>
      </c>
      <c r="H69" t="s">
        <v>4363</v>
      </c>
      <c r="L69" s="44" t="s">
        <v>4210</v>
      </c>
      <c r="M69" s="44" t="s">
        <v>4064</v>
      </c>
      <c r="N69" s="44" t="s">
        <v>4275</v>
      </c>
      <c r="O69" s="44" t="s">
        <v>4000</v>
      </c>
      <c r="P69" s="44" t="s">
        <v>4582</v>
      </c>
      <c r="Q69" s="44" t="s">
        <v>61</v>
      </c>
      <c r="R69" s="44" t="s">
        <v>3830</v>
      </c>
      <c r="S69" t="s">
        <v>4318</v>
      </c>
    </row>
    <row r="70" spans="1:19" x14ac:dyDescent="0.25">
      <c r="A70" s="44" t="s">
        <v>3994</v>
      </c>
      <c r="B70" s="44" t="s">
        <v>4129</v>
      </c>
      <c r="C70" s="44" t="s">
        <v>4243</v>
      </c>
      <c r="D70" s="44" t="s">
        <v>3997</v>
      </c>
      <c r="E70" s="44" t="s">
        <v>4583</v>
      </c>
      <c r="F70" s="44" t="s">
        <v>61</v>
      </c>
      <c r="G70" s="44" t="s">
        <v>3826</v>
      </c>
      <c r="H70" t="s">
        <v>4317</v>
      </c>
      <c r="L70" s="44" t="s">
        <v>4170</v>
      </c>
      <c r="M70" s="44" t="s">
        <v>61</v>
      </c>
      <c r="N70" s="44" t="s">
        <v>4200</v>
      </c>
      <c r="O70" s="44" t="s">
        <v>4000</v>
      </c>
      <c r="P70" s="44" t="s">
        <v>4584</v>
      </c>
      <c r="Q70" s="44" t="s">
        <v>61</v>
      </c>
      <c r="R70" s="44" t="s">
        <v>3830</v>
      </c>
      <c r="S70" t="s">
        <v>4308</v>
      </c>
    </row>
    <row r="71" spans="1:19" x14ac:dyDescent="0.25">
      <c r="A71" s="44" t="s">
        <v>4277</v>
      </c>
      <c r="B71" s="44" t="s">
        <v>61</v>
      </c>
      <c r="C71" s="44" t="s">
        <v>4278</v>
      </c>
      <c r="D71" s="44" t="s">
        <v>3997</v>
      </c>
      <c r="E71" s="44" t="s">
        <v>4585</v>
      </c>
      <c r="F71" s="44" t="s">
        <v>61</v>
      </c>
      <c r="G71" s="44" t="s">
        <v>3826</v>
      </c>
      <c r="H71" t="s">
        <v>4308</v>
      </c>
      <c r="L71" s="44" t="s">
        <v>4210</v>
      </c>
      <c r="M71" s="44" t="s">
        <v>4040</v>
      </c>
      <c r="N71" s="44" t="s">
        <v>4200</v>
      </c>
      <c r="O71" s="44" t="s">
        <v>4000</v>
      </c>
      <c r="P71" s="44" t="s">
        <v>4586</v>
      </c>
      <c r="Q71" s="44" t="s">
        <v>61</v>
      </c>
      <c r="R71" s="44" t="s">
        <v>3830</v>
      </c>
      <c r="S71" t="s">
        <v>4315</v>
      </c>
    </row>
    <row r="72" spans="1:19" x14ac:dyDescent="0.25">
      <c r="A72" s="44" t="s">
        <v>3994</v>
      </c>
      <c r="B72" s="44" t="s">
        <v>4064</v>
      </c>
      <c r="C72" s="44" t="s">
        <v>4279</v>
      </c>
      <c r="D72" s="44" t="s">
        <v>3997</v>
      </c>
      <c r="E72" s="44" t="s">
        <v>4587</v>
      </c>
      <c r="F72" s="44" t="s">
        <v>61</v>
      </c>
      <c r="G72" s="44" t="s">
        <v>3826</v>
      </c>
      <c r="H72" t="s">
        <v>4318</v>
      </c>
      <c r="L72" s="44" t="s">
        <v>4165</v>
      </c>
      <c r="M72" s="44" t="s">
        <v>4058</v>
      </c>
      <c r="N72" s="44" t="s">
        <v>61</v>
      </c>
      <c r="O72" s="44" t="s">
        <v>4000</v>
      </c>
      <c r="P72" s="44" t="s">
        <v>4588</v>
      </c>
      <c r="Q72" s="44" t="s">
        <v>61</v>
      </c>
      <c r="R72" s="44" t="s">
        <v>3830</v>
      </c>
      <c r="S72" t="s">
        <v>4310</v>
      </c>
    </row>
    <row r="73" spans="1:19" x14ac:dyDescent="0.25">
      <c r="A73" s="44" t="s">
        <v>3994</v>
      </c>
      <c r="B73" s="44" t="s">
        <v>4106</v>
      </c>
      <c r="C73" s="44"/>
      <c r="D73" s="44" t="s">
        <v>3997</v>
      </c>
      <c r="E73" s="44" t="s">
        <v>4589</v>
      </c>
      <c r="F73" s="44" t="s">
        <v>61</v>
      </c>
      <c r="G73" s="44" t="s">
        <v>3826</v>
      </c>
      <c r="H73" t="s">
        <v>4360</v>
      </c>
      <c r="L73" s="44" t="s">
        <v>4238</v>
      </c>
      <c r="M73" s="44" t="s">
        <v>61</v>
      </c>
      <c r="N73" s="44" t="s">
        <v>4239</v>
      </c>
      <c r="O73" s="44" t="s">
        <v>4000</v>
      </c>
      <c r="P73" s="44" t="s">
        <v>4590</v>
      </c>
      <c r="Q73" s="44" t="s">
        <v>61</v>
      </c>
      <c r="R73" s="44" t="s">
        <v>3830</v>
      </c>
      <c r="S73" t="s">
        <v>4308</v>
      </c>
    </row>
    <row r="74" spans="1:19" x14ac:dyDescent="0.25">
      <c r="A74" s="44" t="s">
        <v>3994</v>
      </c>
      <c r="B74" s="44" t="s">
        <v>4064</v>
      </c>
      <c r="C74" s="44" t="s">
        <v>4280</v>
      </c>
      <c r="D74" s="44" t="s">
        <v>3997</v>
      </c>
      <c r="E74" s="44" t="s">
        <v>4591</v>
      </c>
      <c r="F74" s="44" t="s">
        <v>61</v>
      </c>
      <c r="G74" s="44" t="s">
        <v>3826</v>
      </c>
      <c r="H74" t="s">
        <v>4318</v>
      </c>
      <c r="L74" s="44" t="s">
        <v>4170</v>
      </c>
      <c r="M74" s="44" t="s">
        <v>61</v>
      </c>
      <c r="N74" s="44" t="s">
        <v>4167</v>
      </c>
      <c r="O74" s="44" t="s">
        <v>4000</v>
      </c>
      <c r="P74" s="44" t="s">
        <v>4592</v>
      </c>
      <c r="Q74" s="44" t="s">
        <v>61</v>
      </c>
      <c r="R74" s="44" t="s">
        <v>3830</v>
      </c>
      <c r="S74" t="s">
        <v>4308</v>
      </c>
    </row>
    <row r="75" spans="1:19" x14ac:dyDescent="0.25">
      <c r="A75" s="44" t="s">
        <v>3994</v>
      </c>
      <c r="B75" s="44" t="s">
        <v>4036</v>
      </c>
      <c r="C75" s="44" t="s">
        <v>4201</v>
      </c>
      <c r="D75" s="44" t="s">
        <v>3997</v>
      </c>
      <c r="E75" s="44" t="s">
        <v>4593</v>
      </c>
      <c r="F75" s="44" t="s">
        <v>4037</v>
      </c>
      <c r="G75" s="44" t="s">
        <v>3828</v>
      </c>
      <c r="L75" s="44" t="s">
        <v>4170</v>
      </c>
      <c r="M75" s="44" t="s">
        <v>4129</v>
      </c>
      <c r="N75" s="44" t="s">
        <v>4243</v>
      </c>
      <c r="O75" s="44" t="s">
        <v>4000</v>
      </c>
      <c r="P75" s="44" t="s">
        <v>4594</v>
      </c>
      <c r="Q75" s="44" t="s">
        <v>61</v>
      </c>
      <c r="R75" s="44" t="s">
        <v>3830</v>
      </c>
      <c r="S75" t="s">
        <v>4317</v>
      </c>
    </row>
    <row r="76" spans="1:19" x14ac:dyDescent="0.25">
      <c r="A76" s="44" t="s">
        <v>3994</v>
      </c>
      <c r="B76" s="44" t="s">
        <v>4139</v>
      </c>
      <c r="C76" s="44"/>
      <c r="D76" s="44" t="s">
        <v>3997</v>
      </c>
      <c r="E76" s="44" t="s">
        <v>4595</v>
      </c>
      <c r="F76" s="44" t="s">
        <v>4138</v>
      </c>
      <c r="G76" s="44" t="s">
        <v>3951</v>
      </c>
      <c r="H76" t="s">
        <v>4366</v>
      </c>
      <c r="L76" s="44" t="s">
        <v>4170</v>
      </c>
      <c r="M76" s="44" t="s">
        <v>61</v>
      </c>
      <c r="N76" s="44"/>
      <c r="O76" s="44" t="s">
        <v>4000</v>
      </c>
      <c r="P76" s="44" t="s">
        <v>4596</v>
      </c>
      <c r="Q76" s="44" t="s">
        <v>61</v>
      </c>
      <c r="R76" s="44" t="s">
        <v>3830</v>
      </c>
      <c r="S76" t="s">
        <v>4308</v>
      </c>
    </row>
    <row r="77" spans="1:19" x14ac:dyDescent="0.25">
      <c r="A77" s="44" t="s">
        <v>3994</v>
      </c>
      <c r="B77" s="44" t="s">
        <v>4130</v>
      </c>
      <c r="C77" s="44"/>
      <c r="D77" s="44" t="s">
        <v>3997</v>
      </c>
      <c r="E77" s="44" t="s">
        <v>4597</v>
      </c>
      <c r="F77" s="44" t="s">
        <v>4138</v>
      </c>
      <c r="G77" s="44" t="s">
        <v>3951</v>
      </c>
      <c r="H77" t="s">
        <v>4389</v>
      </c>
      <c r="L77" s="44" t="s">
        <v>4210</v>
      </c>
      <c r="M77" s="44" t="s">
        <v>4040</v>
      </c>
      <c r="N77" s="44" t="s">
        <v>4167</v>
      </c>
      <c r="O77" s="44" t="s">
        <v>4000</v>
      </c>
      <c r="P77" s="44" t="s">
        <v>4598</v>
      </c>
      <c r="Q77" s="44" t="s">
        <v>61</v>
      </c>
      <c r="R77" s="44" t="s">
        <v>3830</v>
      </c>
      <c r="S77" t="s">
        <v>4315</v>
      </c>
    </row>
    <row r="78" spans="1:19" x14ac:dyDescent="0.25">
      <c r="A78" s="44" t="s">
        <v>3994</v>
      </c>
      <c r="B78" s="44" t="s">
        <v>4036</v>
      </c>
      <c r="C78" s="44" t="s">
        <v>4115</v>
      </c>
      <c r="D78" s="44" t="s">
        <v>3997</v>
      </c>
      <c r="E78" s="44" t="s">
        <v>4599</v>
      </c>
      <c r="F78" s="44" t="s">
        <v>4115</v>
      </c>
      <c r="G78" s="44" t="s">
        <v>3967</v>
      </c>
      <c r="H78" t="s">
        <v>4388</v>
      </c>
      <c r="L78" s="44" t="s">
        <v>4170</v>
      </c>
      <c r="M78" s="44" t="s">
        <v>61</v>
      </c>
      <c r="N78" s="44" t="s">
        <v>4274</v>
      </c>
      <c r="O78" s="44" t="s">
        <v>4000</v>
      </c>
      <c r="P78" s="44" t="s">
        <v>4600</v>
      </c>
      <c r="Q78" s="44" t="s">
        <v>61</v>
      </c>
      <c r="R78" s="44" t="s">
        <v>3830</v>
      </c>
      <c r="S78" t="s">
        <v>4308</v>
      </c>
    </row>
    <row r="79" spans="1:19" x14ac:dyDescent="0.25">
      <c r="A79" t="s">
        <v>3994</v>
      </c>
      <c r="B79" t="s">
        <v>4130</v>
      </c>
      <c r="C79" t="s">
        <v>4131</v>
      </c>
      <c r="D79" t="s">
        <v>3997</v>
      </c>
      <c r="E79" s="44" t="s">
        <v>4601</v>
      </c>
      <c r="F79" s="44" t="s">
        <v>4132</v>
      </c>
      <c r="G79" s="44" t="s">
        <v>3953</v>
      </c>
      <c r="H79" t="s">
        <v>4367</v>
      </c>
      <c r="L79" s="44" t="s">
        <v>4170</v>
      </c>
      <c r="M79" s="44" t="s">
        <v>61</v>
      </c>
      <c r="N79" s="44" t="s">
        <v>4198</v>
      </c>
      <c r="O79" s="44" t="s">
        <v>4000</v>
      </c>
      <c r="P79" s="44" t="s">
        <v>4602</v>
      </c>
      <c r="Q79" s="44" t="s">
        <v>61</v>
      </c>
      <c r="R79" s="44" t="s">
        <v>3830</v>
      </c>
      <c r="S79" t="s">
        <v>4308</v>
      </c>
    </row>
    <row r="80" spans="1:19" x14ac:dyDescent="0.25">
      <c r="A80" t="s">
        <v>3994</v>
      </c>
      <c r="B80" t="s">
        <v>4070</v>
      </c>
      <c r="D80" t="s">
        <v>3997</v>
      </c>
      <c r="E80" s="44" t="s">
        <v>4564</v>
      </c>
      <c r="F80" s="44" t="s">
        <v>61</v>
      </c>
      <c r="G80" s="44" t="s">
        <v>3826</v>
      </c>
      <c r="H80" t="s">
        <v>4384</v>
      </c>
      <c r="L80" s="44" t="s">
        <v>4238</v>
      </c>
      <c r="M80" s="44" t="s">
        <v>61</v>
      </c>
      <c r="N80" s="44" t="s">
        <v>4281</v>
      </c>
      <c r="O80" s="44" t="s">
        <v>4000</v>
      </c>
      <c r="P80" s="44" t="s">
        <v>4603</v>
      </c>
      <c r="Q80" s="44" t="s">
        <v>61</v>
      </c>
      <c r="R80" s="44" t="s">
        <v>3830</v>
      </c>
      <c r="S80" t="s">
        <v>4308</v>
      </c>
    </row>
    <row r="81" spans="1:19" x14ac:dyDescent="0.25">
      <c r="A81" t="s">
        <v>3994</v>
      </c>
      <c r="B81" t="s">
        <v>4129</v>
      </c>
      <c r="C81" t="s">
        <v>4268</v>
      </c>
      <c r="D81" t="s">
        <v>3997</v>
      </c>
      <c r="E81" s="44" t="s">
        <v>4566</v>
      </c>
      <c r="F81" s="44" t="s">
        <v>61</v>
      </c>
      <c r="G81" s="44" t="s">
        <v>3826</v>
      </c>
      <c r="H81" t="s">
        <v>4324</v>
      </c>
      <c r="L81" s="44" t="s">
        <v>4170</v>
      </c>
      <c r="M81" s="44" t="s">
        <v>61</v>
      </c>
      <c r="N81" s="44" t="s">
        <v>4085</v>
      </c>
      <c r="O81" s="44" t="s">
        <v>4000</v>
      </c>
      <c r="P81" s="44" t="s">
        <v>4604</v>
      </c>
      <c r="Q81" s="44" t="s">
        <v>61</v>
      </c>
      <c r="R81" s="44" t="s">
        <v>3830</v>
      </c>
      <c r="S81" t="s">
        <v>4308</v>
      </c>
    </row>
    <row r="82" spans="1:19" x14ac:dyDescent="0.25">
      <c r="A82" t="s">
        <v>3994</v>
      </c>
      <c r="B82" t="s">
        <v>61</v>
      </c>
      <c r="C82" t="s">
        <v>4282</v>
      </c>
      <c r="D82" t="s">
        <v>3997</v>
      </c>
      <c r="E82" s="44" t="s">
        <v>4605</v>
      </c>
      <c r="F82" s="44" t="s">
        <v>61</v>
      </c>
      <c r="G82" s="44" t="s">
        <v>3826</v>
      </c>
      <c r="H82" t="s">
        <v>4317</v>
      </c>
      <c r="L82" s="44" t="s">
        <v>4165</v>
      </c>
      <c r="M82" s="44" t="s">
        <v>61</v>
      </c>
      <c r="N82" s="44" t="s">
        <v>4061</v>
      </c>
      <c r="O82" s="44" t="s">
        <v>4000</v>
      </c>
      <c r="P82" s="44" t="s">
        <v>4606</v>
      </c>
      <c r="Q82" s="44" t="s">
        <v>61</v>
      </c>
      <c r="R82" s="44" t="s">
        <v>3830</v>
      </c>
      <c r="S82" t="s">
        <v>4308</v>
      </c>
    </row>
    <row r="83" spans="1:19" x14ac:dyDescent="0.25">
      <c r="A83" t="s">
        <v>4147</v>
      </c>
      <c r="B83" t="s">
        <v>4108</v>
      </c>
      <c r="D83" t="s">
        <v>3997</v>
      </c>
      <c r="E83" s="44" t="s">
        <v>4607</v>
      </c>
      <c r="F83" s="44" t="s">
        <v>61</v>
      </c>
      <c r="G83" s="44" t="s">
        <v>3826</v>
      </c>
      <c r="H83" t="s">
        <v>4308</v>
      </c>
      <c r="L83" s="44" t="s">
        <v>4170</v>
      </c>
      <c r="M83" s="44" t="s">
        <v>4064</v>
      </c>
      <c r="N83" s="44" t="s">
        <v>4283</v>
      </c>
      <c r="O83" s="44" t="s">
        <v>4000</v>
      </c>
      <c r="P83" s="44" t="s">
        <v>4608</v>
      </c>
      <c r="Q83" s="44" t="s">
        <v>61</v>
      </c>
      <c r="R83" s="44" t="s">
        <v>3830</v>
      </c>
      <c r="S83" t="s">
        <v>4318</v>
      </c>
    </row>
    <row r="84" spans="1:19" x14ac:dyDescent="0.25">
      <c r="A84" t="s">
        <v>3994</v>
      </c>
      <c r="B84" t="s">
        <v>4069</v>
      </c>
      <c r="C84" t="s">
        <v>4269</v>
      </c>
      <c r="D84" t="s">
        <v>3997</v>
      </c>
      <c r="E84" s="44" t="s">
        <v>4568</v>
      </c>
      <c r="F84" s="44" t="s">
        <v>61</v>
      </c>
      <c r="G84" s="44" t="s">
        <v>3826</v>
      </c>
      <c r="H84" t="s">
        <v>4362</v>
      </c>
      <c r="L84" s="44" t="s">
        <v>4165</v>
      </c>
      <c r="M84" s="44" t="s">
        <v>4065</v>
      </c>
      <c r="N84" s="44" t="s">
        <v>4284</v>
      </c>
      <c r="O84" s="44" t="s">
        <v>4000</v>
      </c>
      <c r="P84" s="44" t="s">
        <v>4609</v>
      </c>
      <c r="Q84" s="44" t="s">
        <v>61</v>
      </c>
      <c r="R84" s="44" t="s">
        <v>3830</v>
      </c>
      <c r="S84" t="s">
        <v>4319</v>
      </c>
    </row>
    <row r="85" spans="1:19" x14ac:dyDescent="0.25">
      <c r="A85" t="s">
        <v>3994</v>
      </c>
      <c r="B85" t="s">
        <v>4129</v>
      </c>
      <c r="D85" t="s">
        <v>3997</v>
      </c>
      <c r="E85" s="44" t="s">
        <v>4610</v>
      </c>
      <c r="F85" s="44" t="s">
        <v>61</v>
      </c>
      <c r="G85" s="44" t="s">
        <v>3826</v>
      </c>
      <c r="H85" t="s">
        <v>4323</v>
      </c>
      <c r="L85" s="44" t="s">
        <v>4170</v>
      </c>
      <c r="M85" s="44" t="s">
        <v>4129</v>
      </c>
      <c r="N85" s="44" t="s">
        <v>4285</v>
      </c>
      <c r="O85" s="44" t="s">
        <v>4000</v>
      </c>
      <c r="P85" s="44" t="s">
        <v>4611</v>
      </c>
      <c r="Q85" s="44" t="s">
        <v>61</v>
      </c>
      <c r="R85" s="44" t="s">
        <v>3830</v>
      </c>
      <c r="S85" t="s">
        <v>4317</v>
      </c>
    </row>
    <row r="86" spans="1:19" x14ac:dyDescent="0.25">
      <c r="A86" t="s">
        <v>3994</v>
      </c>
      <c r="B86" t="s">
        <v>4129</v>
      </c>
      <c r="C86" t="s">
        <v>4286</v>
      </c>
      <c r="D86" t="s">
        <v>3997</v>
      </c>
      <c r="E86" s="44" t="s">
        <v>4612</v>
      </c>
      <c r="F86" s="44" t="s">
        <v>61</v>
      </c>
      <c r="G86" s="44" t="s">
        <v>3826</v>
      </c>
      <c r="H86" t="s">
        <v>4317</v>
      </c>
      <c r="L86" s="44" t="s">
        <v>4165</v>
      </c>
      <c r="M86" s="44" t="s">
        <v>61</v>
      </c>
      <c r="N86" s="44" t="s">
        <v>4191</v>
      </c>
      <c r="O86" s="44" t="s">
        <v>4000</v>
      </c>
      <c r="P86" s="44" t="s">
        <v>4613</v>
      </c>
      <c r="Q86" s="44" t="s">
        <v>61</v>
      </c>
      <c r="R86" s="44" t="s">
        <v>3830</v>
      </c>
      <c r="S86" t="s">
        <v>4308</v>
      </c>
    </row>
    <row r="87" spans="1:19" x14ac:dyDescent="0.25">
      <c r="A87" t="s">
        <v>3994</v>
      </c>
      <c r="B87" t="s">
        <v>4064</v>
      </c>
      <c r="C87" t="s">
        <v>4287</v>
      </c>
      <c r="D87" t="s">
        <v>3997</v>
      </c>
      <c r="E87" s="44" t="s">
        <v>4614</v>
      </c>
      <c r="F87" s="44" t="s">
        <v>61</v>
      </c>
      <c r="G87" s="44" t="s">
        <v>3826</v>
      </c>
      <c r="H87" t="s">
        <v>4317</v>
      </c>
      <c r="L87" s="44" t="s">
        <v>4170</v>
      </c>
      <c r="M87" s="44" t="s">
        <v>61</v>
      </c>
      <c r="N87" s="44" t="s">
        <v>4288</v>
      </c>
      <c r="O87" s="44" t="s">
        <v>4000</v>
      </c>
      <c r="P87" s="44" t="s">
        <v>4615</v>
      </c>
      <c r="Q87" s="44" t="s">
        <v>61</v>
      </c>
      <c r="R87" s="44" t="s">
        <v>3830</v>
      </c>
      <c r="S87" t="s">
        <v>4308</v>
      </c>
    </row>
    <row r="88" spans="1:19" x14ac:dyDescent="0.25">
      <c r="A88" t="s">
        <v>3994</v>
      </c>
      <c r="B88" t="s">
        <v>4129</v>
      </c>
      <c r="C88" t="s">
        <v>4268</v>
      </c>
      <c r="D88" t="s">
        <v>3997</v>
      </c>
      <c r="E88" s="44" t="s">
        <v>4566</v>
      </c>
      <c r="F88" s="44" t="s">
        <v>4042</v>
      </c>
      <c r="G88" s="44" t="s">
        <v>3827</v>
      </c>
      <c r="H88" t="s">
        <v>4318</v>
      </c>
      <c r="L88" s="44" t="s">
        <v>4170</v>
      </c>
      <c r="M88" s="44" t="s">
        <v>61</v>
      </c>
      <c r="N88" s="44" t="s">
        <v>4201</v>
      </c>
      <c r="O88" s="44" t="s">
        <v>4000</v>
      </c>
      <c r="P88" s="44" t="s">
        <v>4616</v>
      </c>
      <c r="Q88" s="44" t="s">
        <v>61</v>
      </c>
      <c r="R88" s="44" t="s">
        <v>3830</v>
      </c>
      <c r="S88" t="s">
        <v>4308</v>
      </c>
    </row>
    <row r="89" spans="1:19" x14ac:dyDescent="0.25">
      <c r="A89" t="s">
        <v>3994</v>
      </c>
      <c r="B89" t="s">
        <v>4070</v>
      </c>
      <c r="D89" t="s">
        <v>3997</v>
      </c>
      <c r="E89" s="44" t="s">
        <v>4564</v>
      </c>
      <c r="F89" s="44" t="s">
        <v>4042</v>
      </c>
      <c r="G89" s="44" t="s">
        <v>3827</v>
      </c>
      <c r="H89" t="s">
        <v>4617</v>
      </c>
      <c r="L89" s="44" t="s">
        <v>4165</v>
      </c>
      <c r="M89" s="44" t="s">
        <v>61</v>
      </c>
      <c r="N89" s="44" t="s">
        <v>4167</v>
      </c>
      <c r="O89" s="44" t="s">
        <v>4000</v>
      </c>
      <c r="P89" s="44" t="s">
        <v>4618</v>
      </c>
      <c r="Q89" s="44" t="s">
        <v>61</v>
      </c>
      <c r="R89" s="44" t="s">
        <v>3830</v>
      </c>
      <c r="S89" t="s">
        <v>4308</v>
      </c>
    </row>
    <row r="90" spans="1:19" x14ac:dyDescent="0.25">
      <c r="A90" t="s">
        <v>4100</v>
      </c>
      <c r="B90" t="s">
        <v>4101</v>
      </c>
      <c r="C90" t="s">
        <v>4180</v>
      </c>
      <c r="D90" t="s">
        <v>3997</v>
      </c>
      <c r="E90" s="44" t="s">
        <v>4410</v>
      </c>
      <c r="F90" s="44" t="s">
        <v>4042</v>
      </c>
      <c r="G90" s="44" t="s">
        <v>3827</v>
      </c>
      <c r="H90" t="s">
        <v>4619</v>
      </c>
      <c r="L90" s="44" t="s">
        <v>4244</v>
      </c>
      <c r="M90" s="44" t="s">
        <v>4056</v>
      </c>
      <c r="N90" s="44" t="s">
        <v>4222</v>
      </c>
      <c r="O90" s="44" t="s">
        <v>4000</v>
      </c>
      <c r="P90" s="44" t="s">
        <v>4620</v>
      </c>
      <c r="Q90" s="44" t="s">
        <v>61</v>
      </c>
      <c r="R90" s="44" t="s">
        <v>3830</v>
      </c>
      <c r="S90" t="s">
        <v>4307</v>
      </c>
    </row>
    <row r="91" spans="1:19" x14ac:dyDescent="0.25">
      <c r="A91" t="s">
        <v>4147</v>
      </c>
      <c r="B91" t="s">
        <v>4143</v>
      </c>
      <c r="C91" t="s">
        <v>4148</v>
      </c>
      <c r="D91" t="s">
        <v>3997</v>
      </c>
      <c r="E91" s="44" t="s">
        <v>4621</v>
      </c>
      <c r="F91" s="44" t="s">
        <v>4042</v>
      </c>
      <c r="G91" s="44" t="s">
        <v>3827</v>
      </c>
      <c r="H91" t="s">
        <v>4376</v>
      </c>
      <c r="L91" s="44" t="s">
        <v>4170</v>
      </c>
      <c r="M91" s="44" t="s">
        <v>4066</v>
      </c>
      <c r="N91" s="44" t="s">
        <v>4243</v>
      </c>
      <c r="O91" s="44" t="s">
        <v>4000</v>
      </c>
      <c r="P91" s="44" t="s">
        <v>4622</v>
      </c>
      <c r="Q91" s="44" t="s">
        <v>61</v>
      </c>
      <c r="R91" s="44" t="s">
        <v>3830</v>
      </c>
      <c r="S91" t="s">
        <v>4320</v>
      </c>
    </row>
    <row r="92" spans="1:19" x14ac:dyDescent="0.25">
      <c r="A92" t="s">
        <v>3994</v>
      </c>
      <c r="B92" t="s">
        <v>4069</v>
      </c>
      <c r="C92" t="s">
        <v>4269</v>
      </c>
      <c r="D92" t="s">
        <v>3997</v>
      </c>
      <c r="E92" s="44" t="s">
        <v>4568</v>
      </c>
      <c r="F92" s="44" t="s">
        <v>4042</v>
      </c>
      <c r="G92" s="44" t="s">
        <v>3827</v>
      </c>
      <c r="H92" t="s">
        <v>4623</v>
      </c>
      <c r="L92" s="44" t="s">
        <v>4210</v>
      </c>
      <c r="M92" s="44" t="s">
        <v>4040</v>
      </c>
      <c r="N92" s="44" t="s">
        <v>4191</v>
      </c>
      <c r="O92" s="44" t="s">
        <v>4000</v>
      </c>
      <c r="P92" s="44" t="s">
        <v>4624</v>
      </c>
      <c r="Q92" s="44" t="s">
        <v>61</v>
      </c>
      <c r="R92" s="44" t="s">
        <v>3830</v>
      </c>
      <c r="S92" t="s">
        <v>4315</v>
      </c>
    </row>
    <row r="93" spans="1:19" x14ac:dyDescent="0.25">
      <c r="A93" t="s">
        <v>3994</v>
      </c>
      <c r="B93" t="s">
        <v>4125</v>
      </c>
      <c r="D93" t="s">
        <v>3997</v>
      </c>
      <c r="E93" s="44" t="s">
        <v>4625</v>
      </c>
      <c r="F93" s="44" t="s">
        <v>4042</v>
      </c>
      <c r="G93" s="44" t="s">
        <v>3827</v>
      </c>
      <c r="H93" t="s">
        <v>4626</v>
      </c>
      <c r="L93" s="44" t="s">
        <v>4165</v>
      </c>
      <c r="M93" s="44" t="s">
        <v>4058</v>
      </c>
      <c r="N93" s="44" t="s">
        <v>4289</v>
      </c>
      <c r="O93" s="44" t="s">
        <v>4000</v>
      </c>
      <c r="P93" s="44" t="s">
        <v>4627</v>
      </c>
      <c r="Q93" s="44" t="s">
        <v>61</v>
      </c>
      <c r="R93" s="44" t="s">
        <v>3830</v>
      </c>
      <c r="S93" t="s">
        <v>4310</v>
      </c>
    </row>
    <row r="94" spans="1:19" x14ac:dyDescent="0.25">
      <c r="A94" t="s">
        <v>4147</v>
      </c>
      <c r="B94" t="s">
        <v>4072</v>
      </c>
      <c r="D94" t="s">
        <v>3997</v>
      </c>
      <c r="E94" s="44" t="s">
        <v>4628</v>
      </c>
      <c r="F94" s="44" t="s">
        <v>4042</v>
      </c>
      <c r="G94" s="44" t="s">
        <v>3827</v>
      </c>
      <c r="H94" t="s">
        <v>4375</v>
      </c>
      <c r="L94" s="44" t="s">
        <v>4165</v>
      </c>
      <c r="M94" s="44" t="s">
        <v>61</v>
      </c>
      <c r="N94" s="44" t="s">
        <v>4200</v>
      </c>
      <c r="O94" s="44" t="s">
        <v>4000</v>
      </c>
      <c r="P94" s="44" t="s">
        <v>4629</v>
      </c>
      <c r="Q94" s="44" t="s">
        <v>61</v>
      </c>
      <c r="R94" s="44" t="s">
        <v>3830</v>
      </c>
      <c r="S94" t="s">
        <v>4308</v>
      </c>
    </row>
    <row r="95" spans="1:19" x14ac:dyDescent="0.25">
      <c r="A95" t="s">
        <v>3994</v>
      </c>
      <c r="B95" t="s">
        <v>4121</v>
      </c>
      <c r="C95" t="s">
        <v>4269</v>
      </c>
      <c r="D95" t="s">
        <v>3997</v>
      </c>
      <c r="E95" s="44" t="s">
        <v>4630</v>
      </c>
      <c r="F95" s="44" t="s">
        <v>4042</v>
      </c>
      <c r="G95" s="44" t="s">
        <v>3827</v>
      </c>
      <c r="H95" t="s">
        <v>4326</v>
      </c>
      <c r="L95" s="44" t="s">
        <v>4170</v>
      </c>
      <c r="M95" s="44" t="s">
        <v>61</v>
      </c>
      <c r="N95" s="44" t="s">
        <v>4260</v>
      </c>
      <c r="O95" s="44" t="s">
        <v>4000</v>
      </c>
      <c r="P95" s="44" t="s">
        <v>4631</v>
      </c>
      <c r="Q95" s="44" t="s">
        <v>61</v>
      </c>
      <c r="R95" s="44" t="s">
        <v>3830</v>
      </c>
      <c r="S95" t="s">
        <v>4308</v>
      </c>
    </row>
    <row r="96" spans="1:19" x14ac:dyDescent="0.25">
      <c r="A96" t="s">
        <v>4147</v>
      </c>
      <c r="B96" t="s">
        <v>4143</v>
      </c>
      <c r="C96" t="s">
        <v>4152</v>
      </c>
      <c r="D96" t="s">
        <v>3997</v>
      </c>
      <c r="E96" s="44" t="s">
        <v>4632</v>
      </c>
      <c r="F96" s="44" t="s">
        <v>4042</v>
      </c>
      <c r="G96" s="44" t="s">
        <v>3827</v>
      </c>
      <c r="H96" t="s">
        <v>4371</v>
      </c>
      <c r="L96" s="44" t="s">
        <v>4210</v>
      </c>
      <c r="M96" s="44" t="s">
        <v>4040</v>
      </c>
      <c r="N96" s="44" t="s">
        <v>4198</v>
      </c>
      <c r="O96" s="44" t="s">
        <v>4000</v>
      </c>
      <c r="P96" s="44" t="s">
        <v>4633</v>
      </c>
      <c r="Q96" s="44" t="s">
        <v>61</v>
      </c>
      <c r="R96" s="44" t="s">
        <v>3830</v>
      </c>
      <c r="S96" t="s">
        <v>4315</v>
      </c>
    </row>
    <row r="97" spans="1:20" x14ac:dyDescent="0.25">
      <c r="A97" t="s">
        <v>3994</v>
      </c>
      <c r="B97" t="s">
        <v>3995</v>
      </c>
      <c r="C97">
        <v>0</v>
      </c>
      <c r="D97" t="s">
        <v>3997</v>
      </c>
      <c r="E97" s="44" t="s">
        <v>4634</v>
      </c>
      <c r="F97" s="44" t="s">
        <v>4042</v>
      </c>
      <c r="G97" s="44" t="s">
        <v>3827</v>
      </c>
      <c r="H97" t="s">
        <v>4623</v>
      </c>
      <c r="L97" s="44" t="s">
        <v>4290</v>
      </c>
      <c r="M97" s="44" t="s">
        <v>61</v>
      </c>
      <c r="N97" s="44" t="s">
        <v>4167</v>
      </c>
      <c r="O97" s="44" t="s">
        <v>4000</v>
      </c>
      <c r="P97" s="44" t="s">
        <v>4635</v>
      </c>
      <c r="Q97" s="44" t="s">
        <v>61</v>
      </c>
      <c r="R97" s="44" t="s">
        <v>3830</v>
      </c>
      <c r="S97" t="s">
        <v>4308</v>
      </c>
    </row>
    <row r="98" spans="1:20" x14ac:dyDescent="0.25">
      <c r="A98" t="s">
        <v>3994</v>
      </c>
      <c r="B98" t="s">
        <v>4129</v>
      </c>
      <c r="C98" t="s">
        <v>4243</v>
      </c>
      <c r="D98" t="s">
        <v>3997</v>
      </c>
      <c r="E98" s="44" t="s">
        <v>4583</v>
      </c>
      <c r="F98" s="44" t="s">
        <v>4042</v>
      </c>
      <c r="G98" s="44" t="s">
        <v>3827</v>
      </c>
      <c r="H98" t="s">
        <v>4329</v>
      </c>
      <c r="L98" s="44" t="s">
        <v>4170</v>
      </c>
      <c r="M98" s="44" t="s">
        <v>4291</v>
      </c>
      <c r="N98" s="44" t="s">
        <v>4292</v>
      </c>
      <c r="O98" s="44" t="s">
        <v>4000</v>
      </c>
      <c r="P98" s="44" t="s">
        <v>4636</v>
      </c>
      <c r="Q98" s="44" t="s">
        <v>61</v>
      </c>
      <c r="R98" s="44" t="s">
        <v>3830</v>
      </c>
      <c r="S98" t="s">
        <v>4637</v>
      </c>
    </row>
    <row r="99" spans="1:20" x14ac:dyDescent="0.25">
      <c r="A99" t="s">
        <v>4147</v>
      </c>
      <c r="B99" t="s">
        <v>4123</v>
      </c>
      <c r="D99" t="s">
        <v>3997</v>
      </c>
      <c r="E99" s="44" t="s">
        <v>4638</v>
      </c>
      <c r="F99" s="44" t="s">
        <v>4042</v>
      </c>
      <c r="G99" s="44" t="s">
        <v>3827</v>
      </c>
      <c r="H99" t="s">
        <v>4617</v>
      </c>
      <c r="L99" s="44" t="s">
        <v>4210</v>
      </c>
      <c r="M99" s="44" t="s">
        <v>4040</v>
      </c>
      <c r="N99" s="44" t="s">
        <v>4201</v>
      </c>
      <c r="O99" s="44" t="s">
        <v>4000</v>
      </c>
      <c r="P99" s="44" t="s">
        <v>4639</v>
      </c>
      <c r="Q99" s="44" t="s">
        <v>61</v>
      </c>
      <c r="R99" s="44" t="s">
        <v>3830</v>
      </c>
      <c r="S99" t="s">
        <v>4315</v>
      </c>
    </row>
    <row r="100" spans="1:20" x14ac:dyDescent="0.25">
      <c r="A100" t="s">
        <v>3994</v>
      </c>
      <c r="B100" t="s">
        <v>4129</v>
      </c>
      <c r="D100" t="s">
        <v>3997</v>
      </c>
      <c r="E100" s="44" t="s">
        <v>4610</v>
      </c>
      <c r="F100" s="44" t="s">
        <v>4042</v>
      </c>
      <c r="G100" s="44" t="s">
        <v>3827</v>
      </c>
      <c r="H100" t="s">
        <v>4373</v>
      </c>
      <c r="L100" s="44" t="s">
        <v>4290</v>
      </c>
      <c r="M100" s="44" t="s">
        <v>61</v>
      </c>
      <c r="N100" s="44" t="s">
        <v>4191</v>
      </c>
      <c r="O100" s="44" t="s">
        <v>4000</v>
      </c>
      <c r="P100" s="44" t="s">
        <v>4640</v>
      </c>
      <c r="Q100" s="44" t="s">
        <v>61</v>
      </c>
      <c r="R100" s="44" t="s">
        <v>3830</v>
      </c>
      <c r="S100" t="s">
        <v>4308</v>
      </c>
    </row>
    <row r="101" spans="1:20" x14ac:dyDescent="0.25">
      <c r="A101" t="s">
        <v>3994</v>
      </c>
      <c r="B101" t="s">
        <v>4064</v>
      </c>
      <c r="C101" t="s">
        <v>4293</v>
      </c>
      <c r="D101" t="s">
        <v>3997</v>
      </c>
      <c r="E101" s="44" t="s">
        <v>4641</v>
      </c>
      <c r="F101" s="44" t="s">
        <v>61</v>
      </c>
      <c r="G101" s="44" t="s">
        <v>3826</v>
      </c>
      <c r="H101" t="s">
        <v>4617</v>
      </c>
      <c r="L101" s="44" t="s">
        <v>3999</v>
      </c>
      <c r="M101" s="44" t="s">
        <v>4064</v>
      </c>
      <c r="N101" s="44" t="s">
        <v>4294</v>
      </c>
      <c r="O101" s="44" t="s">
        <v>4000</v>
      </c>
      <c r="P101" s="44" t="s">
        <v>4642</v>
      </c>
      <c r="Q101" s="44" t="s">
        <v>61</v>
      </c>
      <c r="R101" s="44" t="s">
        <v>3830</v>
      </c>
      <c r="S101" t="s">
        <v>4318</v>
      </c>
    </row>
    <row r="102" spans="1:20" x14ac:dyDescent="0.25">
      <c r="A102" t="s">
        <v>3994</v>
      </c>
      <c r="B102" t="s">
        <v>4064</v>
      </c>
      <c r="C102" t="s">
        <v>4295</v>
      </c>
      <c r="D102" t="s">
        <v>3997</v>
      </c>
      <c r="E102" s="44" t="s">
        <v>4643</v>
      </c>
      <c r="F102" s="44" t="s">
        <v>61</v>
      </c>
      <c r="G102" s="44" t="s">
        <v>3826</v>
      </c>
      <c r="H102" t="s">
        <v>4318</v>
      </c>
      <c r="L102" t="s">
        <v>3999</v>
      </c>
      <c r="M102" t="s">
        <v>4037</v>
      </c>
      <c r="N102" t="s">
        <v>4298</v>
      </c>
      <c r="O102" t="s">
        <v>4000</v>
      </c>
      <c r="P102" s="44" t="s">
        <v>4644</v>
      </c>
      <c r="Q102" s="44" t="s">
        <v>4037</v>
      </c>
      <c r="R102" t="s">
        <v>3833</v>
      </c>
      <c r="S102" t="s">
        <v>4306</v>
      </c>
      <c r="T102" s="63">
        <v>44238</v>
      </c>
    </row>
    <row r="103" spans="1:20" x14ac:dyDescent="0.25">
      <c r="A103" t="s">
        <v>3994</v>
      </c>
      <c r="B103" t="s">
        <v>4296</v>
      </c>
      <c r="C103" t="s">
        <v>4297</v>
      </c>
      <c r="D103" t="s">
        <v>3997</v>
      </c>
      <c r="E103" s="44" t="s">
        <v>4645</v>
      </c>
      <c r="F103" s="44" t="s">
        <v>61</v>
      </c>
      <c r="G103" s="44" t="s">
        <v>3826</v>
      </c>
      <c r="H103" t="s">
        <v>4318</v>
      </c>
      <c r="L103" t="s">
        <v>3999</v>
      </c>
      <c r="M103" t="s">
        <v>4036</v>
      </c>
      <c r="N103" t="s">
        <v>4299</v>
      </c>
      <c r="O103" t="s">
        <v>4000</v>
      </c>
      <c r="P103" s="44" t="s">
        <v>4646</v>
      </c>
      <c r="Q103" s="44" t="s">
        <v>4037</v>
      </c>
      <c r="R103" t="s">
        <v>3833</v>
      </c>
      <c r="S103" t="s">
        <v>4366</v>
      </c>
    </row>
    <row r="104" spans="1:20" x14ac:dyDescent="0.25">
      <c r="A104" t="s">
        <v>3994</v>
      </c>
      <c r="B104" t="s">
        <v>4139</v>
      </c>
      <c r="C104" t="s">
        <v>4140</v>
      </c>
      <c r="D104" t="s">
        <v>3997</v>
      </c>
      <c r="E104" s="44" t="s">
        <v>4560</v>
      </c>
      <c r="F104" s="44" t="s">
        <v>61</v>
      </c>
      <c r="G104" s="44" t="s">
        <v>3826</v>
      </c>
      <c r="H104" t="s">
        <v>4647</v>
      </c>
      <c r="L104" t="s">
        <v>4165</v>
      </c>
      <c r="M104" t="s">
        <v>4054</v>
      </c>
      <c r="N104" t="s">
        <v>4300</v>
      </c>
      <c r="O104" t="s">
        <v>4000</v>
      </c>
      <c r="P104" s="44" t="s">
        <v>4648</v>
      </c>
      <c r="Q104" s="44" t="s">
        <v>4038</v>
      </c>
      <c r="R104" t="s">
        <v>3831</v>
      </c>
      <c r="S104" t="s">
        <v>4302</v>
      </c>
    </row>
    <row r="105" spans="1:20" x14ac:dyDescent="0.25">
      <c r="A105" t="s">
        <v>3994</v>
      </c>
      <c r="B105" t="s">
        <v>4070</v>
      </c>
      <c r="C105">
        <v>0</v>
      </c>
      <c r="D105" t="s">
        <v>3997</v>
      </c>
      <c r="E105" s="44" t="s">
        <v>4649</v>
      </c>
      <c r="F105" s="44" t="s">
        <v>61</v>
      </c>
      <c r="G105" s="44" t="s">
        <v>3826</v>
      </c>
      <c r="H105" t="s">
        <v>4650</v>
      </c>
      <c r="L105" t="s">
        <v>4210</v>
      </c>
      <c r="M105" t="s">
        <v>4054</v>
      </c>
      <c r="O105" t="s">
        <v>4000</v>
      </c>
      <c r="P105" s="44" t="s">
        <v>4651</v>
      </c>
      <c r="Q105" s="44" t="s">
        <v>4038</v>
      </c>
      <c r="R105" t="s">
        <v>3831</v>
      </c>
      <c r="S105" t="s">
        <v>4302</v>
      </c>
    </row>
    <row r="106" spans="1:20" x14ac:dyDescent="0.25">
      <c r="A106" t="s">
        <v>3994</v>
      </c>
      <c r="B106" t="s">
        <v>4067</v>
      </c>
      <c r="D106" t="s">
        <v>3997</v>
      </c>
      <c r="E106" s="44" t="s">
        <v>4652</v>
      </c>
      <c r="F106" s="44" t="s">
        <v>61</v>
      </c>
      <c r="G106" s="44" t="s">
        <v>3826</v>
      </c>
      <c r="H106" t="s">
        <v>4324</v>
      </c>
      <c r="L106" s="44" t="s">
        <v>4093</v>
      </c>
      <c r="M106" s="44" t="s">
        <v>4094</v>
      </c>
      <c r="N106" s="44" t="s">
        <v>4157</v>
      </c>
      <c r="O106" s="44" t="s">
        <v>4000</v>
      </c>
      <c r="P106" s="44" t="s">
        <v>4653</v>
      </c>
      <c r="Q106" s="44" t="s">
        <v>3949</v>
      </c>
      <c r="R106" s="44" t="s">
        <v>3950</v>
      </c>
      <c r="S106" t="s">
        <v>4654</v>
      </c>
    </row>
    <row r="107" spans="1:20" x14ac:dyDescent="0.25">
      <c r="A107" t="s">
        <v>3994</v>
      </c>
      <c r="B107" t="s">
        <v>4128</v>
      </c>
      <c r="C107" t="s">
        <v>4243</v>
      </c>
      <c r="D107" t="s">
        <v>3997</v>
      </c>
      <c r="E107" s="44" t="s">
        <v>4655</v>
      </c>
      <c r="F107" s="44" t="s">
        <v>4042</v>
      </c>
      <c r="G107" s="44" t="s">
        <v>3827</v>
      </c>
      <c r="H107" t="s">
        <v>4321</v>
      </c>
    </row>
    <row r="108" spans="1:20" x14ac:dyDescent="0.25">
      <c r="A108" t="s">
        <v>3994</v>
      </c>
      <c r="B108" t="s">
        <v>4069</v>
      </c>
      <c r="D108" t="s">
        <v>3997</v>
      </c>
      <c r="E108" s="44" t="s">
        <v>4656</v>
      </c>
      <c r="F108" s="44" t="s">
        <v>4042</v>
      </c>
      <c r="G108" s="44" t="s">
        <v>3827</v>
      </c>
      <c r="H108" t="s">
        <v>4657</v>
      </c>
    </row>
    <row r="109" spans="1:20" x14ac:dyDescent="0.25">
      <c r="A109" t="s">
        <v>4147</v>
      </c>
      <c r="B109" t="s">
        <v>4122</v>
      </c>
      <c r="D109" t="s">
        <v>3997</v>
      </c>
      <c r="E109" s="44" t="s">
        <v>4658</v>
      </c>
      <c r="F109" s="44" t="s">
        <v>4042</v>
      </c>
      <c r="G109" s="44" t="s">
        <v>3827</v>
      </c>
      <c r="H109" t="s">
        <v>4626</v>
      </c>
    </row>
    <row r="110" spans="1:20" x14ac:dyDescent="0.25">
      <c r="A110" t="s">
        <v>3994</v>
      </c>
      <c r="B110" t="s">
        <v>4133</v>
      </c>
      <c r="C110" t="s">
        <v>4301</v>
      </c>
      <c r="D110" t="s">
        <v>3997</v>
      </c>
      <c r="E110" s="44" t="s">
        <v>4659</v>
      </c>
      <c r="F110" s="44" t="s">
        <v>3974</v>
      </c>
      <c r="G110" s="44" t="s">
        <v>3975</v>
      </c>
      <c r="H110" t="s">
        <v>4372</v>
      </c>
    </row>
    <row r="111" spans="1:20" x14ac:dyDescent="0.25">
      <c r="A111" t="s">
        <v>3994</v>
      </c>
      <c r="B111" t="s">
        <v>4133</v>
      </c>
      <c r="D111" t="s">
        <v>3997</v>
      </c>
      <c r="E111" s="44" t="s">
        <v>4660</v>
      </c>
      <c r="F111" s="44" t="s">
        <v>3974</v>
      </c>
      <c r="G111" s="44" t="s">
        <v>3975</v>
      </c>
      <c r="H111" t="s">
        <v>4385</v>
      </c>
    </row>
    <row r="112" spans="1:20" x14ac:dyDescent="0.25">
      <c r="H112" t="s">
        <v>4385</v>
      </c>
    </row>
    <row r="125" spans="12:18" x14ac:dyDescent="0.25">
      <c r="L125" s="44"/>
      <c r="M125" s="44"/>
      <c r="N125" s="44"/>
      <c r="O125" s="44"/>
      <c r="P125" s="44"/>
      <c r="Q125" s="44"/>
      <c r="R125" s="44"/>
    </row>
    <row r="126" spans="12:18" x14ac:dyDescent="0.25">
      <c r="L126" s="44"/>
      <c r="M126" s="44"/>
      <c r="N126" s="44"/>
      <c r="O126" s="44"/>
      <c r="P126" s="44"/>
      <c r="Q126" s="44"/>
      <c r="R126" s="44"/>
    </row>
    <row r="127" spans="12:18" x14ac:dyDescent="0.25">
      <c r="L127" s="44"/>
      <c r="M127" s="44"/>
      <c r="N127" s="44"/>
      <c r="O127" s="44"/>
      <c r="P127" s="44"/>
      <c r="Q127" s="44"/>
      <c r="R127" s="44"/>
    </row>
    <row r="128" spans="12:18" x14ac:dyDescent="0.25">
      <c r="L128" s="44"/>
      <c r="M128" s="44"/>
      <c r="N128" s="44"/>
      <c r="O128" s="44"/>
      <c r="P128" s="44"/>
      <c r="Q128" s="44"/>
      <c r="R128" s="44"/>
    </row>
    <row r="129" spans="12:18" x14ac:dyDescent="0.25">
      <c r="L129" s="44"/>
      <c r="M129" s="44"/>
      <c r="N129" s="44"/>
      <c r="O129" s="44"/>
      <c r="P129" s="44"/>
      <c r="Q129" s="44"/>
      <c r="R129" s="44"/>
    </row>
    <row r="130" spans="12:18" x14ac:dyDescent="0.25">
      <c r="L130" s="44"/>
      <c r="M130" s="44"/>
      <c r="N130" s="44"/>
      <c r="O130" s="44"/>
      <c r="P130" s="44"/>
      <c r="Q130" s="44"/>
      <c r="R130" s="44"/>
    </row>
    <row r="131" spans="12:18" x14ac:dyDescent="0.25">
      <c r="L131" s="44"/>
      <c r="M131" s="44"/>
      <c r="N131" s="44"/>
      <c r="O131" s="44"/>
      <c r="P131" s="44"/>
      <c r="Q131" s="44"/>
      <c r="R131" s="44"/>
    </row>
    <row r="132" spans="12:18" x14ac:dyDescent="0.25">
      <c r="L132" s="44"/>
      <c r="M132" s="44"/>
      <c r="N132" s="44"/>
      <c r="O132" s="44"/>
      <c r="P132" s="44"/>
      <c r="Q132" s="44"/>
      <c r="R132" s="44"/>
    </row>
    <row r="133" spans="12:18" x14ac:dyDescent="0.25">
      <c r="L133" s="44"/>
      <c r="M133" s="44"/>
      <c r="N133" s="44"/>
      <c r="O133" s="44"/>
      <c r="P133" s="44"/>
      <c r="Q133" s="44"/>
      <c r="R133" s="44"/>
    </row>
    <row r="134" spans="12:18" x14ac:dyDescent="0.25">
      <c r="L134" s="44"/>
      <c r="M134" s="44"/>
      <c r="N134" s="44"/>
      <c r="O134" s="44"/>
      <c r="P134" s="44"/>
      <c r="Q134" s="44"/>
      <c r="R134" s="44"/>
    </row>
    <row r="135" spans="12:18" x14ac:dyDescent="0.25">
      <c r="L135" s="44"/>
      <c r="M135" s="44"/>
      <c r="N135" s="44"/>
      <c r="O135" s="44"/>
      <c r="P135" s="44"/>
      <c r="Q135" s="44"/>
      <c r="R135" s="44"/>
    </row>
    <row r="136" spans="12:18" x14ac:dyDescent="0.25">
      <c r="L136" s="44"/>
      <c r="M136" s="44"/>
      <c r="N136" s="44"/>
      <c r="O136" s="44"/>
      <c r="P136" s="44"/>
      <c r="Q136" s="44"/>
      <c r="R136" s="44"/>
    </row>
    <row r="137" spans="12:18" x14ac:dyDescent="0.25">
      <c r="L137" s="44"/>
      <c r="M137" s="44"/>
      <c r="N137" s="44"/>
      <c r="O137" s="44"/>
      <c r="P137" s="44"/>
      <c r="Q137" s="44"/>
      <c r="R137" s="44"/>
    </row>
    <row r="138" spans="12:18" x14ac:dyDescent="0.25">
      <c r="L138" s="44"/>
      <c r="M138" s="44"/>
      <c r="N138" s="44"/>
      <c r="O138" s="44"/>
      <c r="P138" s="44"/>
      <c r="Q138" s="44"/>
      <c r="R138" s="44"/>
    </row>
    <row r="139" spans="12:18" x14ac:dyDescent="0.25">
      <c r="L139" s="44"/>
      <c r="M139" s="44"/>
      <c r="N139" s="44"/>
      <c r="O139" s="44"/>
      <c r="P139" s="44"/>
      <c r="Q139" s="44"/>
      <c r="R139" s="44"/>
    </row>
    <row r="140" spans="12:18" x14ac:dyDescent="0.25">
      <c r="L140" s="44"/>
      <c r="M140" s="44"/>
      <c r="N140" s="44"/>
      <c r="O140" s="44"/>
      <c r="P140" s="44"/>
      <c r="Q140" s="44"/>
      <c r="R140" s="44"/>
    </row>
    <row r="141" spans="12:18" x14ac:dyDescent="0.25">
      <c r="L141" s="44"/>
      <c r="M141" s="44"/>
      <c r="N141" s="44"/>
      <c r="O141" s="44"/>
      <c r="P141" s="44"/>
      <c r="Q141" s="44"/>
      <c r="R141" s="44"/>
    </row>
    <row r="142" spans="12:18" x14ac:dyDescent="0.25">
      <c r="L142" s="44"/>
      <c r="M142" s="44"/>
      <c r="N142" s="44"/>
      <c r="O142" s="44"/>
      <c r="P142" s="44"/>
      <c r="Q142" s="44"/>
      <c r="R142" s="44"/>
    </row>
    <row r="143" spans="12:18" x14ac:dyDescent="0.25">
      <c r="L143" s="44"/>
      <c r="M143" s="44"/>
      <c r="N143" s="44"/>
      <c r="O143" s="44"/>
      <c r="P143" s="44"/>
      <c r="Q143" s="44"/>
      <c r="R143" s="44"/>
    </row>
    <row r="144" spans="12:18" x14ac:dyDescent="0.25">
      <c r="L144" s="44"/>
      <c r="M144" s="44"/>
      <c r="N144" s="44"/>
      <c r="O144" s="44"/>
      <c r="P144" s="44"/>
      <c r="Q144" s="44"/>
      <c r="R144" s="44"/>
    </row>
    <row r="145" spans="12:18" x14ac:dyDescent="0.25">
      <c r="L145" s="44"/>
      <c r="M145" s="44"/>
      <c r="N145" s="44"/>
      <c r="O145" s="44"/>
      <c r="P145" s="44"/>
      <c r="Q145" s="44"/>
      <c r="R145" s="44"/>
    </row>
    <row r="146" spans="12:18" x14ac:dyDescent="0.25">
      <c r="L146" s="44"/>
      <c r="M146" s="44"/>
      <c r="N146" s="44"/>
      <c r="O146" s="44"/>
      <c r="P146" s="44"/>
      <c r="Q146" s="44"/>
      <c r="R146" s="44"/>
    </row>
    <row r="147" spans="12:18" x14ac:dyDescent="0.25">
      <c r="L147" s="44"/>
      <c r="M147" s="44"/>
      <c r="N147" s="44"/>
      <c r="O147" s="44"/>
      <c r="P147" s="44"/>
      <c r="Q147" s="44"/>
      <c r="R147" s="44"/>
    </row>
    <row r="148" spans="12:18" x14ac:dyDescent="0.25">
      <c r="L148" s="44"/>
      <c r="M148" s="44"/>
      <c r="N148" s="44"/>
      <c r="O148" s="44"/>
      <c r="P148" s="44"/>
      <c r="Q148" s="44"/>
      <c r="R148" s="44"/>
    </row>
    <row r="149" spans="12:18" x14ac:dyDescent="0.25">
      <c r="L149" s="44"/>
      <c r="M149" s="44"/>
      <c r="N149" s="44"/>
      <c r="O149" s="44"/>
      <c r="P149" s="44"/>
      <c r="Q149" s="44"/>
      <c r="R149" s="44"/>
    </row>
    <row r="150" spans="12:18" x14ac:dyDescent="0.25">
      <c r="L150" s="44"/>
      <c r="M150" s="44"/>
      <c r="N150" s="44"/>
      <c r="O150" s="44"/>
      <c r="P150" s="44"/>
      <c r="Q150" s="44"/>
      <c r="R150" s="44"/>
    </row>
    <row r="151" spans="12:18" x14ac:dyDescent="0.25">
      <c r="L151" s="44"/>
      <c r="M151" s="44"/>
      <c r="N151" s="44"/>
      <c r="O151" s="44"/>
      <c r="P151" s="44"/>
      <c r="Q151" s="44"/>
      <c r="R151" s="44"/>
    </row>
    <row r="152" spans="12:18" x14ac:dyDescent="0.25">
      <c r="L152" s="44"/>
      <c r="M152" s="44"/>
      <c r="N152" s="44"/>
      <c r="O152" s="44"/>
      <c r="P152" s="44"/>
      <c r="Q152" s="44"/>
      <c r="R152" s="44"/>
    </row>
    <row r="153" spans="12:18" x14ac:dyDescent="0.25">
      <c r="L153" s="44"/>
      <c r="M153" s="44"/>
      <c r="N153" s="44"/>
      <c r="O153" s="44"/>
      <c r="P153" s="44"/>
      <c r="Q153" s="44"/>
      <c r="R153" s="44"/>
    </row>
    <row r="154" spans="12:18" x14ac:dyDescent="0.25">
      <c r="L154" s="44"/>
      <c r="M154" s="44"/>
      <c r="N154" s="44"/>
      <c r="O154" s="44"/>
      <c r="P154" s="44"/>
      <c r="Q154" s="44"/>
      <c r="R154" s="44"/>
    </row>
    <row r="155" spans="12:18" x14ac:dyDescent="0.25">
      <c r="L155" s="44"/>
      <c r="M155" s="44"/>
      <c r="N155" s="44"/>
      <c r="O155" s="44"/>
      <c r="P155" s="44"/>
      <c r="Q155" s="44"/>
      <c r="R155" s="44"/>
    </row>
    <row r="156" spans="12:18" x14ac:dyDescent="0.25">
      <c r="L156" s="44"/>
      <c r="M156" s="44"/>
      <c r="N156" s="44"/>
      <c r="O156" s="44"/>
      <c r="P156" s="44"/>
      <c r="Q156" s="44"/>
      <c r="R156" s="44"/>
    </row>
    <row r="157" spans="12:18" x14ac:dyDescent="0.25">
      <c r="L157" s="44"/>
      <c r="M157" s="44"/>
      <c r="N157" s="44"/>
      <c r="O157" s="44"/>
      <c r="P157" s="44"/>
      <c r="Q157" s="44"/>
      <c r="R157" s="44"/>
    </row>
    <row r="158" spans="12:18" x14ac:dyDescent="0.25">
      <c r="L158" s="44"/>
      <c r="M158" s="44"/>
      <c r="N158" s="44"/>
      <c r="O158" s="44"/>
      <c r="P158" s="44"/>
      <c r="Q158" s="44"/>
      <c r="R158" s="44"/>
    </row>
    <row r="159" spans="12:18" x14ac:dyDescent="0.25">
      <c r="L159" s="44"/>
      <c r="M159" s="44"/>
      <c r="N159" s="44"/>
      <c r="O159" s="44"/>
      <c r="P159" s="44"/>
      <c r="Q159" s="44"/>
      <c r="R159" s="44"/>
    </row>
    <row r="160" spans="12:18" x14ac:dyDescent="0.25">
      <c r="L160" s="44"/>
      <c r="M160" s="44"/>
      <c r="N160" s="44"/>
      <c r="O160" s="44"/>
      <c r="P160" s="44"/>
      <c r="Q160" s="44"/>
      <c r="R160" s="44"/>
    </row>
    <row r="161" spans="12:18" x14ac:dyDescent="0.25">
      <c r="L161" s="44"/>
      <c r="M161" s="44"/>
      <c r="N161" s="44"/>
      <c r="O161" s="44"/>
      <c r="P161" s="44"/>
      <c r="Q161" s="44"/>
      <c r="R161" s="44"/>
    </row>
    <row r="162" spans="12:18" x14ac:dyDescent="0.25">
      <c r="L162" s="44"/>
      <c r="M162" s="44"/>
      <c r="N162" s="44"/>
      <c r="O162" s="44"/>
      <c r="P162" s="44"/>
      <c r="Q162" s="44"/>
      <c r="R162" s="44"/>
    </row>
    <row r="163" spans="12:18" x14ac:dyDescent="0.25">
      <c r="L163" s="44"/>
      <c r="M163" s="44"/>
      <c r="N163" s="44"/>
      <c r="O163" s="44"/>
      <c r="P163" s="44"/>
      <c r="Q163" s="44"/>
      <c r="R163" s="44"/>
    </row>
    <row r="164" spans="12:18" x14ac:dyDescent="0.25">
      <c r="L164" s="44"/>
      <c r="M164" s="44"/>
      <c r="N164" s="44"/>
      <c r="O164" s="44"/>
      <c r="P164" s="44"/>
      <c r="Q164" s="44"/>
      <c r="R164" s="44"/>
    </row>
    <row r="165" spans="12:18" x14ac:dyDescent="0.25">
      <c r="L165" s="44"/>
      <c r="M165" s="44"/>
      <c r="N165" s="44"/>
      <c r="O165" s="44"/>
      <c r="P165" s="44"/>
      <c r="Q165" s="44"/>
      <c r="R165" s="44"/>
    </row>
    <row r="166" spans="12:18" x14ac:dyDescent="0.25">
      <c r="L166" s="44"/>
      <c r="M166" s="44"/>
      <c r="N166" s="44"/>
      <c r="O166" s="44"/>
      <c r="P166" s="44"/>
      <c r="Q166" s="44"/>
      <c r="R166" s="44"/>
    </row>
    <row r="167" spans="12:18" x14ac:dyDescent="0.25">
      <c r="L167" s="44"/>
      <c r="M167" s="44"/>
      <c r="N167" s="44"/>
      <c r="O167" s="44"/>
      <c r="P167" s="44"/>
      <c r="Q167" s="44"/>
      <c r="R167" s="44"/>
    </row>
    <row r="168" spans="12:18" x14ac:dyDescent="0.25">
      <c r="Q168" s="44"/>
    </row>
    <row r="169" spans="12:18" x14ac:dyDescent="0.25">
      <c r="Q169" s="44"/>
    </row>
    <row r="170" spans="12:18" x14ac:dyDescent="0.25">
      <c r="Q170" s="44"/>
    </row>
    <row r="171" spans="12:18" x14ac:dyDescent="0.25">
      <c r="Q171" s="44"/>
    </row>
    <row r="172" spans="12:18" x14ac:dyDescent="0.25">
      <c r="Q172" s="44"/>
    </row>
    <row r="173" spans="12:18" x14ac:dyDescent="0.25">
      <c r="Q173" s="44"/>
    </row>
    <row r="174" spans="12:18" x14ac:dyDescent="0.25">
      <c r="Q174" s="44"/>
    </row>
    <row r="175" spans="12:18" x14ac:dyDescent="0.25">
      <c r="Q175" s="44"/>
    </row>
    <row r="176" spans="12:18" x14ac:dyDescent="0.25">
      <c r="Q176" s="44"/>
    </row>
    <row r="177" spans="17:17" x14ac:dyDescent="0.25">
      <c r="Q177" s="44"/>
    </row>
    <row r="178" spans="17:17" x14ac:dyDescent="0.25">
      <c r="Q178" s="44"/>
    </row>
    <row r="179" spans="17:17" x14ac:dyDescent="0.25">
      <c r="Q179" s="44"/>
    </row>
    <row r="180" spans="17:17" x14ac:dyDescent="0.25">
      <c r="Q180" s="44"/>
    </row>
    <row r="181" spans="17:17" x14ac:dyDescent="0.25">
      <c r="Q181" s="44"/>
    </row>
    <row r="182" spans="17:17" x14ac:dyDescent="0.25">
      <c r="Q182" s="44"/>
    </row>
    <row r="183" spans="17:17" x14ac:dyDescent="0.25">
      <c r="Q183" s="44"/>
    </row>
    <row r="184" spans="17:17" x14ac:dyDescent="0.25">
      <c r="Q184" s="44"/>
    </row>
    <row r="185" spans="17:17" x14ac:dyDescent="0.25">
      <c r="Q185" s="44"/>
    </row>
    <row r="186" spans="17:17" x14ac:dyDescent="0.25">
      <c r="Q186" s="44"/>
    </row>
    <row r="187" spans="17:17" x14ac:dyDescent="0.25">
      <c r="Q187" s="44"/>
    </row>
    <row r="188" spans="17:17" x14ac:dyDescent="0.25">
      <c r="Q188" s="44"/>
    </row>
    <row r="1048576" spans="17:17" x14ac:dyDescent="0.25">
      <c r="Q1048576" s="44"/>
    </row>
  </sheetData>
  <conditionalFormatting sqref="P106">
    <cfRule type="duplicateValues" dxfId="15" priority="13"/>
  </conditionalFormatting>
  <conditionalFormatting sqref="Q106">
    <cfRule type="duplicateValues" dxfId="14" priority="12"/>
  </conditionalFormatting>
  <conditionalFormatting sqref="Z3">
    <cfRule type="duplicateValues" dxfId="13" priority="11"/>
  </conditionalFormatting>
  <conditionalFormatting sqref="AJ3:AJ40 AJ42:AJ54">
    <cfRule type="duplicateValues" dxfId="12" priority="10"/>
  </conditionalFormatting>
  <conditionalFormatting sqref="P1 P125:P1048576 P4:P106">
    <cfRule type="duplicateValues" dxfId="11" priority="9"/>
  </conditionalFormatting>
  <conditionalFormatting sqref="E7:E111">
    <cfRule type="duplicateValues" dxfId="10" priority="8"/>
  </conditionalFormatting>
  <conditionalFormatting sqref="Z4:Z33">
    <cfRule type="duplicateValues" dxfId="9" priority="6"/>
  </conditionalFormatting>
  <conditionalFormatting sqref="Z34:Z45 Z47:Z55">
    <cfRule type="duplicateValues" dxfId="8" priority="14"/>
  </conditionalFormatting>
  <conditionalFormatting sqref="Z78:Z1048576 Z1:Z45 Z47:Z55">
    <cfRule type="duplicateValues" dxfId="7" priority="15"/>
  </conditionalFormatting>
  <conditionalFormatting sqref="Z46">
    <cfRule type="duplicateValues" dxfId="6" priority="4"/>
  </conditionalFormatting>
  <conditionalFormatting sqref="Z46">
    <cfRule type="duplicateValues" dxfId="5" priority="5"/>
  </conditionalFormatting>
  <conditionalFormatting sqref="Z58:Z1048576 Z1:Z55">
    <cfRule type="duplicateValues" dxfId="4" priority="16"/>
  </conditionalFormatting>
  <conditionalFormatting sqref="Z1:Z1048576">
    <cfRule type="duplicateValues" dxfId="3" priority="3"/>
  </conditionalFormatting>
  <conditionalFormatting sqref="E3:E6">
    <cfRule type="duplicateValues" dxfId="2" priority="17"/>
  </conditionalFormatting>
  <conditionalFormatting sqref="P3">
    <cfRule type="duplicateValues" dxfId="1" priority="2"/>
  </conditionalFormatting>
  <conditionalFormatting sqref="AJ41">
    <cfRule type="duplicateValues" dxfId="0" priority="1"/>
  </conditionalFormatting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Gerador</vt:lpstr>
      <vt:lpstr>Validador da Macro</vt:lpstr>
      <vt:lpstr>Levantamento Realizado</vt:lpstr>
    </vt:vector>
  </TitlesOfParts>
  <Company>OI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PROFILE</dc:creator>
  <cp:lastModifiedBy>Bruno Augusto Bergamaschi Sousa</cp:lastModifiedBy>
  <dcterms:created xsi:type="dcterms:W3CDTF">2018-11-07T13:14:26Z</dcterms:created>
  <dcterms:modified xsi:type="dcterms:W3CDTF">2021-12-11T10:56:53Z</dcterms:modified>
</cp:coreProperties>
</file>