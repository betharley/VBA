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E:\11_NOVOS\01_PORTAL_EMPRESARIAL\"/>
    </mc:Choice>
  </mc:AlternateContent>
  <bookViews>
    <workbookView xWindow="18225" yWindow="0" windowWidth="28800" windowHeight="12435"/>
  </bookViews>
  <sheets>
    <sheet name="Plan1" sheetId="1" r:id="rId1"/>
    <sheet name="Plan2" sheetId="2" r:id="rId2"/>
  </sheets>
  <definedNames>
    <definedName name="_xlnm._FilterDatabase" localSheetId="0" hidden="1">Plan1!#REF!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D1" i="1" l="1"/>
  <c r="BE1" i="1"/>
  <c r="BF1" i="1"/>
  <c r="BG1" i="1" s="1"/>
  <c r="BH1" i="1" s="1"/>
  <c r="BI1" i="1" s="1"/>
  <c r="BJ1" i="1" s="1"/>
  <c r="BK1" i="1" s="1"/>
  <c r="BL1" i="1" s="1"/>
  <c r="BM1" i="1" s="1"/>
  <c r="BN1" i="1" s="1"/>
  <c r="BO1" i="1" s="1"/>
  <c r="BB5" i="1" l="1"/>
  <c r="BB6" i="1"/>
  <c r="BB7" i="1"/>
  <c r="BB8" i="1"/>
  <c r="BB1" i="1" l="1"/>
  <c r="BC1" i="1"/>
  <c r="AV7" i="1" l="1"/>
  <c r="AV6" i="1"/>
  <c r="AV5" i="1"/>
  <c r="AR2" i="1" l="1"/>
  <c r="B1" i="1" l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AX1" i="1" s="1"/>
  <c r="AY1" i="1" s="1"/>
  <c r="AZ1" i="1" s="1"/>
  <c r="BA1" i="1" s="1"/>
  <c r="Y12" i="1" l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11" i="1"/>
  <c r="Y10" i="1"/>
  <c r="Y9" i="1"/>
  <c r="Y8" i="1"/>
  <c r="Y7" i="1"/>
  <c r="Y6" i="1"/>
  <c r="Y5" i="1"/>
  <c r="AF5" i="1" l="1"/>
  <c r="AF4" i="1"/>
</calcChain>
</file>

<file path=xl/sharedStrings.xml><?xml version="1.0" encoding="utf-8"?>
<sst xmlns="http://schemas.openxmlformats.org/spreadsheetml/2006/main" count="604" uniqueCount="245">
  <si>
    <t>SLA</t>
  </si>
  <si>
    <t>Mailing</t>
  </si>
  <si>
    <t>LOCAIS DE REDE</t>
  </si>
  <si>
    <t>URL_EXTRACAO</t>
  </si>
  <si>
    <t>URL_DISTRIBUICAO</t>
  </si>
  <si>
    <t>URL_BACKUP</t>
  </si>
  <si>
    <t>\\naspc31\bo_oct$\23-Distribuição\BO OIT FIBRA\</t>
  </si>
  <si>
    <t>NÃO</t>
  </si>
  <si>
    <t>BASES DE EXTRAÇÃO</t>
  </si>
  <si>
    <t>BASE CADASTRO MOVEL</t>
  </si>
  <si>
    <t>STATUS_TRATAMENTO</t>
  </si>
  <si>
    <t>Coluna C</t>
  </si>
  <si>
    <t>BO CADASTRO MOVEL ALONE - Filtros da Fila</t>
  </si>
  <si>
    <t>REALIZAR CHECK LIST</t>
  </si>
  <si>
    <t>EM ANDAMENTO</t>
  </si>
  <si>
    <t>PENDENTE DE CONTATO</t>
  </si>
  <si>
    <t>RETORNO DE RECUSA</t>
  </si>
  <si>
    <t>BO CADASTRO MOVEL ALONE</t>
  </si>
  <si>
    <t>BASE CADASTRO FIBRA</t>
  </si>
  <si>
    <t>BO CADASTRO FIBRA ALONE - Filtros da Fila</t>
  </si>
  <si>
    <t>BO CADASTRO FIBRA ALONE</t>
  </si>
  <si>
    <t>BASE OIMAIS</t>
  </si>
  <si>
    <t>Retorno de Recusa</t>
  </si>
  <si>
    <t>Em andamento - CD</t>
  </si>
  <si>
    <t>Insucesso Automação</t>
  </si>
  <si>
    <t>Não iniciado - CD</t>
  </si>
  <si>
    <t>Em Interação - CD</t>
  </si>
  <si>
    <t>Em tratamento - CD</t>
  </si>
  <si>
    <t>Pendente Contato - CD</t>
  </si>
  <si>
    <t>Aguardando ativação</t>
  </si>
  <si>
    <t>Status - Coluna BD</t>
  </si>
  <si>
    <t>BO CADASTRO OI MAIS</t>
  </si>
  <si>
    <t>BO CADASTRO OI MAIS - Filtros da Fila</t>
  </si>
  <si>
    <t>EnderecoCobrancaBairro</t>
  </si>
  <si>
    <t>EnderecoCobrancaCep</t>
  </si>
  <si>
    <t>EnderecoCobrancaCidade</t>
  </si>
  <si>
    <t>EnderecoCobrancaComplemento</t>
  </si>
  <si>
    <t>EnderecoCobrancaLogradouro</t>
  </si>
  <si>
    <t>EnderecoCobrancaNumero</t>
  </si>
  <si>
    <t>EnderecoCobrancaUf</t>
  </si>
  <si>
    <t>AgendamentoPendenteContato</t>
  </si>
  <si>
    <t>Cidade</t>
  </si>
  <si>
    <t>Excluir Coluna Pelo Titulo</t>
  </si>
  <si>
    <t>Q</t>
  </si>
  <si>
    <t>R</t>
  </si>
  <si>
    <t>S</t>
  </si>
  <si>
    <t>T</t>
  </si>
  <si>
    <t>U</t>
  </si>
  <si>
    <t>V</t>
  </si>
  <si>
    <t>W</t>
  </si>
  <si>
    <t>X</t>
  </si>
  <si>
    <t>Y</t>
  </si>
  <si>
    <t>BO OI360 DUCUMENTACAO</t>
  </si>
  <si>
    <t>BO OI360 DUCUMENTACAO - Filtros da Fila</t>
  </si>
  <si>
    <t>CHAVE</t>
  </si>
  <si>
    <t>BASE_OI360</t>
  </si>
  <si>
    <t>Status - Coluna F</t>
  </si>
  <si>
    <t>Venda Nova</t>
  </si>
  <si>
    <t>Venda com Migração</t>
  </si>
  <si>
    <t>Coluna AV - IdTipoVenda</t>
  </si>
  <si>
    <t>Documentação Oi360</t>
  </si>
  <si>
    <t>BO OI360 CADASTRO</t>
  </si>
  <si>
    <t>8-9'</t>
  </si>
  <si>
    <t>Status - Coluna H</t>
  </si>
  <si>
    <t>IdFerramenta</t>
  </si>
  <si>
    <t>DaccEmailContaOnline</t>
  </si>
  <si>
    <t>StatusPedidoMobilidade</t>
  </si>
  <si>
    <t>CodigoDeRastreioDosCorreios</t>
  </si>
  <si>
    <t>NumeroNome</t>
  </si>
  <si>
    <t>Email</t>
  </si>
  <si>
    <t>ContaFaturaNova</t>
  </si>
  <si>
    <t>NumeroContaFaturaNova</t>
  </si>
  <si>
    <t>DataVencMovel</t>
  </si>
  <si>
    <t>EnderecoEntregaMovelBairro</t>
  </si>
  <si>
    <t>EnderecoEntregaMovelCep</t>
  </si>
  <si>
    <t>EnderecoEntregaMovelCidade</t>
  </si>
  <si>
    <t>EntregaMovelComplemento</t>
  </si>
  <si>
    <t>EntregaMovelLogradouro</t>
  </si>
  <si>
    <t>EntregaMovelNumero</t>
  </si>
  <si>
    <t>EntregaMovelUf</t>
  </si>
  <si>
    <t>ItemFixoPlano</t>
  </si>
  <si>
    <t>ItemFixoValor</t>
  </si>
  <si>
    <t>ItemTvContratoDeTvMigrado</t>
  </si>
  <si>
    <t>ItemTvPlanoDetalhado</t>
  </si>
  <si>
    <t>ItemTvPontoAdicionalValor</t>
  </si>
  <si>
    <t>ItemTvValor</t>
  </si>
  <si>
    <t>ItemBandaLargaValor</t>
  </si>
  <si>
    <t>ItemMovelAcesso</t>
  </si>
  <si>
    <t>ItemMovelChip</t>
  </si>
  <si>
    <t>ItemMovelDdd</t>
  </si>
  <si>
    <t>ItemMovelHlr</t>
  </si>
  <si>
    <t>ItemMovelIccid</t>
  </si>
  <si>
    <t>ItemMovelImei</t>
  </si>
  <si>
    <t>ItemMovelOperadora</t>
  </si>
  <si>
    <t>ItemMovelQuantidade</t>
  </si>
  <si>
    <t>ItemMovelTerminalMigrado</t>
  </si>
  <si>
    <t>ItemMovelTipo</t>
  </si>
  <si>
    <t>ItemMovelTitular</t>
  </si>
  <si>
    <t>ItemMovelValorDependente</t>
  </si>
  <si>
    <t>ItemMovelVoucher</t>
  </si>
  <si>
    <t>IdEmpresa</t>
  </si>
  <si>
    <t>DataAgendamentoInst</t>
  </si>
  <si>
    <t>PeriodoAgendamentoInst</t>
  </si>
  <si>
    <t>IdPedidoErp</t>
  </si>
  <si>
    <t>StatusErp</t>
  </si>
  <si>
    <t>DataStatusErp</t>
  </si>
  <si>
    <t>IdSolucao</t>
  </si>
  <si>
    <t>Id</t>
  </si>
  <si>
    <t>IdLinhaMovel</t>
  </si>
  <si>
    <t>NomeMaeResponsavelInstalacao</t>
  </si>
  <si>
    <t>DataNascimentoResponsavelInstalacao</t>
  </si>
  <si>
    <t>ReenvioChip</t>
  </si>
  <si>
    <t>SubMotivoReenvioChip</t>
  </si>
  <si>
    <t>IdStatus</t>
  </si>
  <si>
    <t>NaturezaDoadora</t>
  </si>
  <si>
    <t>DataEntrega</t>
  </si>
  <si>
    <t>MotivoDevolucao</t>
  </si>
  <si>
    <t>Transportadora</t>
  </si>
  <si>
    <t>L</t>
  </si>
  <si>
    <t>AL</t>
  </si>
  <si>
    <t>BH</t>
  </si>
  <si>
    <t>BI</t>
  </si>
  <si>
    <t>BJ</t>
  </si>
  <si>
    <t>BK</t>
  </si>
  <si>
    <t>BL</t>
  </si>
  <si>
    <t>BM</t>
  </si>
  <si>
    <t>BN</t>
  </si>
  <si>
    <t>BO</t>
  </si>
  <si>
    <t>BP</t>
  </si>
  <si>
    <t>BQ</t>
  </si>
  <si>
    <t>BR</t>
  </si>
  <si>
    <t>BS</t>
  </si>
  <si>
    <t>BT</t>
  </si>
  <si>
    <t>BU</t>
  </si>
  <si>
    <t>BY</t>
  </si>
  <si>
    <t>CA</t>
  </si>
  <si>
    <t>CB</t>
  </si>
  <si>
    <t>CE</t>
  </si>
  <si>
    <t>CG</t>
  </si>
  <si>
    <t>CH</t>
  </si>
  <si>
    <t>CM</t>
  </si>
  <si>
    <t>CN</t>
  </si>
  <si>
    <t>CO</t>
  </si>
  <si>
    <t>CP</t>
  </si>
  <si>
    <t>CQ</t>
  </si>
  <si>
    <t>CR</t>
  </si>
  <si>
    <t>CS</t>
  </si>
  <si>
    <t>CT</t>
  </si>
  <si>
    <t>CU</t>
  </si>
  <si>
    <t>CV</t>
  </si>
  <si>
    <t>CW</t>
  </si>
  <si>
    <t>CX</t>
  </si>
  <si>
    <t>CY</t>
  </si>
  <si>
    <t>CZ</t>
  </si>
  <si>
    <t>DK</t>
  </si>
  <si>
    <t>DR</t>
  </si>
  <si>
    <t>DS</t>
  </si>
  <si>
    <t>DT</t>
  </si>
  <si>
    <t>EH</t>
  </si>
  <si>
    <t>EI</t>
  </si>
  <si>
    <t>EJ</t>
  </si>
  <si>
    <t>ES</t>
  </si>
  <si>
    <t>ET</t>
  </si>
  <si>
    <t>EU</t>
  </si>
  <si>
    <t>EX</t>
  </si>
  <si>
    <t>EY</t>
  </si>
  <si>
    <t>FB</t>
  </si>
  <si>
    <t>FC</t>
  </si>
  <si>
    <t>FD</t>
  </si>
  <si>
    <t>FF</t>
  </si>
  <si>
    <t>FK</t>
  </si>
  <si>
    <t>FL</t>
  </si>
  <si>
    <t>FM</t>
  </si>
  <si>
    <t>BO CADASTRO OI TOTAL</t>
  </si>
  <si>
    <t>BASE_CADASTRO_OI_TOTAL</t>
  </si>
  <si>
    <t>Ferramenta</t>
  </si>
  <si>
    <t>Aguardando Retirada</t>
  </si>
  <si>
    <t>BO TRATAMENTO REVERSAO OI MAIS - AGUARDANDO RETIRADA</t>
  </si>
  <si>
    <t>BO TRATAMENTO REVERSAO OI MAIS - DEVOLVIDO</t>
  </si>
  <si>
    <t>Devolvidos</t>
  </si>
  <si>
    <t>Coluna AL</t>
  </si>
  <si>
    <t>BASE_RETIRADA</t>
  </si>
  <si>
    <t>Variáveis VBA</t>
  </si>
  <si>
    <t>BO CADASTRO OI TOTAL - Filtros da Fila</t>
  </si>
  <si>
    <t>DEVOLVIDO - Filtros da Fila</t>
  </si>
  <si>
    <t>AGUARDANDO RETIRADA - Filtros da Fila</t>
  </si>
  <si>
    <t>OI MAIS</t>
  </si>
  <si>
    <t>OI TOTAL</t>
  </si>
  <si>
    <t>MOVEL</t>
  </si>
  <si>
    <t>Sigla</t>
  </si>
  <si>
    <t xml:space="preserve">Região </t>
  </si>
  <si>
    <t>AC</t>
  </si>
  <si>
    <t>R2</t>
  </si>
  <si>
    <t>MG</t>
  </si>
  <si>
    <t>R1</t>
  </si>
  <si>
    <t>RJ</t>
  </si>
  <si>
    <t>AP</t>
  </si>
  <si>
    <t>SC</t>
  </si>
  <si>
    <t>AM</t>
  </si>
  <si>
    <t>BA</t>
  </si>
  <si>
    <t>DF</t>
  </si>
  <si>
    <t>MA</t>
  </si>
  <si>
    <t>GO</t>
  </si>
  <si>
    <t>PA</t>
  </si>
  <si>
    <t>PB</t>
  </si>
  <si>
    <t>MT</t>
  </si>
  <si>
    <t>PE</t>
  </si>
  <si>
    <t>MS</t>
  </si>
  <si>
    <t>PI</t>
  </si>
  <si>
    <t>RN</t>
  </si>
  <si>
    <t>RR</t>
  </si>
  <si>
    <t>PR</t>
  </si>
  <si>
    <t>SE</t>
  </si>
  <si>
    <t>RS</t>
  </si>
  <si>
    <t>RO</t>
  </si>
  <si>
    <t>SP</t>
  </si>
  <si>
    <t>R3</t>
  </si>
  <si>
    <t>TO</t>
  </si>
  <si>
    <t>5_BASE_MOVEL.xlsx</t>
  </si>
  <si>
    <t>6_BASE_FIBRA.xlsx</t>
  </si>
  <si>
    <t>7_BASE_OI_MAIS.xlsx</t>
  </si>
  <si>
    <t>8_9_BASE_OI360.xlsx</t>
  </si>
  <si>
    <t>SIGLA-Coluna UF</t>
  </si>
  <si>
    <t>Obrigatorio</t>
  </si>
  <si>
    <t>adicionar</t>
  </si>
  <si>
    <t>as filias</t>
  </si>
  <si>
    <t>INSUCESSO AUTOMACAO</t>
  </si>
  <si>
    <t>EM INTERACAO CD MOVEL</t>
  </si>
  <si>
    <t>30_31_BASE_PENDENCIA.xlsx</t>
  </si>
  <si>
    <t>10_BASE_OI_TOTAL.xlsx</t>
  </si>
  <si>
    <t>Coluna AI</t>
  </si>
  <si>
    <t>Coluna AM</t>
  </si>
  <si>
    <t>DescricaoTratamentoNivel1</t>
  </si>
  <si>
    <t>StatusPedidoOrigem</t>
  </si>
  <si>
    <t>Devolvido</t>
  </si>
  <si>
    <t>Extraviado</t>
  </si>
  <si>
    <t>Concatenado</t>
  </si>
  <si>
    <t>&lt;&gt;FINALIZADO</t>
  </si>
  <si>
    <t>StatusNovoPedido</t>
  </si>
  <si>
    <t>AÇÃO</t>
  </si>
  <si>
    <t>EM REVERSÃO</t>
  </si>
  <si>
    <t>Aguardando retirada</t>
  </si>
  <si>
    <t>IMPORTAR</t>
  </si>
  <si>
    <t>Entregue - Finalizado</t>
  </si>
  <si>
    <t>Habilitação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</si>
</sst>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9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1"/>
      <color rgb="FFFFFFFF"/>
      <name val="Arial"/>
      <family val="2"/>
    </font>
    <font>
      <sz val="11"/>
      <color rgb="FF404040"/>
      <name val="Arial"/>
      <family val="2"/>
    </font>
    <font>
      <b/>
      <sz val="9"/>
      <color rgb="FFFF0000"/>
      <name val="Calibri"/>
      <family val="2"/>
      <scheme val="minor"/>
    </font>
    <font>
      <sz val="9"/>
      <color rgb="FFFF000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3F6F9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6"/>
      </left>
      <right/>
      <top style="thin">
        <color theme="6"/>
      </top>
      <bottom style="thin">
        <color theme="6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thin">
        <color theme="6"/>
      </right>
      <top style="thin">
        <color theme="6"/>
      </top>
      <bottom style="thin">
        <color theme="6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6"/>
      </left>
      <right style="thin">
        <color theme="6"/>
      </right>
      <top/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1" fillId="0" borderId="1" xfId="0" applyFont="1" applyBorder="1" applyAlignment="1">
      <alignment horizontal="left" vertical="center"/>
    </xf>
    <xf numFmtId="0" fontId="4" fillId="0" borderId="2" xfId="0" applyFont="1" applyBorder="1"/>
    <xf numFmtId="0" fontId="5" fillId="2" borderId="0" xfId="0" applyFont="1" applyFill="1"/>
    <xf numFmtId="0" fontId="6" fillId="4" borderId="2" xfId="0" applyFont="1" applyFill="1" applyBorder="1"/>
    <xf numFmtId="0" fontId="1" fillId="0" borderId="2" xfId="0" applyFont="1" applyBorder="1"/>
    <xf numFmtId="0" fontId="7" fillId="3" borderId="0" xfId="0" applyFont="1" applyFill="1"/>
    <xf numFmtId="0" fontId="3" fillId="5" borderId="0" xfId="0" applyFont="1" applyFill="1" applyAlignment="1"/>
    <xf numFmtId="0" fontId="2" fillId="7" borderId="0" xfId="0" applyFont="1" applyFill="1"/>
    <xf numFmtId="0" fontId="5" fillId="6" borderId="0" xfId="0" applyFont="1" applyFill="1"/>
    <xf numFmtId="0" fontId="2" fillId="8" borderId="3" xfId="0" applyFont="1" applyFill="1" applyBorder="1" applyAlignment="1"/>
    <xf numFmtId="0" fontId="5" fillId="6" borderId="0" xfId="0" applyFont="1" applyFill="1" applyAlignment="1">
      <alignment horizontal="center"/>
    </xf>
    <xf numFmtId="0" fontId="8" fillId="9" borderId="0" xfId="0" applyFont="1" applyFill="1"/>
    <xf numFmtId="0" fontId="9" fillId="10" borderId="1" xfId="0" applyFont="1" applyFill="1" applyBorder="1" applyAlignment="1">
      <alignment horizontal="left" vertical="center"/>
    </xf>
    <xf numFmtId="0" fontId="1" fillId="0" borderId="4" xfId="0" applyFont="1" applyBorder="1" applyAlignment="1">
      <alignment horizontal="left" vertical="center"/>
    </xf>
    <xf numFmtId="0" fontId="5" fillId="6" borderId="5" xfId="0" applyFont="1" applyFill="1" applyBorder="1"/>
    <xf numFmtId="0" fontId="1" fillId="0" borderId="6" xfId="0" applyFont="1" applyBorder="1" applyAlignment="1">
      <alignment horizontal="left" vertical="center"/>
    </xf>
    <xf numFmtId="0" fontId="1" fillId="0" borderId="1" xfId="0" applyFont="1" applyBorder="1" applyAlignment="1">
      <alignment horizontal="center" vertical="center"/>
    </xf>
    <xf numFmtId="1" fontId="8" fillId="9" borderId="0" xfId="0" quotePrefix="1" applyNumberFormat="1" applyFont="1" applyFill="1"/>
    <xf numFmtId="0" fontId="8" fillId="9" borderId="0" xfId="0" quotePrefix="1" applyFont="1" applyFill="1"/>
    <xf numFmtId="0" fontId="10" fillId="11" borderId="8" xfId="0" applyFont="1" applyFill="1" applyBorder="1" applyAlignment="1">
      <alignment vertical="center" wrapText="1"/>
    </xf>
    <xf numFmtId="0" fontId="10" fillId="11" borderId="9" xfId="0" applyFont="1" applyFill="1" applyBorder="1" applyAlignment="1">
      <alignment vertical="center" wrapText="1"/>
    </xf>
    <xf numFmtId="0" fontId="11" fillId="12" borderId="10" xfId="0" applyFont="1" applyFill="1" applyBorder="1" applyAlignment="1">
      <alignment vertical="center" wrapText="1"/>
    </xf>
    <xf numFmtId="0" fontId="11" fillId="12" borderId="11" xfId="0" applyFont="1" applyFill="1" applyBorder="1" applyAlignment="1">
      <alignment vertical="center" wrapText="1"/>
    </xf>
    <xf numFmtId="0" fontId="5" fillId="13" borderId="0" xfId="0" applyFont="1" applyFill="1" applyAlignment="1">
      <alignment horizontal="center"/>
    </xf>
    <xf numFmtId="0" fontId="12" fillId="0" borderId="1" xfId="0" applyFont="1" applyBorder="1" applyAlignment="1">
      <alignment horizontal="center" vertical="center"/>
    </xf>
    <xf numFmtId="0" fontId="5" fillId="14" borderId="12" xfId="0" applyFont="1" applyFill="1" applyBorder="1" applyAlignment="1">
      <alignment horizontal="left" vertical="center"/>
    </xf>
    <xf numFmtId="0" fontId="4" fillId="0" borderId="2" xfId="0" applyFont="1" applyFill="1" applyBorder="1"/>
    <xf numFmtId="0" fontId="13" fillId="0" borderId="1" xfId="0" applyFont="1" applyBorder="1" applyAlignment="1">
      <alignment horizontal="left" vertical="center"/>
    </xf>
    <xf numFmtId="0" fontId="4" fillId="15" borderId="2" xfId="0" applyFont="1" applyFill="1" applyBorder="1"/>
    <xf numFmtId="0" fontId="1" fillId="0" borderId="0" xfId="0" applyFont="1" applyBorder="1" applyAlignment="1">
      <alignment horizontal="left" vertical="center"/>
    </xf>
    <xf numFmtId="0" fontId="0" fillId="0" borderId="7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5E7594"/>
      <color rgb="FF868686"/>
      <color rgb="FF2C3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24846</xdr:colOff>
      <xdr:row>11</xdr:row>
      <xdr:rowOff>165652</xdr:rowOff>
    </xdr:from>
    <xdr:to>
      <xdr:col>2</xdr:col>
      <xdr:colOff>455543</xdr:colOff>
      <xdr:row>14</xdr:row>
      <xdr:rowOff>99392</xdr:rowOff>
    </xdr:to>
    <xdr:sp macro="[0]!MOVEL_ALONE" textlink="">
      <xdr:nvSpPr>
        <xdr:cNvPr id="2" name="Retângulo de cantos arredondados 1"/>
        <xdr:cNvSpPr/>
      </xdr:nvSpPr>
      <xdr:spPr>
        <a:xfrm>
          <a:off x="637759" y="2277717"/>
          <a:ext cx="2037523" cy="505240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5 - Gerador</a:t>
          </a:r>
          <a:r>
            <a:rPr lang="pt-BR" sz="1100" baseline="0"/>
            <a:t> Movel</a:t>
          </a:r>
          <a:endParaRPr lang="pt-BR" sz="1100"/>
        </a:p>
      </xdr:txBody>
    </xdr:sp>
    <xdr:clientData/>
  </xdr:twoCellAnchor>
  <xdr:twoCellAnchor>
    <xdr:from>
      <xdr:col>1</xdr:col>
      <xdr:colOff>24846</xdr:colOff>
      <xdr:row>15</xdr:row>
      <xdr:rowOff>68746</xdr:rowOff>
    </xdr:from>
    <xdr:to>
      <xdr:col>2</xdr:col>
      <xdr:colOff>455543</xdr:colOff>
      <xdr:row>18</xdr:row>
      <xdr:rowOff>2486</xdr:rowOff>
    </xdr:to>
    <xdr:sp macro="[0]!FIBRA_ALONE" textlink="">
      <xdr:nvSpPr>
        <xdr:cNvPr id="12" name="Retângulo de cantos arredondados 11"/>
        <xdr:cNvSpPr/>
      </xdr:nvSpPr>
      <xdr:spPr>
        <a:xfrm>
          <a:off x="637759" y="2942811"/>
          <a:ext cx="2037523" cy="505240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6 - Gerador Fibra</a:t>
          </a:r>
        </a:p>
      </xdr:txBody>
    </xdr:sp>
    <xdr:clientData/>
  </xdr:twoCellAnchor>
  <xdr:twoCellAnchor>
    <xdr:from>
      <xdr:col>1</xdr:col>
      <xdr:colOff>24846</xdr:colOff>
      <xdr:row>18</xdr:row>
      <xdr:rowOff>162340</xdr:rowOff>
    </xdr:from>
    <xdr:to>
      <xdr:col>2</xdr:col>
      <xdr:colOff>455543</xdr:colOff>
      <xdr:row>21</xdr:row>
      <xdr:rowOff>96080</xdr:rowOff>
    </xdr:to>
    <xdr:sp macro="[0]!OI_MAIS" textlink="">
      <xdr:nvSpPr>
        <xdr:cNvPr id="13" name="Retângulo de cantos arredondados 12"/>
        <xdr:cNvSpPr/>
      </xdr:nvSpPr>
      <xdr:spPr>
        <a:xfrm>
          <a:off x="637759" y="3607905"/>
          <a:ext cx="2037523" cy="505240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7</a:t>
          </a:r>
          <a:r>
            <a:rPr lang="pt-BR" sz="1100" baseline="0"/>
            <a:t> - Gerador Oi Mais</a:t>
          </a:r>
          <a:endParaRPr lang="pt-BR" sz="1100"/>
        </a:p>
      </xdr:txBody>
    </xdr:sp>
    <xdr:clientData/>
  </xdr:twoCellAnchor>
  <xdr:twoCellAnchor>
    <xdr:from>
      <xdr:col>1</xdr:col>
      <xdr:colOff>24846</xdr:colOff>
      <xdr:row>22</xdr:row>
      <xdr:rowOff>65433</xdr:rowOff>
    </xdr:from>
    <xdr:to>
      <xdr:col>2</xdr:col>
      <xdr:colOff>455543</xdr:colOff>
      <xdr:row>24</xdr:row>
      <xdr:rowOff>189673</xdr:rowOff>
    </xdr:to>
    <xdr:sp macro="[0]!OI_360" textlink="">
      <xdr:nvSpPr>
        <xdr:cNvPr id="14" name="Retângulo de cantos arredondados 13"/>
        <xdr:cNvSpPr/>
      </xdr:nvSpPr>
      <xdr:spPr>
        <a:xfrm>
          <a:off x="637759" y="4272998"/>
          <a:ext cx="2037523" cy="505240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8/9 - Gerador Oi</a:t>
          </a:r>
          <a:r>
            <a:rPr lang="pt-BR" sz="1100" baseline="0"/>
            <a:t> 360</a:t>
          </a:r>
          <a:endParaRPr lang="pt-BR" sz="1100"/>
        </a:p>
      </xdr:txBody>
    </xdr:sp>
    <xdr:clientData/>
  </xdr:twoCellAnchor>
  <xdr:twoCellAnchor>
    <xdr:from>
      <xdr:col>1</xdr:col>
      <xdr:colOff>24846</xdr:colOff>
      <xdr:row>25</xdr:row>
      <xdr:rowOff>159026</xdr:rowOff>
    </xdr:from>
    <xdr:to>
      <xdr:col>2</xdr:col>
      <xdr:colOff>455543</xdr:colOff>
      <xdr:row>28</xdr:row>
      <xdr:rowOff>92766</xdr:rowOff>
    </xdr:to>
    <xdr:sp macro="[0]!CADASTRO_OI_TOTAL" textlink="">
      <xdr:nvSpPr>
        <xdr:cNvPr id="15" name="Retângulo de cantos arredondados 14"/>
        <xdr:cNvSpPr/>
      </xdr:nvSpPr>
      <xdr:spPr>
        <a:xfrm>
          <a:off x="637759" y="4938091"/>
          <a:ext cx="2037523" cy="505240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10 - Gerador Oi Total</a:t>
          </a:r>
        </a:p>
      </xdr:txBody>
    </xdr:sp>
    <xdr:clientData/>
  </xdr:twoCellAnchor>
  <xdr:twoCellAnchor>
    <xdr:from>
      <xdr:col>1</xdr:col>
      <xdr:colOff>24846</xdr:colOff>
      <xdr:row>29</xdr:row>
      <xdr:rowOff>62120</xdr:rowOff>
    </xdr:from>
    <xdr:to>
      <xdr:col>2</xdr:col>
      <xdr:colOff>455543</xdr:colOff>
      <xdr:row>31</xdr:row>
      <xdr:rowOff>186360</xdr:rowOff>
    </xdr:to>
    <xdr:sp macro="[0]!RETIRADA" textlink="">
      <xdr:nvSpPr>
        <xdr:cNvPr id="16" name="Retângulo de cantos arredondados 15"/>
        <xdr:cNvSpPr/>
      </xdr:nvSpPr>
      <xdr:spPr>
        <a:xfrm>
          <a:off x="637759" y="5603185"/>
          <a:ext cx="2037523" cy="505240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30/31- Gerador Base</a:t>
          </a:r>
          <a:r>
            <a:rPr lang="pt-BR" sz="1100" baseline="0"/>
            <a:t> de pendencia</a:t>
          </a:r>
        </a:p>
      </xdr:txBody>
    </xdr:sp>
    <xdr:clientData/>
  </xdr:twoCellAnchor>
  <xdr:twoCellAnchor>
    <xdr:from>
      <xdr:col>1</xdr:col>
      <xdr:colOff>0</xdr:colOff>
      <xdr:row>33</xdr:row>
      <xdr:rowOff>0</xdr:rowOff>
    </xdr:from>
    <xdr:to>
      <xdr:col>2</xdr:col>
      <xdr:colOff>430697</xdr:colOff>
      <xdr:row>35</xdr:row>
      <xdr:rowOff>124240</xdr:rowOff>
    </xdr:to>
    <xdr:sp macro="[0]!RETIRADA_2" textlink="">
      <xdr:nvSpPr>
        <xdr:cNvPr id="8" name="Retângulo de cantos arredondados 15"/>
        <xdr:cNvSpPr/>
      </xdr:nvSpPr>
      <xdr:spPr>
        <a:xfrm>
          <a:off x="606136" y="6303818"/>
          <a:ext cx="2041288" cy="505240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30 - Gerador Aguardando Retirada2 (aguardar 1min)</a:t>
          </a:r>
          <a:endParaRPr lang="pt-BR" sz="1100" baseline="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23-Distribui&#231;&#227;o/BO%20OIT%20FIBRA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BO66"/>
  <sheetViews>
    <sheetView showGridLines="0" tabSelected="1" zoomScale="110" zoomScaleNormal="110" workbookViewId="0"/>
  </sheetViews>
  <sheetFormatPr defaultRowHeight="15" x14ac:dyDescent="0.25"/>
  <cols>
    <col min="2" max="2" width="24.140625" customWidth="1"/>
    <col min="3" max="3" width="29.5703125" customWidth="1"/>
    <col min="4" max="4" width="4.85546875" customWidth="1"/>
    <col min="5" max="5" width="4.42578125" customWidth="1"/>
    <col min="6" max="6" width="21.140625" customWidth="1"/>
    <col min="7" max="7" width="27.7109375" customWidth="1"/>
    <col min="8" max="8" width="13" bestFit="1" customWidth="1"/>
    <col min="9" max="9" width="6.7109375" customWidth="1"/>
    <col min="10" max="10" width="4.5703125" customWidth="1"/>
    <col min="11" max="11" width="29.85546875" customWidth="1"/>
    <col min="12" max="12" width="22.7109375" bestFit="1" customWidth="1"/>
    <col min="13" max="13" width="7.28515625" customWidth="1"/>
    <col min="14" max="14" width="8.85546875" customWidth="1"/>
    <col min="15" max="15" width="4.42578125" customWidth="1"/>
    <col min="16" max="16" width="7.5703125" customWidth="1"/>
    <col min="17" max="17" width="26.7109375" bestFit="1" customWidth="1"/>
    <col min="18" max="18" width="20.85546875" customWidth="1"/>
    <col min="19" max="19" width="22.28515625" customWidth="1"/>
    <col min="20" max="20" width="13" bestFit="1" customWidth="1"/>
    <col min="21" max="21" width="8.7109375" customWidth="1"/>
    <col min="22" max="22" width="7.42578125" customWidth="1"/>
    <col min="23" max="23" width="25.42578125" customWidth="1"/>
    <col min="24" max="24" width="21.5703125" customWidth="1"/>
    <col min="25" max="25" width="39.85546875" customWidth="1"/>
    <col min="26" max="26" width="23.28515625" customWidth="1"/>
    <col min="27" max="27" width="13" bestFit="1" customWidth="1"/>
    <col min="28" max="28" width="9.28515625" bestFit="1" customWidth="1"/>
    <col min="31" max="31" width="18.28515625" bestFit="1" customWidth="1"/>
    <col min="32" max="32" width="62" customWidth="1"/>
    <col min="35" max="35" width="6.42578125" customWidth="1"/>
    <col min="36" max="36" width="6.7109375" customWidth="1"/>
    <col min="37" max="37" width="33" bestFit="1" customWidth="1"/>
    <col min="38" max="38" width="22.85546875" customWidth="1"/>
    <col min="39" max="39" width="21.42578125" customWidth="1"/>
    <col min="40" max="40" width="13" bestFit="1" customWidth="1"/>
    <col min="44" max="44" width="6" customWidth="1"/>
    <col min="45" max="45" width="41.42578125" bestFit="1" customWidth="1"/>
    <col min="46" max="47" width="17.85546875" bestFit="1" customWidth="1"/>
    <col min="48" max="48" width="35" bestFit="1" customWidth="1"/>
    <col min="49" max="49" width="49.7109375" bestFit="1" customWidth="1"/>
    <col min="51" max="51" width="21" bestFit="1" customWidth="1"/>
    <col min="52" max="52" width="9.42578125" bestFit="1" customWidth="1"/>
    <col min="53" max="53" width="17.85546875" bestFit="1" customWidth="1"/>
    <col min="54" max="54" width="36.5703125" bestFit="1" customWidth="1"/>
    <col min="55" max="55" width="8.85546875" bestFit="1" customWidth="1"/>
    <col min="56" max="56" width="3" bestFit="1" customWidth="1"/>
    <col min="64" max="64" width="6.42578125" customWidth="1"/>
    <col min="65" max="65" width="16.7109375" customWidth="1"/>
    <col min="66" max="66" width="49.7109375" bestFit="1" customWidth="1"/>
    <col min="67" max="68" width="9.140625" customWidth="1"/>
  </cols>
  <sheetData>
    <row r="1" spans="1:67" x14ac:dyDescent="0.25">
      <c r="A1">
        <v>1</v>
      </c>
      <c r="B1">
        <f>A1+1</f>
        <v>2</v>
      </c>
      <c r="C1">
        <f t="shared" ref="C1:AN1" si="0">B1+1</f>
        <v>3</v>
      </c>
      <c r="D1">
        <f t="shared" si="0"/>
        <v>4</v>
      </c>
      <c r="E1">
        <f t="shared" si="0"/>
        <v>5</v>
      </c>
      <c r="F1">
        <f t="shared" si="0"/>
        <v>6</v>
      </c>
      <c r="G1">
        <f t="shared" si="0"/>
        <v>7</v>
      </c>
      <c r="H1">
        <f t="shared" si="0"/>
        <v>8</v>
      </c>
      <c r="I1">
        <f t="shared" si="0"/>
        <v>9</v>
      </c>
      <c r="J1">
        <f t="shared" si="0"/>
        <v>10</v>
      </c>
      <c r="K1">
        <f t="shared" si="0"/>
        <v>11</v>
      </c>
      <c r="L1">
        <f t="shared" si="0"/>
        <v>12</v>
      </c>
      <c r="M1">
        <f t="shared" si="0"/>
        <v>13</v>
      </c>
      <c r="N1">
        <f t="shared" si="0"/>
        <v>14</v>
      </c>
      <c r="O1">
        <f t="shared" si="0"/>
        <v>15</v>
      </c>
      <c r="P1">
        <f t="shared" si="0"/>
        <v>16</v>
      </c>
      <c r="Q1">
        <f t="shared" si="0"/>
        <v>17</v>
      </c>
      <c r="R1">
        <f t="shared" si="0"/>
        <v>18</v>
      </c>
      <c r="S1">
        <f t="shared" si="0"/>
        <v>19</v>
      </c>
      <c r="T1">
        <f t="shared" si="0"/>
        <v>20</v>
      </c>
      <c r="U1">
        <f t="shared" si="0"/>
        <v>21</v>
      </c>
      <c r="V1">
        <f t="shared" si="0"/>
        <v>22</v>
      </c>
      <c r="W1">
        <f t="shared" si="0"/>
        <v>23</v>
      </c>
      <c r="X1">
        <f t="shared" si="0"/>
        <v>24</v>
      </c>
      <c r="Y1">
        <f t="shared" si="0"/>
        <v>25</v>
      </c>
      <c r="Z1">
        <f t="shared" si="0"/>
        <v>26</v>
      </c>
      <c r="AA1">
        <f t="shared" si="0"/>
        <v>27</v>
      </c>
      <c r="AB1">
        <f t="shared" si="0"/>
        <v>28</v>
      </c>
      <c r="AC1">
        <f t="shared" si="0"/>
        <v>29</v>
      </c>
      <c r="AD1">
        <f t="shared" si="0"/>
        <v>30</v>
      </c>
      <c r="AE1">
        <f t="shared" si="0"/>
        <v>31</v>
      </c>
      <c r="AF1">
        <f t="shared" si="0"/>
        <v>32</v>
      </c>
      <c r="AG1">
        <f t="shared" si="0"/>
        <v>33</v>
      </c>
      <c r="AH1">
        <f t="shared" si="0"/>
        <v>34</v>
      </c>
      <c r="AI1">
        <f t="shared" si="0"/>
        <v>35</v>
      </c>
      <c r="AJ1">
        <f t="shared" si="0"/>
        <v>36</v>
      </c>
      <c r="AK1">
        <f t="shared" si="0"/>
        <v>37</v>
      </c>
      <c r="AL1">
        <f t="shared" si="0"/>
        <v>38</v>
      </c>
      <c r="AM1">
        <f t="shared" si="0"/>
        <v>39</v>
      </c>
      <c r="AN1">
        <f t="shared" si="0"/>
        <v>40</v>
      </c>
      <c r="AO1">
        <f t="shared" ref="AO1" si="1">AN1+1</f>
        <v>41</v>
      </c>
      <c r="AP1">
        <f t="shared" ref="AP1" si="2">AO1+1</f>
        <v>42</v>
      </c>
      <c r="AQ1">
        <f t="shared" ref="AQ1" si="3">AP1+1</f>
        <v>43</v>
      </c>
      <c r="AR1">
        <f t="shared" ref="AR1" si="4">AQ1+1</f>
        <v>44</v>
      </c>
      <c r="AS1">
        <f t="shared" ref="AS1" si="5">AR1+1</f>
        <v>45</v>
      </c>
      <c r="AT1">
        <f t="shared" ref="AT1" si="6">AS1+1</f>
        <v>46</v>
      </c>
      <c r="AU1">
        <f t="shared" ref="AU1" si="7">AT1+1</f>
        <v>47</v>
      </c>
      <c r="AV1">
        <f t="shared" ref="AV1" si="8">AU1+1</f>
        <v>48</v>
      </c>
      <c r="AW1">
        <f t="shared" ref="AW1" si="9">AV1+1</f>
        <v>49</v>
      </c>
      <c r="AX1">
        <f t="shared" ref="AX1" si="10">AW1+1</f>
        <v>50</v>
      </c>
      <c r="AY1">
        <f t="shared" ref="AY1" si="11">AX1+1</f>
        <v>51</v>
      </c>
      <c r="AZ1">
        <f t="shared" ref="AZ1" si="12">AY1+1</f>
        <v>52</v>
      </c>
      <c r="BA1">
        <f t="shared" ref="BA1" si="13">AZ1+1</f>
        <v>53</v>
      </c>
      <c r="BB1">
        <f t="shared" ref="BB1" si="14">BA1+1</f>
        <v>54</v>
      </c>
      <c r="BC1">
        <f t="shared" ref="BC1" si="15">BB1+1</f>
        <v>55</v>
      </c>
      <c r="BD1">
        <f t="shared" ref="BD1" si="16">BC1+1</f>
        <v>56</v>
      </c>
      <c r="BE1">
        <f t="shared" ref="BE1" si="17">BD1+1</f>
        <v>57</v>
      </c>
      <c r="BF1">
        <f t="shared" ref="BF1" si="18">BE1+1</f>
        <v>58</v>
      </c>
      <c r="BG1">
        <f t="shared" ref="BG1" si="19">BF1+1</f>
        <v>59</v>
      </c>
      <c r="BH1">
        <f t="shared" ref="BH1" si="20">BG1+1</f>
        <v>60</v>
      </c>
      <c r="BI1">
        <f t="shared" ref="BI1" si="21">BH1+1</f>
        <v>61</v>
      </c>
      <c r="BJ1">
        <f t="shared" ref="BJ1" si="22">BI1+1</f>
        <v>62</v>
      </c>
      <c r="BK1">
        <f t="shared" ref="BK1" si="23">BJ1+1</f>
        <v>63</v>
      </c>
      <c r="BL1">
        <f t="shared" ref="BL1" si="24">BK1+1</f>
        <v>64</v>
      </c>
      <c r="BM1">
        <f t="shared" ref="BM1" si="25">BL1+1</f>
        <v>65</v>
      </c>
      <c r="BN1">
        <f t="shared" ref="BN1" si="26">BM1+1</f>
        <v>66</v>
      </c>
      <c r="BO1">
        <f t="shared" ref="BO1" si="27">BN1+1</f>
        <v>67</v>
      </c>
    </row>
    <row r="2" spans="1:67" ht="15.75" x14ac:dyDescent="0.25">
      <c r="B2" s="10" t="s">
        <v>182</v>
      </c>
      <c r="C2" s="10" t="s">
        <v>8</v>
      </c>
      <c r="E2" s="12">
        <v>5</v>
      </c>
      <c r="F2" s="7" t="s">
        <v>12</v>
      </c>
      <c r="G2" s="7"/>
      <c r="H2" s="7"/>
      <c r="J2" s="12">
        <v>6</v>
      </c>
      <c r="K2" s="7" t="s">
        <v>19</v>
      </c>
      <c r="L2" s="7"/>
      <c r="M2" s="7"/>
      <c r="O2" s="12">
        <v>7</v>
      </c>
      <c r="P2" s="7" t="s">
        <v>32</v>
      </c>
      <c r="Q2" s="7"/>
      <c r="R2" s="7"/>
      <c r="V2" s="18" t="s">
        <v>62</v>
      </c>
      <c r="W2" s="7" t="s">
        <v>53</v>
      </c>
      <c r="X2" s="7"/>
      <c r="Y2" s="7"/>
      <c r="AI2" s="12">
        <v>10</v>
      </c>
      <c r="AJ2" s="7" t="s">
        <v>183</v>
      </c>
      <c r="AK2" s="7"/>
      <c r="AL2" s="7"/>
      <c r="AR2" s="19" t="str">
        <f>"30/31"</f>
        <v>30/31</v>
      </c>
      <c r="AS2" s="7" t="s">
        <v>185</v>
      </c>
      <c r="AT2" s="7"/>
      <c r="AU2" s="7"/>
      <c r="BL2" s="19">
        <v>31</v>
      </c>
      <c r="BM2" s="7" t="s">
        <v>184</v>
      </c>
      <c r="BN2" s="7"/>
      <c r="BO2" s="7"/>
    </row>
    <row r="3" spans="1:67" x14ac:dyDescent="0.25">
      <c r="B3" s="2" t="s">
        <v>9</v>
      </c>
      <c r="C3" s="29" t="s">
        <v>218</v>
      </c>
      <c r="F3" s="8" t="s">
        <v>11</v>
      </c>
      <c r="K3" s="8" t="s">
        <v>11</v>
      </c>
      <c r="P3" s="8"/>
      <c r="W3" s="8"/>
      <c r="AE3" s="3" t="s">
        <v>2</v>
      </c>
      <c r="AF3" s="3"/>
      <c r="AJ3" s="8"/>
      <c r="AS3" s="8" t="s">
        <v>230</v>
      </c>
      <c r="AT3" s="8" t="s">
        <v>180</v>
      </c>
      <c r="AU3" s="8" t="s">
        <v>231</v>
      </c>
      <c r="BM3" s="8" t="s">
        <v>180</v>
      </c>
    </row>
    <row r="4" spans="1:67" ht="15.75" x14ac:dyDescent="0.25">
      <c r="B4" s="2" t="s">
        <v>18</v>
      </c>
      <c r="C4" s="29" t="s">
        <v>219</v>
      </c>
      <c r="F4" s="9" t="s">
        <v>10</v>
      </c>
      <c r="G4" s="9" t="s">
        <v>1</v>
      </c>
      <c r="H4" s="24" t="s">
        <v>222</v>
      </c>
      <c r="K4" s="9" t="s">
        <v>10</v>
      </c>
      <c r="L4" s="9" t="s">
        <v>1</v>
      </c>
      <c r="M4" s="11" t="s">
        <v>0</v>
      </c>
      <c r="P4" s="13" t="s">
        <v>42</v>
      </c>
      <c r="Q4" s="13"/>
      <c r="R4" s="15" t="s">
        <v>30</v>
      </c>
      <c r="S4" s="9" t="s">
        <v>1</v>
      </c>
      <c r="T4" s="24" t="s">
        <v>222</v>
      </c>
      <c r="W4" s="9" t="s">
        <v>56</v>
      </c>
      <c r="X4" s="9" t="s">
        <v>59</v>
      </c>
      <c r="Y4" s="11" t="s">
        <v>54</v>
      </c>
      <c r="Z4" s="9" t="s">
        <v>1</v>
      </c>
      <c r="AA4" s="24" t="s">
        <v>222</v>
      </c>
      <c r="AE4" s="4" t="s">
        <v>3</v>
      </c>
      <c r="AF4" s="5" t="str">
        <f>"\\netprd02\bo_nba_staf$\11_NOVOS\01_PORTAL_EMPRESARIAL\Extracao\"</f>
        <v>\\netprd02\bo_nba_staf$\11_NOVOS\01_PORTAL_EMPRESARIAL\Extracao\</v>
      </c>
      <c r="AJ4" s="13" t="s">
        <v>42</v>
      </c>
      <c r="AK4" s="13"/>
      <c r="AL4" s="15" t="s">
        <v>63</v>
      </c>
      <c r="AM4" s="9" t="s">
        <v>1</v>
      </c>
      <c r="AN4" s="24" t="s">
        <v>222</v>
      </c>
      <c r="AS4" s="9" t="s">
        <v>232</v>
      </c>
      <c r="AT4" s="9" t="s">
        <v>175</v>
      </c>
      <c r="AU4" s="9" t="s">
        <v>233</v>
      </c>
      <c r="AV4" s="9" t="s">
        <v>236</v>
      </c>
      <c r="AW4" s="9" t="s">
        <v>1</v>
      </c>
      <c r="AX4" s="11" t="s">
        <v>0</v>
      </c>
      <c r="AY4" s="11" t="s">
        <v>232</v>
      </c>
      <c r="AZ4" s="11" t="s">
        <v>175</v>
      </c>
      <c r="BA4" s="11" t="s">
        <v>238</v>
      </c>
      <c r="BB4" s="9" t="s">
        <v>236</v>
      </c>
      <c r="BC4" s="11" t="s">
        <v>239</v>
      </c>
      <c r="BD4" s="11"/>
      <c r="BE4" s="11"/>
      <c r="BF4" s="11"/>
      <c r="BG4" s="11"/>
      <c r="BH4" s="11"/>
      <c r="BI4" s="11"/>
      <c r="BJ4" s="11"/>
      <c r="BK4" s="11"/>
      <c r="BM4" s="9" t="s">
        <v>175</v>
      </c>
      <c r="BN4" s="9" t="s">
        <v>1</v>
      </c>
      <c r="BO4" s="11" t="s">
        <v>0</v>
      </c>
    </row>
    <row r="5" spans="1:67" x14ac:dyDescent="0.25">
      <c r="B5" s="2" t="s">
        <v>21</v>
      </c>
      <c r="C5" s="29" t="s">
        <v>220</v>
      </c>
      <c r="F5" s="1" t="s">
        <v>13</v>
      </c>
      <c r="G5" s="1" t="s">
        <v>17</v>
      </c>
      <c r="H5" s="17" t="s">
        <v>191</v>
      </c>
      <c r="K5" s="1" t="s">
        <v>13</v>
      </c>
      <c r="L5" s="1" t="s">
        <v>20</v>
      </c>
      <c r="M5" s="1"/>
      <c r="P5" s="17" t="s">
        <v>43</v>
      </c>
      <c r="Q5" s="1" t="s">
        <v>33</v>
      </c>
      <c r="R5" s="16" t="s">
        <v>22</v>
      </c>
      <c r="S5" s="1" t="s">
        <v>31</v>
      </c>
      <c r="T5" s="17" t="s">
        <v>191</v>
      </c>
      <c r="W5" s="1" t="s">
        <v>22</v>
      </c>
      <c r="X5" s="1" t="s">
        <v>60</v>
      </c>
      <c r="Y5" s="1" t="str">
        <f>W5&amp;X5</f>
        <v>Retorno de RecusaDocumentação Oi360</v>
      </c>
      <c r="Z5" s="1" t="s">
        <v>52</v>
      </c>
      <c r="AA5" s="25" t="s">
        <v>191</v>
      </c>
      <c r="AB5" s="26" t="s">
        <v>223</v>
      </c>
      <c r="AE5" s="4" t="s">
        <v>4</v>
      </c>
      <c r="AF5" s="5" t="str">
        <f>"\\netprd02\bo_nba_staf$\11_NOVOS\01_PORTAL_EMPRESARIAL\Distribuicao\"</f>
        <v>\\netprd02\bo_nba_staf$\11_NOVOS\01_PORTAL_EMPRESARIAL\Distribuicao\</v>
      </c>
      <c r="AJ5" s="17" t="s">
        <v>118</v>
      </c>
      <c r="AK5" s="1" t="s">
        <v>64</v>
      </c>
      <c r="AL5" s="16" t="s">
        <v>22</v>
      </c>
      <c r="AM5" s="1" t="s">
        <v>173</v>
      </c>
      <c r="AN5" s="17" t="s">
        <v>191</v>
      </c>
      <c r="AS5" s="28" t="s">
        <v>237</v>
      </c>
      <c r="AT5" s="1" t="s">
        <v>176</v>
      </c>
      <c r="AU5" s="1" t="s">
        <v>176</v>
      </c>
      <c r="AV5" s="1" t="str">
        <f>AT5&amp;AU5</f>
        <v>Aguardando RetiradaAguardando Retirada</v>
      </c>
      <c r="AW5" s="1" t="s">
        <v>177</v>
      </c>
      <c r="AX5" s="1"/>
      <c r="AY5" s="1" t="s">
        <v>240</v>
      </c>
      <c r="AZ5" s="1" t="s">
        <v>179</v>
      </c>
      <c r="BA5" s="1" t="s">
        <v>241</v>
      </c>
      <c r="BB5" s="1" t="str">
        <f t="shared" ref="BB5:BB8" si="28">AY5&amp;AZ5&amp;BA5</f>
        <v>EM REVERSÃODevolvidosAguardando retirada</v>
      </c>
      <c r="BC5" s="1" t="s">
        <v>242</v>
      </c>
      <c r="BD5" s="30"/>
      <c r="BE5" s="30"/>
      <c r="BF5" s="30"/>
      <c r="BG5" s="30"/>
      <c r="BH5" s="30"/>
      <c r="BI5" s="30"/>
      <c r="BJ5" s="30"/>
      <c r="BK5" s="30"/>
      <c r="BM5" s="1" t="s">
        <v>176</v>
      </c>
      <c r="BN5" s="1" t="s">
        <v>177</v>
      </c>
      <c r="BO5" s="1"/>
    </row>
    <row r="6" spans="1:67" x14ac:dyDescent="0.25">
      <c r="B6" s="2" t="s">
        <v>55</v>
      </c>
      <c r="C6" s="29" t="s">
        <v>221</v>
      </c>
      <c r="F6" s="1" t="s">
        <v>14</v>
      </c>
      <c r="G6" s="1" t="s">
        <v>17</v>
      </c>
      <c r="H6" s="17" t="s">
        <v>119</v>
      </c>
      <c r="K6" s="1" t="s">
        <v>14</v>
      </c>
      <c r="L6" s="1" t="s">
        <v>20</v>
      </c>
      <c r="M6" s="1"/>
      <c r="P6" s="17" t="s">
        <v>44</v>
      </c>
      <c r="Q6" s="1" t="s">
        <v>34</v>
      </c>
      <c r="R6" s="16" t="s">
        <v>23</v>
      </c>
      <c r="S6" s="1" t="s">
        <v>31</v>
      </c>
      <c r="T6" s="17" t="s">
        <v>119</v>
      </c>
      <c r="W6" s="1" t="s">
        <v>23</v>
      </c>
      <c r="X6" s="1" t="s">
        <v>60</v>
      </c>
      <c r="Y6" s="1" t="str">
        <f t="shared" ref="Y6:Y25" si="29">W6&amp;X6</f>
        <v>Em andamento - CDDocumentação Oi360</v>
      </c>
      <c r="Z6" s="1" t="s">
        <v>52</v>
      </c>
      <c r="AA6" s="25" t="s">
        <v>119</v>
      </c>
      <c r="AB6" s="26" t="s">
        <v>224</v>
      </c>
      <c r="AE6" s="4" t="s">
        <v>5</v>
      </c>
      <c r="AF6" s="5" t="s">
        <v>6</v>
      </c>
      <c r="AG6" s="6" t="s">
        <v>7</v>
      </c>
      <c r="AJ6" s="17" t="s">
        <v>44</v>
      </c>
      <c r="AK6" s="1" t="s">
        <v>65</v>
      </c>
      <c r="AL6" s="16" t="s">
        <v>23</v>
      </c>
      <c r="AM6" s="1" t="s">
        <v>173</v>
      </c>
      <c r="AN6" s="17" t="s">
        <v>119</v>
      </c>
      <c r="AS6" s="28" t="s">
        <v>237</v>
      </c>
      <c r="AT6" s="1" t="s">
        <v>179</v>
      </c>
      <c r="AU6" s="1" t="s">
        <v>234</v>
      </c>
      <c r="AV6" s="1" t="str">
        <f>AT6&amp;AU6</f>
        <v>DevolvidosDevolvido</v>
      </c>
      <c r="AW6" s="1" t="s">
        <v>178</v>
      </c>
      <c r="AX6" s="1"/>
      <c r="AY6" s="1" t="s">
        <v>240</v>
      </c>
      <c r="AZ6" s="1" t="s">
        <v>179</v>
      </c>
      <c r="BA6" s="1" t="s">
        <v>234</v>
      </c>
      <c r="BB6" s="1" t="str">
        <f t="shared" si="28"/>
        <v>EM REVERSÃODevolvidosDevolvido</v>
      </c>
      <c r="BC6" s="1" t="s">
        <v>242</v>
      </c>
      <c r="BD6" s="30"/>
      <c r="BE6" s="30"/>
      <c r="BF6" s="30"/>
      <c r="BG6" s="30"/>
      <c r="BH6" s="30"/>
      <c r="BI6" s="30"/>
      <c r="BJ6" s="30"/>
      <c r="BK6" s="30"/>
      <c r="BM6" s="1"/>
      <c r="BN6" s="1"/>
      <c r="BO6" s="1"/>
    </row>
    <row r="7" spans="1:67" x14ac:dyDescent="0.25">
      <c r="B7" s="2" t="s">
        <v>174</v>
      </c>
      <c r="C7" s="29" t="s">
        <v>229</v>
      </c>
      <c r="F7" s="1" t="s">
        <v>15</v>
      </c>
      <c r="G7" s="1" t="s">
        <v>17</v>
      </c>
      <c r="H7" s="17" t="s">
        <v>196</v>
      </c>
      <c r="K7" s="1" t="s">
        <v>15</v>
      </c>
      <c r="L7" s="1" t="s">
        <v>20</v>
      </c>
      <c r="M7" s="1"/>
      <c r="P7" s="17" t="s">
        <v>45</v>
      </c>
      <c r="Q7" s="1" t="s">
        <v>35</v>
      </c>
      <c r="R7" s="16" t="s">
        <v>24</v>
      </c>
      <c r="S7" s="1" t="s">
        <v>31</v>
      </c>
      <c r="T7" s="17" t="s">
        <v>196</v>
      </c>
      <c r="W7" s="1" t="s">
        <v>24</v>
      </c>
      <c r="X7" s="1" t="s">
        <v>60</v>
      </c>
      <c r="Y7" s="1" t="str">
        <f t="shared" si="29"/>
        <v>Insucesso AutomaçãoDocumentação Oi360</v>
      </c>
      <c r="Z7" s="1" t="s">
        <v>52</v>
      </c>
      <c r="AA7" s="25" t="s">
        <v>196</v>
      </c>
      <c r="AB7" s="26" t="s">
        <v>225</v>
      </c>
      <c r="AJ7" s="17" t="s">
        <v>45</v>
      </c>
      <c r="AK7" s="1" t="s">
        <v>66</v>
      </c>
      <c r="AL7" s="16" t="s">
        <v>24</v>
      </c>
      <c r="AM7" s="1" t="s">
        <v>173</v>
      </c>
      <c r="AN7" s="17" t="s">
        <v>196</v>
      </c>
      <c r="AS7" s="28" t="s">
        <v>237</v>
      </c>
      <c r="AT7" s="1" t="s">
        <v>179</v>
      </c>
      <c r="AU7" s="1" t="s">
        <v>235</v>
      </c>
      <c r="AV7" s="1" t="str">
        <f>AT7&amp;AU7</f>
        <v>DevolvidosExtraviado</v>
      </c>
      <c r="AW7" s="1" t="s">
        <v>178</v>
      </c>
      <c r="AX7" s="1"/>
      <c r="AY7" s="1" t="s">
        <v>240</v>
      </c>
      <c r="AZ7" s="1" t="s">
        <v>179</v>
      </c>
      <c r="BA7" s="1" t="s">
        <v>243</v>
      </c>
      <c r="BB7" s="1" t="str">
        <f t="shared" si="28"/>
        <v>EM REVERSÃODevolvidosEntregue - Finalizado</v>
      </c>
      <c r="BC7" s="1" t="s">
        <v>242</v>
      </c>
      <c r="BD7" s="30"/>
      <c r="BE7" s="30"/>
      <c r="BF7" s="30"/>
      <c r="BG7" s="30"/>
      <c r="BH7" s="30"/>
      <c r="BI7" s="30"/>
      <c r="BJ7" s="30"/>
      <c r="BK7" s="30"/>
      <c r="BM7" s="1"/>
      <c r="BN7" s="1"/>
      <c r="BO7" s="1"/>
    </row>
    <row r="8" spans="1:67" x14ac:dyDescent="0.25">
      <c r="B8" s="2" t="s">
        <v>181</v>
      </c>
      <c r="C8" s="29" t="s">
        <v>228</v>
      </c>
      <c r="F8" s="1" t="s">
        <v>16</v>
      </c>
      <c r="G8" s="1" t="s">
        <v>17</v>
      </c>
      <c r="H8" s="17" t="s">
        <v>198</v>
      </c>
      <c r="K8" s="1" t="s">
        <v>16</v>
      </c>
      <c r="L8" s="1" t="s">
        <v>20</v>
      </c>
      <c r="M8" s="1"/>
      <c r="P8" s="17" t="s">
        <v>46</v>
      </c>
      <c r="Q8" s="1" t="s">
        <v>36</v>
      </c>
      <c r="R8" s="16" t="s">
        <v>25</v>
      </c>
      <c r="S8" s="1" t="s">
        <v>31</v>
      </c>
      <c r="T8" s="17" t="s">
        <v>198</v>
      </c>
      <c r="W8" s="1" t="s">
        <v>25</v>
      </c>
      <c r="X8" s="1" t="s">
        <v>60</v>
      </c>
      <c r="Y8" s="1" t="str">
        <f t="shared" si="29"/>
        <v>Não iniciado - CDDocumentação Oi360</v>
      </c>
      <c r="Z8" s="1" t="s">
        <v>52</v>
      </c>
      <c r="AA8" s="17" t="s">
        <v>198</v>
      </c>
      <c r="AJ8" s="17" t="s">
        <v>46</v>
      </c>
      <c r="AK8" s="1" t="s">
        <v>67</v>
      </c>
      <c r="AL8" s="16" t="s">
        <v>25</v>
      </c>
      <c r="AM8" s="1" t="s">
        <v>173</v>
      </c>
      <c r="AN8" s="17" t="s">
        <v>198</v>
      </c>
      <c r="AS8" s="1"/>
      <c r="AT8" s="1"/>
      <c r="AU8" s="1"/>
      <c r="AV8" s="1"/>
      <c r="AW8" s="1"/>
      <c r="AX8" s="1"/>
      <c r="AY8" s="1" t="s">
        <v>240</v>
      </c>
      <c r="AZ8" s="1" t="s">
        <v>179</v>
      </c>
      <c r="BA8" s="1" t="s">
        <v>244</v>
      </c>
      <c r="BB8" s="1" t="str">
        <f t="shared" si="28"/>
        <v>EM REVERSÃODevolvidosHabilitação</v>
      </c>
      <c r="BC8" s="1" t="s">
        <v>242</v>
      </c>
      <c r="BD8" s="30"/>
      <c r="BE8" s="30"/>
      <c r="BF8" s="30"/>
      <c r="BG8" s="30"/>
      <c r="BH8" s="30"/>
      <c r="BI8" s="30"/>
      <c r="BJ8" s="30"/>
      <c r="BK8" s="30"/>
      <c r="BM8" s="1"/>
      <c r="BN8" s="1"/>
      <c r="BO8" s="1"/>
    </row>
    <row r="9" spans="1:67" x14ac:dyDescent="0.25">
      <c r="B9" s="27"/>
      <c r="C9" s="27"/>
      <c r="F9" s="1" t="s">
        <v>226</v>
      </c>
      <c r="G9" s="1" t="s">
        <v>17</v>
      </c>
      <c r="H9" s="17" t="s">
        <v>199</v>
      </c>
      <c r="K9" s="1"/>
      <c r="L9" s="1"/>
      <c r="M9" s="1"/>
      <c r="P9" s="17" t="s">
        <v>47</v>
      </c>
      <c r="Q9" s="1" t="s">
        <v>37</v>
      </c>
      <c r="R9" s="16" t="s">
        <v>26</v>
      </c>
      <c r="S9" s="1" t="s">
        <v>31</v>
      </c>
      <c r="T9" s="17" t="s">
        <v>199</v>
      </c>
      <c r="W9" s="1" t="s">
        <v>26</v>
      </c>
      <c r="X9" s="1" t="s">
        <v>60</v>
      </c>
      <c r="Y9" s="1" t="str">
        <f t="shared" si="29"/>
        <v>Em Interação - CDDocumentação Oi360</v>
      </c>
      <c r="Z9" s="1" t="s">
        <v>52</v>
      </c>
      <c r="AA9" s="17" t="s">
        <v>199</v>
      </c>
      <c r="AJ9" s="17" t="s">
        <v>47</v>
      </c>
      <c r="AK9" s="1" t="s">
        <v>68</v>
      </c>
      <c r="AL9" s="16" t="s">
        <v>26</v>
      </c>
      <c r="AM9" s="1" t="s">
        <v>173</v>
      </c>
      <c r="AN9" s="17" t="s">
        <v>199</v>
      </c>
      <c r="AS9" s="1"/>
      <c r="AT9" s="1"/>
      <c r="AU9" s="1"/>
      <c r="AV9" s="1"/>
      <c r="AW9" s="1"/>
      <c r="AX9" s="1"/>
      <c r="BD9" s="30"/>
      <c r="BE9" s="30"/>
      <c r="BF9" s="30"/>
      <c r="BG9" s="30"/>
      <c r="BH9" s="30"/>
      <c r="BI9" s="30"/>
      <c r="BJ9" s="30"/>
      <c r="BK9" s="30"/>
      <c r="BM9" s="1"/>
      <c r="BN9" s="1"/>
      <c r="BO9" s="1"/>
    </row>
    <row r="10" spans="1:67" x14ac:dyDescent="0.25">
      <c r="B10" s="2"/>
      <c r="C10" s="2"/>
      <c r="F10" s="1" t="s">
        <v>227</v>
      </c>
      <c r="G10" s="1" t="s">
        <v>17</v>
      </c>
      <c r="H10" s="17" t="s">
        <v>137</v>
      </c>
      <c r="K10" s="1"/>
      <c r="L10" s="1"/>
      <c r="M10" s="1"/>
      <c r="P10" s="17" t="s">
        <v>48</v>
      </c>
      <c r="Q10" s="1" t="s">
        <v>38</v>
      </c>
      <c r="R10" s="16" t="s">
        <v>27</v>
      </c>
      <c r="S10" s="1" t="s">
        <v>31</v>
      </c>
      <c r="T10" s="17" t="s">
        <v>137</v>
      </c>
      <c r="W10" s="1" t="s">
        <v>27</v>
      </c>
      <c r="X10" s="1" t="s">
        <v>60</v>
      </c>
      <c r="Y10" s="1" t="str">
        <f t="shared" si="29"/>
        <v>Em tratamento - CDDocumentação Oi360</v>
      </c>
      <c r="Z10" s="1" t="s">
        <v>52</v>
      </c>
      <c r="AA10" s="17" t="s">
        <v>137</v>
      </c>
      <c r="AJ10" s="17" t="s">
        <v>48</v>
      </c>
      <c r="AK10" s="1" t="s">
        <v>69</v>
      </c>
      <c r="AL10" s="16" t="s">
        <v>27</v>
      </c>
      <c r="AM10" s="1" t="s">
        <v>173</v>
      </c>
      <c r="AN10" s="17" t="s">
        <v>137</v>
      </c>
      <c r="AS10" s="1"/>
      <c r="AT10" s="1"/>
      <c r="AU10" s="1"/>
      <c r="AV10" s="1"/>
      <c r="AW10" s="1"/>
      <c r="AX10" s="1"/>
      <c r="AY10" s="30"/>
      <c r="AZ10" s="30"/>
      <c r="BA10" s="30"/>
      <c r="BB10" s="30"/>
      <c r="BC10" s="30"/>
      <c r="BD10" s="30"/>
      <c r="BE10" s="30"/>
      <c r="BF10" s="30"/>
      <c r="BG10" s="30"/>
      <c r="BH10" s="30"/>
      <c r="BI10" s="30"/>
      <c r="BJ10" s="30"/>
      <c r="BK10" s="30"/>
      <c r="BM10" s="1"/>
      <c r="BN10" s="1"/>
      <c r="BO10" s="1"/>
    </row>
    <row r="11" spans="1:67" x14ac:dyDescent="0.25">
      <c r="B11" s="2"/>
      <c r="C11" s="2"/>
      <c r="F11" s="1"/>
      <c r="G11" s="1"/>
      <c r="H11" s="17" t="s">
        <v>200</v>
      </c>
      <c r="K11" s="1"/>
      <c r="L11" s="1"/>
      <c r="M11" s="1"/>
      <c r="P11" s="17" t="s">
        <v>49</v>
      </c>
      <c r="Q11" s="1" t="s">
        <v>39</v>
      </c>
      <c r="R11" s="16" t="s">
        <v>28</v>
      </c>
      <c r="S11" s="1" t="s">
        <v>31</v>
      </c>
      <c r="T11" s="17" t="s">
        <v>200</v>
      </c>
      <c r="W11" s="1" t="s">
        <v>28</v>
      </c>
      <c r="X11" s="1" t="s">
        <v>60</v>
      </c>
      <c r="Y11" s="1" t="str">
        <f t="shared" si="29"/>
        <v>Pendente Contato - CDDocumentação Oi360</v>
      </c>
      <c r="Z11" s="1" t="s">
        <v>52</v>
      </c>
      <c r="AA11" s="17" t="s">
        <v>200</v>
      </c>
      <c r="AJ11" s="17" t="s">
        <v>49</v>
      </c>
      <c r="AK11" s="1" t="s">
        <v>70</v>
      </c>
      <c r="AL11" s="16" t="s">
        <v>28</v>
      </c>
      <c r="AM11" s="1" t="s">
        <v>173</v>
      </c>
      <c r="AN11" s="17" t="s">
        <v>200</v>
      </c>
      <c r="AS11" s="1"/>
      <c r="AT11" s="1"/>
      <c r="AU11" s="1"/>
      <c r="AV11" s="1"/>
      <c r="AW11" s="1"/>
      <c r="AX11" s="1"/>
      <c r="AY11" s="30"/>
      <c r="AZ11" s="30"/>
      <c r="BA11" s="30"/>
      <c r="BB11" s="30"/>
      <c r="BC11" s="30"/>
      <c r="BD11" s="30"/>
      <c r="BE11" s="30"/>
      <c r="BF11" s="30"/>
      <c r="BG11" s="30"/>
      <c r="BH11" s="30"/>
      <c r="BI11" s="30"/>
      <c r="BJ11" s="30"/>
      <c r="BK11" s="30"/>
      <c r="BM11" s="1"/>
      <c r="BN11" s="1"/>
      <c r="BO11" s="1"/>
    </row>
    <row r="12" spans="1:67" x14ac:dyDescent="0.25">
      <c r="F12" s="1"/>
      <c r="G12" s="1"/>
      <c r="H12" s="17" t="s">
        <v>161</v>
      </c>
      <c r="K12" s="1"/>
      <c r="L12" s="1"/>
      <c r="M12" s="1"/>
      <c r="P12" s="17" t="s">
        <v>50</v>
      </c>
      <c r="Q12" s="1" t="s">
        <v>40</v>
      </c>
      <c r="R12" s="16" t="s">
        <v>29</v>
      </c>
      <c r="S12" s="1" t="s">
        <v>31</v>
      </c>
      <c r="T12" s="17" t="s">
        <v>161</v>
      </c>
      <c r="W12" s="1" t="s">
        <v>22</v>
      </c>
      <c r="X12" s="1" t="s">
        <v>57</v>
      </c>
      <c r="Y12" s="1" t="str">
        <f t="shared" si="29"/>
        <v>Retorno de RecusaVenda Nova</v>
      </c>
      <c r="Z12" s="1" t="s">
        <v>61</v>
      </c>
      <c r="AA12" s="17" t="s">
        <v>161</v>
      </c>
      <c r="AJ12" s="17" t="s">
        <v>50</v>
      </c>
      <c r="AK12" s="1" t="s">
        <v>71</v>
      </c>
      <c r="AL12" s="16"/>
      <c r="AM12" s="1"/>
      <c r="AN12" s="17" t="s">
        <v>161</v>
      </c>
      <c r="AS12" s="1"/>
      <c r="AT12" s="1"/>
      <c r="AU12" s="1"/>
      <c r="AV12" s="1"/>
      <c r="AW12" s="1"/>
      <c r="AX12" s="1"/>
      <c r="AY12" s="30"/>
      <c r="AZ12" s="30"/>
      <c r="BA12" s="30"/>
      <c r="BB12" s="30"/>
      <c r="BC12" s="30"/>
      <c r="BD12" s="30"/>
      <c r="BE12" s="30"/>
      <c r="BF12" s="30"/>
      <c r="BG12" s="30"/>
      <c r="BH12" s="30"/>
      <c r="BI12" s="30"/>
      <c r="BJ12" s="30"/>
      <c r="BK12" s="30"/>
      <c r="BM12" s="1"/>
      <c r="BN12" s="1"/>
      <c r="BO12" s="1"/>
    </row>
    <row r="13" spans="1:67" x14ac:dyDescent="0.25">
      <c r="F13" s="1"/>
      <c r="G13" s="1"/>
      <c r="H13" s="17" t="s">
        <v>202</v>
      </c>
      <c r="K13" s="1"/>
      <c r="L13" s="1"/>
      <c r="M13" s="1"/>
      <c r="P13" s="17" t="s">
        <v>51</v>
      </c>
      <c r="Q13" s="1" t="s">
        <v>41</v>
      </c>
      <c r="R13" s="16"/>
      <c r="S13" s="1"/>
      <c r="T13" s="17" t="s">
        <v>202</v>
      </c>
      <c r="W13" s="1" t="s">
        <v>23</v>
      </c>
      <c r="X13" s="1" t="s">
        <v>57</v>
      </c>
      <c r="Y13" s="1" t="str">
        <f t="shared" si="29"/>
        <v>Em andamento - CDVenda Nova</v>
      </c>
      <c r="Z13" s="1" t="s">
        <v>61</v>
      </c>
      <c r="AA13" s="17" t="s">
        <v>202</v>
      </c>
      <c r="AJ13" s="17" t="s">
        <v>119</v>
      </c>
      <c r="AK13" s="1" t="s">
        <v>72</v>
      </c>
      <c r="AL13" s="16"/>
      <c r="AM13" s="1"/>
      <c r="AN13" s="17" t="s">
        <v>202</v>
      </c>
      <c r="AS13" s="1"/>
      <c r="AT13" s="1"/>
      <c r="AU13" s="1"/>
      <c r="AV13" s="1"/>
      <c r="AW13" s="1"/>
      <c r="AX13" s="1"/>
      <c r="AY13" s="30"/>
      <c r="AZ13" s="30"/>
      <c r="BA13" s="30"/>
      <c r="BB13" s="30"/>
      <c r="BC13" s="30"/>
      <c r="BD13" s="30"/>
      <c r="BE13" s="30"/>
      <c r="BF13" s="30"/>
      <c r="BG13" s="30"/>
      <c r="BH13" s="30"/>
      <c r="BI13" s="30"/>
      <c r="BJ13" s="30"/>
      <c r="BK13" s="30"/>
      <c r="BM13" s="1"/>
      <c r="BN13" s="1"/>
      <c r="BO13" s="1"/>
    </row>
    <row r="14" spans="1:67" x14ac:dyDescent="0.25">
      <c r="F14" s="1"/>
      <c r="G14" s="1"/>
      <c r="H14" s="17" t="s">
        <v>201</v>
      </c>
      <c r="K14" s="1"/>
      <c r="L14" s="1"/>
      <c r="M14" s="1"/>
      <c r="P14" s="17"/>
      <c r="Q14" s="14"/>
      <c r="R14" s="16"/>
      <c r="S14" s="1"/>
      <c r="T14" s="17" t="s">
        <v>201</v>
      </c>
      <c r="W14" s="1" t="s">
        <v>24</v>
      </c>
      <c r="X14" s="1" t="s">
        <v>57</v>
      </c>
      <c r="Y14" s="1" t="str">
        <f t="shared" si="29"/>
        <v>Insucesso AutomaçãoVenda Nova</v>
      </c>
      <c r="Z14" s="1" t="s">
        <v>61</v>
      </c>
      <c r="AA14" s="17" t="s">
        <v>201</v>
      </c>
      <c r="AJ14" s="17" t="s">
        <v>120</v>
      </c>
      <c r="AK14" s="1" t="s">
        <v>73</v>
      </c>
      <c r="AL14" s="16"/>
      <c r="AM14" s="1"/>
      <c r="AN14" s="17" t="s">
        <v>201</v>
      </c>
      <c r="AS14" s="1"/>
      <c r="AT14" s="1"/>
      <c r="AU14" s="1"/>
      <c r="AV14" s="1"/>
      <c r="AW14" s="1"/>
      <c r="AX14" s="1"/>
      <c r="AY14" s="30"/>
      <c r="AZ14" s="30"/>
      <c r="BA14" s="30"/>
      <c r="BB14" s="30"/>
      <c r="BC14" s="30"/>
      <c r="BD14" s="30"/>
      <c r="BE14" s="30"/>
      <c r="BF14" s="30"/>
      <c r="BG14" s="30"/>
      <c r="BH14" s="30"/>
      <c r="BI14" s="30"/>
      <c r="BJ14" s="30"/>
      <c r="BK14" s="30"/>
      <c r="BM14" s="1"/>
      <c r="BN14" s="1"/>
      <c r="BO14" s="1"/>
    </row>
    <row r="15" spans="1:67" x14ac:dyDescent="0.25">
      <c r="F15" s="1"/>
      <c r="G15" s="1"/>
      <c r="H15" s="17" t="s">
        <v>205</v>
      </c>
      <c r="K15" s="1"/>
      <c r="L15" s="1"/>
      <c r="M15" s="1"/>
      <c r="P15" s="17"/>
      <c r="Q15" s="14"/>
      <c r="R15" s="16"/>
      <c r="S15" s="1"/>
      <c r="T15" s="17" t="s">
        <v>205</v>
      </c>
      <c r="W15" s="1" t="s">
        <v>25</v>
      </c>
      <c r="X15" s="1" t="s">
        <v>57</v>
      </c>
      <c r="Y15" s="1" t="str">
        <f t="shared" si="29"/>
        <v>Não iniciado - CDVenda Nova</v>
      </c>
      <c r="Z15" s="1" t="s">
        <v>61</v>
      </c>
      <c r="AA15" s="17" t="s">
        <v>205</v>
      </c>
      <c r="AJ15" s="17" t="s">
        <v>121</v>
      </c>
      <c r="AK15" s="1" t="s">
        <v>74</v>
      </c>
      <c r="AL15" s="16"/>
      <c r="AM15" s="1"/>
      <c r="AN15" s="17" t="s">
        <v>205</v>
      </c>
      <c r="AS15" s="1"/>
      <c r="AT15" s="1"/>
      <c r="AU15" s="1"/>
      <c r="AV15" s="1"/>
      <c r="AW15" s="1"/>
      <c r="AX15" s="1"/>
      <c r="AY15" s="30"/>
      <c r="AZ15" s="30"/>
      <c r="BA15" s="30"/>
      <c r="BB15" s="30"/>
      <c r="BC15" s="30"/>
      <c r="BD15" s="30"/>
      <c r="BE15" s="30"/>
      <c r="BF15" s="30"/>
      <c r="BG15" s="30"/>
      <c r="BH15" s="30"/>
      <c r="BI15" s="30"/>
      <c r="BJ15" s="30"/>
      <c r="BK15" s="30"/>
      <c r="BM15" s="1"/>
      <c r="BN15" s="1"/>
      <c r="BO15" s="1"/>
    </row>
    <row r="16" spans="1:67" x14ac:dyDescent="0.25">
      <c r="F16" s="1"/>
      <c r="G16" s="1"/>
      <c r="H16" s="17" t="s">
        <v>207</v>
      </c>
      <c r="K16" s="1"/>
      <c r="L16" s="1"/>
      <c r="M16" s="1"/>
      <c r="P16" s="17"/>
      <c r="Q16" s="14"/>
      <c r="R16" s="16"/>
      <c r="S16" s="1"/>
      <c r="T16" s="17" t="s">
        <v>207</v>
      </c>
      <c r="W16" s="1" t="s">
        <v>26</v>
      </c>
      <c r="X16" s="1" t="s">
        <v>57</v>
      </c>
      <c r="Y16" s="1" t="str">
        <f t="shared" si="29"/>
        <v>Em Interação - CDVenda Nova</v>
      </c>
      <c r="Z16" s="1" t="s">
        <v>61</v>
      </c>
      <c r="AA16" s="17" t="s">
        <v>207</v>
      </c>
      <c r="AJ16" s="17" t="s">
        <v>122</v>
      </c>
      <c r="AK16" s="1" t="s">
        <v>75</v>
      </c>
      <c r="AL16" s="16"/>
      <c r="AM16" s="1"/>
      <c r="AN16" s="17" t="s">
        <v>207</v>
      </c>
      <c r="AS16" s="1"/>
      <c r="AT16" s="1"/>
      <c r="AU16" s="1"/>
      <c r="AV16" s="1"/>
      <c r="AW16" s="1"/>
      <c r="AX16" s="1"/>
      <c r="AY16" s="30"/>
      <c r="AZ16" s="30"/>
      <c r="BA16" s="30"/>
      <c r="BB16" s="30"/>
      <c r="BC16" s="30"/>
      <c r="BD16" s="30"/>
      <c r="BE16" s="30"/>
      <c r="BF16" s="30"/>
      <c r="BG16" s="30"/>
      <c r="BH16" s="30"/>
      <c r="BI16" s="30"/>
      <c r="BJ16" s="30"/>
      <c r="BK16" s="30"/>
      <c r="BM16" s="1"/>
      <c r="BN16" s="1"/>
      <c r="BO16" s="1"/>
    </row>
    <row r="17" spans="8:40" x14ac:dyDescent="0.25">
      <c r="H17" s="17" t="s">
        <v>193</v>
      </c>
      <c r="T17" s="17" t="s">
        <v>193</v>
      </c>
      <c r="W17" s="1" t="s">
        <v>27</v>
      </c>
      <c r="X17" s="1" t="s">
        <v>57</v>
      </c>
      <c r="Y17" s="1" t="str">
        <f t="shared" si="29"/>
        <v>Em tratamento - CDVenda Nova</v>
      </c>
      <c r="Z17" s="1" t="s">
        <v>61</v>
      </c>
      <c r="AA17" s="17" t="s">
        <v>193</v>
      </c>
      <c r="AJ17" s="17" t="s">
        <v>123</v>
      </c>
      <c r="AK17" s="1" t="s">
        <v>76</v>
      </c>
      <c r="AN17" s="17" t="s">
        <v>193</v>
      </c>
    </row>
    <row r="18" spans="8:40" x14ac:dyDescent="0.25">
      <c r="H18" s="17" t="s">
        <v>203</v>
      </c>
      <c r="T18" s="17" t="s">
        <v>203</v>
      </c>
      <c r="W18" s="1" t="s">
        <v>28</v>
      </c>
      <c r="X18" s="1" t="s">
        <v>57</v>
      </c>
      <c r="Y18" s="1" t="str">
        <f t="shared" si="29"/>
        <v>Pendente Contato - CDVenda Nova</v>
      </c>
      <c r="Z18" s="1" t="s">
        <v>61</v>
      </c>
      <c r="AA18" s="17" t="s">
        <v>203</v>
      </c>
      <c r="AJ18" s="17" t="s">
        <v>124</v>
      </c>
      <c r="AK18" s="1" t="s">
        <v>77</v>
      </c>
      <c r="AN18" s="17" t="s">
        <v>203</v>
      </c>
    </row>
    <row r="19" spans="8:40" x14ac:dyDescent="0.25">
      <c r="H19" s="17" t="s">
        <v>204</v>
      </c>
      <c r="T19" s="17" t="s">
        <v>204</v>
      </c>
      <c r="W19" s="1" t="s">
        <v>22</v>
      </c>
      <c r="X19" s="1" t="s">
        <v>58</v>
      </c>
      <c r="Y19" s="1" t="str">
        <f t="shared" si="29"/>
        <v>Retorno de RecusaVenda com Migração</v>
      </c>
      <c r="Z19" s="1" t="s">
        <v>61</v>
      </c>
      <c r="AA19" s="17" t="s">
        <v>204</v>
      </c>
      <c r="AJ19" s="17" t="s">
        <v>125</v>
      </c>
      <c r="AK19" s="1" t="s">
        <v>78</v>
      </c>
      <c r="AN19" s="17" t="s">
        <v>204</v>
      </c>
    </row>
    <row r="20" spans="8:40" x14ac:dyDescent="0.25">
      <c r="H20" s="17" t="s">
        <v>211</v>
      </c>
      <c r="T20" s="17" t="s">
        <v>211</v>
      </c>
      <c r="W20" s="1" t="s">
        <v>23</v>
      </c>
      <c r="X20" s="1" t="s">
        <v>58</v>
      </c>
      <c r="Y20" s="1" t="str">
        <f t="shared" si="29"/>
        <v>Em andamento - CDVenda com Migração</v>
      </c>
      <c r="Z20" s="1" t="s">
        <v>61</v>
      </c>
      <c r="AA20" s="17" t="s">
        <v>211</v>
      </c>
      <c r="AJ20" s="17" t="s">
        <v>126</v>
      </c>
      <c r="AK20" s="1" t="s">
        <v>79</v>
      </c>
      <c r="AN20" s="17" t="s">
        <v>211</v>
      </c>
    </row>
    <row r="21" spans="8:40" x14ac:dyDescent="0.25">
      <c r="H21" s="17" t="s">
        <v>206</v>
      </c>
      <c r="T21" s="17" t="s">
        <v>206</v>
      </c>
      <c r="W21" s="1" t="s">
        <v>24</v>
      </c>
      <c r="X21" s="1" t="s">
        <v>58</v>
      </c>
      <c r="Y21" s="1" t="str">
        <f t="shared" si="29"/>
        <v>Insucesso AutomaçãoVenda com Migração</v>
      </c>
      <c r="Z21" s="1" t="s">
        <v>61</v>
      </c>
      <c r="AA21" s="17" t="s">
        <v>206</v>
      </c>
      <c r="AJ21" s="17" t="s">
        <v>127</v>
      </c>
      <c r="AK21" s="1" t="s">
        <v>33</v>
      </c>
      <c r="AN21" s="17" t="s">
        <v>206</v>
      </c>
    </row>
    <row r="22" spans="8:40" x14ac:dyDescent="0.25">
      <c r="H22" s="17" t="s">
        <v>208</v>
      </c>
      <c r="T22" s="17" t="s">
        <v>208</v>
      </c>
      <c r="W22" s="1" t="s">
        <v>25</v>
      </c>
      <c r="X22" s="1" t="s">
        <v>58</v>
      </c>
      <c r="Y22" s="1" t="str">
        <f t="shared" si="29"/>
        <v>Não iniciado - CDVenda com Migração</v>
      </c>
      <c r="Z22" s="1" t="s">
        <v>61</v>
      </c>
      <c r="AA22" s="17" t="s">
        <v>208</v>
      </c>
      <c r="AJ22" s="17" t="s">
        <v>128</v>
      </c>
      <c r="AK22" s="1" t="s">
        <v>34</v>
      </c>
      <c r="AN22" s="17" t="s">
        <v>208</v>
      </c>
    </row>
    <row r="23" spans="8:40" x14ac:dyDescent="0.25">
      <c r="H23" s="17" t="s">
        <v>195</v>
      </c>
      <c r="T23" s="17" t="s">
        <v>195</v>
      </c>
      <c r="W23" s="1" t="s">
        <v>26</v>
      </c>
      <c r="X23" s="1" t="s">
        <v>58</v>
      </c>
      <c r="Y23" s="1" t="str">
        <f t="shared" si="29"/>
        <v>Em Interação - CDVenda com Migração</v>
      </c>
      <c r="Z23" s="1" t="s">
        <v>61</v>
      </c>
      <c r="AA23" s="17" t="s">
        <v>195</v>
      </c>
      <c r="AJ23" s="17" t="s">
        <v>129</v>
      </c>
      <c r="AK23" s="1" t="s">
        <v>35</v>
      </c>
      <c r="AN23" s="17" t="s">
        <v>195</v>
      </c>
    </row>
    <row r="24" spans="8:40" x14ac:dyDescent="0.25">
      <c r="H24" s="17" t="s">
        <v>209</v>
      </c>
      <c r="T24" s="17" t="s">
        <v>209</v>
      </c>
      <c r="W24" s="1" t="s">
        <v>27</v>
      </c>
      <c r="X24" s="1" t="s">
        <v>58</v>
      </c>
      <c r="Y24" s="1" t="str">
        <f t="shared" si="29"/>
        <v>Em tratamento - CDVenda com Migração</v>
      </c>
      <c r="Z24" s="1" t="s">
        <v>61</v>
      </c>
      <c r="AA24" s="17" t="s">
        <v>209</v>
      </c>
      <c r="AJ24" s="17" t="s">
        <v>130</v>
      </c>
      <c r="AK24" s="1" t="s">
        <v>36</v>
      </c>
      <c r="AN24" s="17" t="s">
        <v>209</v>
      </c>
    </row>
    <row r="25" spans="8:40" x14ac:dyDescent="0.25">
      <c r="H25" s="17" t="s">
        <v>213</v>
      </c>
      <c r="T25" s="17" t="s">
        <v>213</v>
      </c>
      <c r="W25" s="1" t="s">
        <v>28</v>
      </c>
      <c r="X25" s="1" t="s">
        <v>58</v>
      </c>
      <c r="Y25" s="1" t="str">
        <f t="shared" si="29"/>
        <v>Pendente Contato - CDVenda com Migração</v>
      </c>
      <c r="Z25" s="1" t="s">
        <v>61</v>
      </c>
      <c r="AA25" s="17" t="s">
        <v>213</v>
      </c>
      <c r="AJ25" s="17" t="s">
        <v>131</v>
      </c>
      <c r="AK25" s="1" t="s">
        <v>37</v>
      </c>
      <c r="AN25" s="17" t="s">
        <v>213</v>
      </c>
    </row>
    <row r="26" spans="8:40" x14ac:dyDescent="0.25">
      <c r="H26" s="17" t="s">
        <v>214</v>
      </c>
      <c r="T26" s="17" t="s">
        <v>214</v>
      </c>
      <c r="W26" s="1"/>
      <c r="X26" s="1"/>
      <c r="Y26" s="1"/>
      <c r="Z26" s="1"/>
      <c r="AA26" s="17" t="s">
        <v>214</v>
      </c>
      <c r="AJ26" s="17" t="s">
        <v>132</v>
      </c>
      <c r="AK26" s="1" t="s">
        <v>38</v>
      </c>
      <c r="AN26" s="17" t="s">
        <v>214</v>
      </c>
    </row>
    <row r="27" spans="8:40" x14ac:dyDescent="0.25">
      <c r="H27" s="17" t="s">
        <v>210</v>
      </c>
      <c r="T27" s="17" t="s">
        <v>210</v>
      </c>
      <c r="W27" s="1"/>
      <c r="X27" s="1"/>
      <c r="Y27" s="1"/>
      <c r="Z27" s="1"/>
      <c r="AA27" s="17" t="s">
        <v>210</v>
      </c>
      <c r="AJ27" s="17" t="s">
        <v>133</v>
      </c>
      <c r="AK27" s="1" t="s">
        <v>39</v>
      </c>
      <c r="AN27" s="17" t="s">
        <v>210</v>
      </c>
    </row>
    <row r="28" spans="8:40" x14ac:dyDescent="0.25">
      <c r="H28" s="17" t="s">
        <v>197</v>
      </c>
      <c r="T28" s="17" t="s">
        <v>197</v>
      </c>
      <c r="W28" s="1"/>
      <c r="X28" s="1"/>
      <c r="Y28" s="1"/>
      <c r="Z28" s="1"/>
      <c r="AA28" s="17" t="s">
        <v>197</v>
      </c>
      <c r="AJ28" s="17" t="s">
        <v>134</v>
      </c>
      <c r="AK28" s="1" t="s">
        <v>80</v>
      </c>
      <c r="AN28" s="17" t="s">
        <v>197</v>
      </c>
    </row>
    <row r="29" spans="8:40" x14ac:dyDescent="0.25">
      <c r="H29" s="17" t="s">
        <v>215</v>
      </c>
      <c r="T29" s="17" t="s">
        <v>215</v>
      </c>
      <c r="W29" s="1"/>
      <c r="X29" s="1"/>
      <c r="Y29" s="1"/>
      <c r="Z29" s="1"/>
      <c r="AA29" s="17" t="s">
        <v>215</v>
      </c>
      <c r="AJ29" s="17" t="s">
        <v>135</v>
      </c>
      <c r="AK29" s="1" t="s">
        <v>81</v>
      </c>
      <c r="AN29" s="17" t="s">
        <v>215</v>
      </c>
    </row>
    <row r="30" spans="8:40" x14ac:dyDescent="0.25">
      <c r="H30" s="17" t="s">
        <v>212</v>
      </c>
      <c r="T30" s="17" t="s">
        <v>212</v>
      </c>
      <c r="W30" s="1"/>
      <c r="X30" s="1"/>
      <c r="Y30" s="1"/>
      <c r="Z30" s="1"/>
      <c r="AA30" s="17" t="s">
        <v>212</v>
      </c>
      <c r="AJ30" s="17" t="s">
        <v>136</v>
      </c>
      <c r="AK30" s="1" t="s">
        <v>82</v>
      </c>
      <c r="AN30" s="17" t="s">
        <v>212</v>
      </c>
    </row>
    <row r="31" spans="8:40" x14ac:dyDescent="0.25">
      <c r="H31" s="17" t="s">
        <v>217</v>
      </c>
      <c r="T31" s="17" t="s">
        <v>217</v>
      </c>
      <c r="W31" s="1"/>
      <c r="X31" s="1"/>
      <c r="Y31" s="1"/>
      <c r="Z31" s="1"/>
      <c r="AA31" s="17" t="s">
        <v>217</v>
      </c>
      <c r="AJ31" s="17" t="s">
        <v>137</v>
      </c>
      <c r="AK31" s="1" t="s">
        <v>83</v>
      </c>
      <c r="AN31" s="17" t="s">
        <v>217</v>
      </c>
    </row>
    <row r="32" spans="8:40" x14ac:dyDescent="0.25">
      <c r="H32" s="17"/>
      <c r="T32" s="17"/>
      <c r="W32" s="1"/>
      <c r="X32" s="1"/>
      <c r="Y32" s="1"/>
      <c r="Z32" s="1"/>
      <c r="AA32" s="17"/>
      <c r="AJ32" s="17" t="s">
        <v>138</v>
      </c>
      <c r="AK32" s="1" t="s">
        <v>84</v>
      </c>
      <c r="AN32" s="17"/>
    </row>
    <row r="33" spans="8:40" x14ac:dyDescent="0.25">
      <c r="H33" s="17"/>
      <c r="T33" s="17"/>
      <c r="AA33" s="17"/>
      <c r="AJ33" s="17" t="s">
        <v>139</v>
      </c>
      <c r="AK33" s="1" t="s">
        <v>85</v>
      </c>
      <c r="AN33" s="17"/>
    </row>
    <row r="34" spans="8:40" x14ac:dyDescent="0.25">
      <c r="H34" s="17"/>
      <c r="T34" s="17"/>
      <c r="AA34" s="17"/>
      <c r="AJ34" s="17" t="s">
        <v>140</v>
      </c>
      <c r="AK34" s="1" t="s">
        <v>86</v>
      </c>
      <c r="AN34" s="17"/>
    </row>
    <row r="35" spans="8:40" x14ac:dyDescent="0.25">
      <c r="AJ35" s="17" t="s">
        <v>141</v>
      </c>
      <c r="AK35" s="1" t="s">
        <v>87</v>
      </c>
    </row>
    <row r="36" spans="8:40" x14ac:dyDescent="0.25">
      <c r="AJ36" s="17" t="s">
        <v>142</v>
      </c>
      <c r="AK36" s="1" t="s">
        <v>88</v>
      </c>
    </row>
    <row r="37" spans="8:40" x14ac:dyDescent="0.25">
      <c r="AJ37" s="17" t="s">
        <v>143</v>
      </c>
      <c r="AK37" s="1" t="s">
        <v>89</v>
      </c>
    </row>
    <row r="38" spans="8:40" x14ac:dyDescent="0.25">
      <c r="AJ38" s="17" t="s">
        <v>144</v>
      </c>
      <c r="AK38" s="1" t="s">
        <v>90</v>
      </c>
    </row>
    <row r="39" spans="8:40" x14ac:dyDescent="0.25">
      <c r="AJ39" s="17" t="s">
        <v>145</v>
      </c>
      <c r="AK39" s="1" t="s">
        <v>91</v>
      </c>
    </row>
    <row r="40" spans="8:40" x14ac:dyDescent="0.25">
      <c r="AJ40" s="17" t="s">
        <v>146</v>
      </c>
      <c r="AK40" s="1" t="s">
        <v>92</v>
      </c>
    </row>
    <row r="41" spans="8:40" x14ac:dyDescent="0.25">
      <c r="AJ41" s="17" t="s">
        <v>147</v>
      </c>
      <c r="AK41" s="1" t="s">
        <v>93</v>
      </c>
    </row>
    <row r="42" spans="8:40" x14ac:dyDescent="0.25">
      <c r="AJ42" s="17" t="s">
        <v>148</v>
      </c>
      <c r="AK42" s="1" t="s">
        <v>94</v>
      </c>
    </row>
    <row r="43" spans="8:40" x14ac:dyDescent="0.25">
      <c r="AJ43" s="17" t="s">
        <v>149</v>
      </c>
      <c r="AK43" s="1" t="s">
        <v>95</v>
      </c>
    </row>
    <row r="44" spans="8:40" x14ac:dyDescent="0.25">
      <c r="AJ44" s="17" t="s">
        <v>150</v>
      </c>
      <c r="AK44" s="1" t="s">
        <v>96</v>
      </c>
    </row>
    <row r="45" spans="8:40" x14ac:dyDescent="0.25">
      <c r="AJ45" s="17" t="s">
        <v>151</v>
      </c>
      <c r="AK45" s="1" t="s">
        <v>97</v>
      </c>
    </row>
    <row r="46" spans="8:40" x14ac:dyDescent="0.25">
      <c r="AJ46" s="17" t="s">
        <v>152</v>
      </c>
      <c r="AK46" s="1" t="s">
        <v>98</v>
      </c>
    </row>
    <row r="47" spans="8:40" x14ac:dyDescent="0.25">
      <c r="AJ47" s="17" t="s">
        <v>153</v>
      </c>
      <c r="AK47" s="1" t="s">
        <v>99</v>
      </c>
    </row>
    <row r="48" spans="8:40" x14ac:dyDescent="0.25">
      <c r="AJ48" s="17" t="s">
        <v>154</v>
      </c>
      <c r="AK48" s="1" t="s">
        <v>100</v>
      </c>
    </row>
    <row r="49" spans="36:37" x14ac:dyDescent="0.25">
      <c r="AJ49" s="17" t="s">
        <v>155</v>
      </c>
      <c r="AK49" s="1" t="s">
        <v>40</v>
      </c>
    </row>
    <row r="50" spans="36:37" x14ac:dyDescent="0.25">
      <c r="AJ50" s="17" t="s">
        <v>156</v>
      </c>
      <c r="AK50" s="1" t="s">
        <v>101</v>
      </c>
    </row>
    <row r="51" spans="36:37" x14ac:dyDescent="0.25">
      <c r="AJ51" s="17" t="s">
        <v>157</v>
      </c>
      <c r="AK51" s="1" t="s">
        <v>102</v>
      </c>
    </row>
    <row r="52" spans="36:37" x14ac:dyDescent="0.25">
      <c r="AJ52" s="17" t="s">
        <v>158</v>
      </c>
      <c r="AK52" s="1" t="s">
        <v>103</v>
      </c>
    </row>
    <row r="53" spans="36:37" x14ac:dyDescent="0.25">
      <c r="AJ53" s="17" t="s">
        <v>159</v>
      </c>
      <c r="AK53" s="1" t="s">
        <v>104</v>
      </c>
    </row>
    <row r="54" spans="36:37" x14ac:dyDescent="0.25">
      <c r="AJ54" s="17" t="s">
        <v>160</v>
      </c>
      <c r="AK54" s="1" t="s">
        <v>105</v>
      </c>
    </row>
    <row r="55" spans="36:37" x14ac:dyDescent="0.25">
      <c r="AJ55" s="17" t="s">
        <v>161</v>
      </c>
      <c r="AK55" s="1" t="s">
        <v>106</v>
      </c>
    </row>
    <row r="56" spans="36:37" x14ac:dyDescent="0.25">
      <c r="AJ56" s="17" t="s">
        <v>162</v>
      </c>
      <c r="AK56" s="1" t="s">
        <v>107</v>
      </c>
    </row>
    <row r="57" spans="36:37" x14ac:dyDescent="0.25">
      <c r="AJ57" s="17" t="s">
        <v>163</v>
      </c>
      <c r="AK57" s="1" t="s">
        <v>108</v>
      </c>
    </row>
    <row r="58" spans="36:37" x14ac:dyDescent="0.25">
      <c r="AJ58" s="17" t="s">
        <v>164</v>
      </c>
      <c r="AK58" s="1" t="s">
        <v>109</v>
      </c>
    </row>
    <row r="59" spans="36:37" x14ac:dyDescent="0.25">
      <c r="AJ59" s="17" t="s">
        <v>165</v>
      </c>
      <c r="AK59" s="1" t="s">
        <v>110</v>
      </c>
    </row>
    <row r="60" spans="36:37" x14ac:dyDescent="0.25">
      <c r="AJ60" s="17" t="s">
        <v>166</v>
      </c>
      <c r="AK60" s="1" t="s">
        <v>111</v>
      </c>
    </row>
    <row r="61" spans="36:37" x14ac:dyDescent="0.25">
      <c r="AJ61" s="17" t="s">
        <v>167</v>
      </c>
      <c r="AK61" s="1" t="s">
        <v>112</v>
      </c>
    </row>
    <row r="62" spans="36:37" x14ac:dyDescent="0.25">
      <c r="AJ62" s="17" t="s">
        <v>168</v>
      </c>
      <c r="AK62" s="1" t="s">
        <v>113</v>
      </c>
    </row>
    <row r="63" spans="36:37" x14ac:dyDescent="0.25">
      <c r="AJ63" s="17" t="s">
        <v>169</v>
      </c>
      <c r="AK63" s="1" t="s">
        <v>114</v>
      </c>
    </row>
    <row r="64" spans="36:37" x14ac:dyDescent="0.25">
      <c r="AJ64" s="17" t="s">
        <v>170</v>
      </c>
      <c r="AK64" s="1" t="s">
        <v>115</v>
      </c>
    </row>
    <row r="65" spans="36:37" x14ac:dyDescent="0.25">
      <c r="AJ65" s="17" t="s">
        <v>171</v>
      </c>
      <c r="AK65" s="1" t="s">
        <v>116</v>
      </c>
    </row>
    <row r="66" spans="36:37" x14ac:dyDescent="0.25">
      <c r="AJ66" s="17" t="s">
        <v>172</v>
      </c>
      <c r="AK66" s="1" t="s">
        <v>117</v>
      </c>
    </row>
  </sheetData>
  <hyperlinks>
    <hyperlink ref="AF6" r:id="rId1"/>
  </hyperlinks>
  <pageMargins left="0.511811024" right="0.511811024" top="0.78740157499999996" bottom="0.78740157499999996" header="0.31496062000000002" footer="0.31496062000000002"/>
  <pageSetup paperSize="9" orientation="portrait" verticalDpi="0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K29"/>
  <sheetViews>
    <sheetView workbookViewId="0">
      <selection activeCell="A3" sqref="A3:A29"/>
    </sheetView>
  </sheetViews>
  <sheetFormatPr defaultRowHeight="15" x14ac:dyDescent="0.25"/>
  <sheetData>
    <row r="1" spans="1:11" ht="15.75" thickBot="1" x14ac:dyDescent="0.3">
      <c r="D1" s="31" t="s">
        <v>186</v>
      </c>
      <c r="E1" s="31"/>
      <c r="G1" s="31" t="s">
        <v>187</v>
      </c>
      <c r="H1" s="31"/>
      <c r="J1" s="31" t="s">
        <v>188</v>
      </c>
      <c r="K1" s="31"/>
    </row>
    <row r="2" spans="1:11" ht="15.75" thickBot="1" x14ac:dyDescent="0.3">
      <c r="A2" s="20" t="s">
        <v>189</v>
      </c>
      <c r="B2" s="21" t="s">
        <v>190</v>
      </c>
      <c r="D2" s="20" t="s">
        <v>189</v>
      </c>
      <c r="E2" s="21" t="s">
        <v>190</v>
      </c>
      <c r="G2" s="20" t="s">
        <v>189</v>
      </c>
      <c r="H2" s="21" t="s">
        <v>190</v>
      </c>
      <c r="J2" s="20" t="s">
        <v>189</v>
      </c>
      <c r="K2" s="21" t="s">
        <v>190</v>
      </c>
    </row>
    <row r="3" spans="1:11" ht="15.75" thickBot="1" x14ac:dyDescent="0.3">
      <c r="A3" s="22" t="s">
        <v>191</v>
      </c>
      <c r="B3" s="23" t="s">
        <v>192</v>
      </c>
      <c r="D3" s="22" t="s">
        <v>193</v>
      </c>
      <c r="E3" s="23" t="s">
        <v>194</v>
      </c>
      <c r="G3" s="22" t="s">
        <v>119</v>
      </c>
      <c r="H3" s="23" t="s">
        <v>194</v>
      </c>
      <c r="J3" s="22" t="s">
        <v>119</v>
      </c>
      <c r="K3" s="23" t="s">
        <v>194</v>
      </c>
    </row>
    <row r="4" spans="1:11" ht="15.75" thickBot="1" x14ac:dyDescent="0.3">
      <c r="A4" s="22" t="s">
        <v>119</v>
      </c>
      <c r="B4" s="23" t="s">
        <v>194</v>
      </c>
      <c r="D4" s="22" t="s">
        <v>195</v>
      </c>
      <c r="E4" s="23" t="s">
        <v>194</v>
      </c>
      <c r="G4" s="22" t="s">
        <v>196</v>
      </c>
      <c r="H4" s="23" t="s">
        <v>194</v>
      </c>
      <c r="J4" s="22" t="s">
        <v>196</v>
      </c>
      <c r="K4" s="23" t="s">
        <v>194</v>
      </c>
    </row>
    <row r="5" spans="1:11" ht="15.75" thickBot="1" x14ac:dyDescent="0.3">
      <c r="A5" s="22" t="s">
        <v>196</v>
      </c>
      <c r="B5" s="23" t="s">
        <v>194</v>
      </c>
      <c r="D5" s="22" t="s">
        <v>197</v>
      </c>
      <c r="E5" s="23" t="s">
        <v>192</v>
      </c>
      <c r="G5" s="22" t="s">
        <v>198</v>
      </c>
      <c r="H5" s="23" t="s">
        <v>194</v>
      </c>
      <c r="J5" s="22" t="s">
        <v>198</v>
      </c>
      <c r="K5" s="23" t="s">
        <v>194</v>
      </c>
    </row>
    <row r="6" spans="1:11" ht="15.75" thickBot="1" x14ac:dyDescent="0.3">
      <c r="A6" s="22" t="s">
        <v>198</v>
      </c>
      <c r="B6" s="23" t="s">
        <v>194</v>
      </c>
      <c r="G6" s="22" t="s">
        <v>199</v>
      </c>
      <c r="H6" s="23" t="s">
        <v>194</v>
      </c>
      <c r="J6" s="22" t="s">
        <v>199</v>
      </c>
      <c r="K6" s="23" t="s">
        <v>194</v>
      </c>
    </row>
    <row r="7" spans="1:11" ht="15.75" thickBot="1" x14ac:dyDescent="0.3">
      <c r="A7" s="22" t="s">
        <v>199</v>
      </c>
      <c r="B7" s="23" t="s">
        <v>194</v>
      </c>
      <c r="G7" s="22" t="s">
        <v>137</v>
      </c>
      <c r="H7" s="23" t="s">
        <v>194</v>
      </c>
      <c r="J7" s="22" t="s">
        <v>137</v>
      </c>
      <c r="K7" s="23" t="s">
        <v>194</v>
      </c>
    </row>
    <row r="8" spans="1:11" ht="15.75" thickBot="1" x14ac:dyDescent="0.3">
      <c r="A8" s="22" t="s">
        <v>137</v>
      </c>
      <c r="B8" s="23" t="s">
        <v>194</v>
      </c>
      <c r="G8" s="22" t="s">
        <v>161</v>
      </c>
      <c r="H8" s="23" t="s">
        <v>194</v>
      </c>
      <c r="J8" s="22" t="s">
        <v>161</v>
      </c>
      <c r="K8" s="23" t="s">
        <v>194</v>
      </c>
    </row>
    <row r="9" spans="1:11" ht="15.75" thickBot="1" x14ac:dyDescent="0.3">
      <c r="A9" s="22" t="s">
        <v>200</v>
      </c>
      <c r="B9" s="23" t="s">
        <v>192</v>
      </c>
      <c r="G9" s="22" t="s">
        <v>201</v>
      </c>
      <c r="H9" s="23" t="s">
        <v>194</v>
      </c>
      <c r="J9" s="22" t="s">
        <v>201</v>
      </c>
      <c r="K9" s="23" t="s">
        <v>194</v>
      </c>
    </row>
    <row r="10" spans="1:11" ht="15.75" thickBot="1" x14ac:dyDescent="0.3">
      <c r="A10" s="22" t="s">
        <v>161</v>
      </c>
      <c r="B10" s="23" t="s">
        <v>194</v>
      </c>
      <c r="G10" s="22" t="s">
        <v>193</v>
      </c>
      <c r="H10" s="23" t="s">
        <v>194</v>
      </c>
      <c r="J10" s="22" t="s">
        <v>193</v>
      </c>
      <c r="K10" s="23" t="s">
        <v>194</v>
      </c>
    </row>
    <row r="11" spans="1:11" ht="15.75" thickBot="1" x14ac:dyDescent="0.3">
      <c r="A11" s="22" t="s">
        <v>202</v>
      </c>
      <c r="B11" s="23" t="s">
        <v>192</v>
      </c>
      <c r="G11" s="22" t="s">
        <v>203</v>
      </c>
      <c r="H11" s="23" t="s">
        <v>194</v>
      </c>
      <c r="J11" s="22" t="s">
        <v>203</v>
      </c>
      <c r="K11" s="23" t="s">
        <v>194</v>
      </c>
    </row>
    <row r="12" spans="1:11" ht="15.75" thickBot="1" x14ac:dyDescent="0.3">
      <c r="A12" s="22" t="s">
        <v>201</v>
      </c>
      <c r="B12" s="23" t="s">
        <v>194</v>
      </c>
      <c r="G12" s="22" t="s">
        <v>204</v>
      </c>
      <c r="H12" s="23" t="s">
        <v>194</v>
      </c>
      <c r="J12" s="22" t="s">
        <v>204</v>
      </c>
      <c r="K12" s="23" t="s">
        <v>194</v>
      </c>
    </row>
    <row r="13" spans="1:11" ht="15.75" thickBot="1" x14ac:dyDescent="0.3">
      <c r="A13" s="22" t="s">
        <v>205</v>
      </c>
      <c r="B13" s="23" t="s">
        <v>192</v>
      </c>
      <c r="G13" s="22" t="s">
        <v>206</v>
      </c>
      <c r="H13" s="23" t="s">
        <v>194</v>
      </c>
      <c r="J13" s="22" t="s">
        <v>206</v>
      </c>
      <c r="K13" s="23" t="s">
        <v>194</v>
      </c>
    </row>
    <row r="14" spans="1:11" ht="15.75" thickBot="1" x14ac:dyDescent="0.3">
      <c r="A14" s="22" t="s">
        <v>207</v>
      </c>
      <c r="B14" s="23" t="s">
        <v>192</v>
      </c>
      <c r="G14" s="22" t="s">
        <v>208</v>
      </c>
      <c r="H14" s="23" t="s">
        <v>194</v>
      </c>
      <c r="J14" s="22" t="s">
        <v>208</v>
      </c>
      <c r="K14" s="23" t="s">
        <v>194</v>
      </c>
    </row>
    <row r="15" spans="1:11" ht="15.75" thickBot="1" x14ac:dyDescent="0.3">
      <c r="A15" s="22" t="s">
        <v>193</v>
      </c>
      <c r="B15" s="23" t="s">
        <v>194</v>
      </c>
      <c r="G15" s="22" t="s">
        <v>195</v>
      </c>
      <c r="H15" s="23" t="s">
        <v>194</v>
      </c>
      <c r="J15" s="22" t="s">
        <v>195</v>
      </c>
      <c r="K15" s="23" t="s">
        <v>194</v>
      </c>
    </row>
    <row r="16" spans="1:11" ht="15.75" thickBot="1" x14ac:dyDescent="0.3">
      <c r="A16" s="22" t="s">
        <v>203</v>
      </c>
      <c r="B16" s="23" t="s">
        <v>194</v>
      </c>
      <c r="G16" s="22" t="s">
        <v>209</v>
      </c>
      <c r="H16" s="23" t="s">
        <v>194</v>
      </c>
      <c r="J16" s="22" t="s">
        <v>209</v>
      </c>
      <c r="K16" s="23" t="s">
        <v>194</v>
      </c>
    </row>
    <row r="17" spans="1:11" ht="15.75" thickBot="1" x14ac:dyDescent="0.3">
      <c r="A17" s="22" t="s">
        <v>204</v>
      </c>
      <c r="B17" s="23" t="s">
        <v>194</v>
      </c>
      <c r="G17" s="22" t="s">
        <v>210</v>
      </c>
      <c r="H17" s="23" t="s">
        <v>194</v>
      </c>
      <c r="J17" s="22" t="s">
        <v>210</v>
      </c>
      <c r="K17" s="23" t="s">
        <v>194</v>
      </c>
    </row>
    <row r="18" spans="1:11" ht="15.75" thickBot="1" x14ac:dyDescent="0.3">
      <c r="A18" s="22" t="s">
        <v>211</v>
      </c>
      <c r="B18" s="23" t="s">
        <v>192</v>
      </c>
      <c r="G18" s="22" t="s">
        <v>212</v>
      </c>
      <c r="H18" s="23" t="s">
        <v>194</v>
      </c>
      <c r="J18" s="22" t="s">
        <v>212</v>
      </c>
      <c r="K18" s="23" t="s">
        <v>194</v>
      </c>
    </row>
    <row r="19" spans="1:11" ht="15.75" thickBot="1" x14ac:dyDescent="0.3">
      <c r="A19" s="22" t="s">
        <v>206</v>
      </c>
      <c r="B19" s="23" t="s">
        <v>194</v>
      </c>
      <c r="G19" s="22" t="s">
        <v>211</v>
      </c>
      <c r="H19" s="23" t="s">
        <v>192</v>
      </c>
      <c r="J19" s="22" t="s">
        <v>211</v>
      </c>
      <c r="K19" s="23" t="s">
        <v>192</v>
      </c>
    </row>
    <row r="20" spans="1:11" ht="15.75" thickBot="1" x14ac:dyDescent="0.3">
      <c r="A20" s="22" t="s">
        <v>208</v>
      </c>
      <c r="B20" s="23" t="s">
        <v>194</v>
      </c>
      <c r="J20" s="22" t="s">
        <v>213</v>
      </c>
      <c r="K20" s="23" t="s">
        <v>192</v>
      </c>
    </row>
    <row r="21" spans="1:11" ht="15.75" thickBot="1" x14ac:dyDescent="0.3">
      <c r="A21" s="22" t="s">
        <v>195</v>
      </c>
      <c r="B21" s="23" t="s">
        <v>194</v>
      </c>
    </row>
    <row r="22" spans="1:11" ht="15.75" thickBot="1" x14ac:dyDescent="0.3">
      <c r="A22" s="22" t="s">
        <v>209</v>
      </c>
      <c r="B22" s="23" t="s">
        <v>194</v>
      </c>
    </row>
    <row r="23" spans="1:11" ht="15.75" thickBot="1" x14ac:dyDescent="0.3">
      <c r="A23" s="22" t="s">
        <v>213</v>
      </c>
      <c r="B23" s="23" t="s">
        <v>192</v>
      </c>
    </row>
    <row r="24" spans="1:11" ht="15.75" thickBot="1" x14ac:dyDescent="0.3">
      <c r="A24" s="22" t="s">
        <v>214</v>
      </c>
      <c r="B24" s="23" t="s">
        <v>192</v>
      </c>
    </row>
    <row r="25" spans="1:11" ht="15.75" thickBot="1" x14ac:dyDescent="0.3">
      <c r="A25" s="22" t="s">
        <v>210</v>
      </c>
      <c r="B25" s="23" t="s">
        <v>194</v>
      </c>
    </row>
    <row r="26" spans="1:11" ht="15.75" thickBot="1" x14ac:dyDescent="0.3">
      <c r="A26" s="22" t="s">
        <v>197</v>
      </c>
      <c r="B26" s="23" t="s">
        <v>192</v>
      </c>
    </row>
    <row r="27" spans="1:11" ht="15.75" thickBot="1" x14ac:dyDescent="0.3">
      <c r="A27" s="22" t="s">
        <v>215</v>
      </c>
      <c r="B27" s="23" t="s">
        <v>216</v>
      </c>
    </row>
    <row r="28" spans="1:11" ht="15.75" thickBot="1" x14ac:dyDescent="0.3">
      <c r="A28" s="22" t="s">
        <v>212</v>
      </c>
      <c r="B28" s="23" t="s">
        <v>194</v>
      </c>
    </row>
    <row r="29" spans="1:11" ht="15.75" thickBot="1" x14ac:dyDescent="0.3">
      <c r="A29" s="22" t="s">
        <v>217</v>
      </c>
      <c r="B29" s="23" t="s">
        <v>192</v>
      </c>
    </row>
  </sheetData>
  <mergeCells count="3">
    <mergeCell ref="D1:E1"/>
    <mergeCell ref="G1:H1"/>
    <mergeCell ref="J1:K1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Plan1</vt:lpstr>
      <vt:lpstr>Plan2</vt:lpstr>
    </vt:vector>
  </TitlesOfParts>
  <Company>OI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Beth Arley Rodrigues De Araujo</dc:creator>
  <cp:lastModifiedBy>Thiago Cesar Oliveira</cp:lastModifiedBy>
  <dcterms:created xsi:type="dcterms:W3CDTF">2021-08-31T17:57:50Z</dcterms:created>
  <dcterms:modified xsi:type="dcterms:W3CDTF">2022-01-12T18:30:46Z</dcterms:modified>
</cp:coreProperties>
</file>