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\\naspc31\bo_oct$\02_Staff\BO_MACRO\07_Portal_BI_AGs\"/>
    </mc:Choice>
  </mc:AlternateContent>
  <bookViews>
    <workbookView xWindow="0" yWindow="0" windowWidth="28800" windowHeight="12435" firstSheet="1" activeTab="1"/>
  </bookViews>
  <sheets>
    <sheet name="Plan1" sheetId="1" state="hidden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2" l="1"/>
  <c r="W4" i="2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C3" i="1" l="1"/>
  <c r="X1" i="1" l="1"/>
  <c r="J4" i="2" l="1"/>
  <c r="W6" i="2"/>
  <c r="A10" i="1" l="1"/>
  <c r="W3" i="1" l="1"/>
  <c r="W7" i="1"/>
  <c r="W11" i="1"/>
  <c r="W15" i="1"/>
  <c r="W4" i="1"/>
  <c r="W8" i="1"/>
  <c r="W12" i="1"/>
  <c r="W16" i="1"/>
  <c r="W5" i="1"/>
  <c r="W9" i="1"/>
  <c r="W13" i="1"/>
  <c r="W17" i="1"/>
  <c r="W6" i="1"/>
  <c r="W10" i="1"/>
  <c r="W14" i="1"/>
  <c r="AL2" i="1"/>
  <c r="T5" i="1" l="1"/>
  <c r="T4" i="1" l="1"/>
  <c r="T3" i="1"/>
  <c r="AH2" i="1" l="1"/>
  <c r="AG4" i="1"/>
  <c r="AG3" i="1"/>
  <c r="AI2" i="1"/>
  <c r="AG2" i="1"/>
  <c r="N6" i="1" l="1"/>
  <c r="A6" i="1"/>
  <c r="W2" i="1" l="1"/>
  <c r="D3" i="1" l="1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V1" authorId="0" shapeId="0">
      <text>
        <r>
          <rPr>
            <b/>
            <sz val="9"/>
            <color indexed="81"/>
            <rFont val="Segoe UI"/>
            <family val="2"/>
          </rPr>
          <t>BethArley: Não pode ter Codigo Ags duplicados nessa coluna</t>
        </r>
      </text>
    </comment>
  </commentList>
</comments>
</file>

<file path=xl/sharedStrings.xml><?xml version="1.0" encoding="utf-8"?>
<sst xmlns="http://schemas.openxmlformats.org/spreadsheetml/2006/main" count="246" uniqueCount="149">
  <si>
    <t>AG</t>
  </si>
  <si>
    <t>COLs ARQUIVO (PORTAL BI)</t>
  </si>
  <si>
    <t>NOME COLs MAILING SISWEB</t>
  </si>
  <si>
    <t>ORDEM</t>
  </si>
  <si>
    <t>DATA_REFERENCIA</t>
  </si>
  <si>
    <t>DATA</t>
  </si>
  <si>
    <t>STATUS</t>
  </si>
  <si>
    <t>GER</t>
  </si>
  <si>
    <t>COD_STATUS</t>
  </si>
  <si>
    <t>IND_ABT_FEC</t>
  </si>
  <si>
    <t>GEOGRAFIA</t>
  </si>
  <si>
    <t>matric_exec</t>
  </si>
  <si>
    <t>SIGLA_UF</t>
  </si>
  <si>
    <t>matric_irla</t>
  </si>
  <si>
    <t>SIGLA_GAA</t>
  </si>
  <si>
    <t>matric_userid_exec</t>
  </si>
  <si>
    <t>SIGLA_GRAM</t>
  </si>
  <si>
    <t>GRAM</t>
  </si>
  <si>
    <t>SIGLA_GRA</t>
  </si>
  <si>
    <t>GRA</t>
  </si>
  <si>
    <t>ESTACAO</t>
  </si>
  <si>
    <t>EST</t>
  </si>
  <si>
    <t>DDD</t>
  </si>
  <si>
    <t>aprazada</t>
  </si>
  <si>
    <t>NUMERO_TERMINAL</t>
  </si>
  <si>
    <t>TERMINAL</t>
  </si>
  <si>
    <t>REGISTRO</t>
  </si>
  <si>
    <t>NUM_DOCUMENTO</t>
  </si>
  <si>
    <t>DATA_ABERTURA</t>
  </si>
  <si>
    <t>HORA_ABERTURA</t>
  </si>
  <si>
    <t>PRAZO</t>
  </si>
  <si>
    <t>consumo_FE</t>
  </si>
  <si>
    <t>DATA_FECHAMENTO</t>
  </si>
  <si>
    <t>HORA_FECHAMENTO</t>
  </si>
  <si>
    <t>DATA_PROMESSA</t>
  </si>
  <si>
    <t>HORA_PROMESSA</t>
  </si>
  <si>
    <t>prioridade</t>
  </si>
  <si>
    <t>MATRICULA_ATENDENTE</t>
  </si>
  <si>
    <t>MATRICULA_ATENDETE</t>
  </si>
  <si>
    <t>CODIGO_INSAPOIO</t>
  </si>
  <si>
    <t>COD_INSAPOIO</t>
  </si>
  <si>
    <t>DESCRICAO_INSAPOIO</t>
  </si>
  <si>
    <t>categ</t>
  </si>
  <si>
    <t>LOCALIDADES</t>
  </si>
  <si>
    <t>TIPO_TERM</t>
  </si>
  <si>
    <t>UNIDADE_NEGOCIO</t>
  </si>
  <si>
    <t>SOLICITANTE</t>
  </si>
  <si>
    <t>DESCRICAO_RELACIONAMENTO</t>
  </si>
  <si>
    <t>COD_RELAC</t>
  </si>
  <si>
    <t>NRC_CLIENTE</t>
  </si>
  <si>
    <t>OBS</t>
  </si>
  <si>
    <t>CPF_CLIENTE</t>
  </si>
  <si>
    <t>cpf_cgc</t>
  </si>
  <si>
    <t>CAMPO_OBSERVACAO</t>
  </si>
  <si>
    <t>DESCRICAO_SERVICO</t>
  </si>
  <si>
    <t>COD_LOCALIDADE</t>
  </si>
  <si>
    <t>SM</t>
  </si>
  <si>
    <t>Mailings Extração</t>
  </si>
  <si>
    <t>Locais de Rede</t>
  </si>
  <si>
    <t>AGs PORTAL BI.xlsx</t>
  </si>
  <si>
    <t>Arquivo Colunas Ordenadas</t>
  </si>
  <si>
    <t>BaseOriginal</t>
  </si>
  <si>
    <t>BaseAjustada</t>
  </si>
  <si>
    <t>AGs PORTAL BI Ordenada.xlsx</t>
  </si>
  <si>
    <t>localAgOriginal</t>
  </si>
  <si>
    <t>localAgOrdenado</t>
  </si>
  <si>
    <t>&gt;</t>
  </si>
  <si>
    <t>&lt;</t>
  </si>
  <si>
    <t>&gt;=</t>
  </si>
  <si>
    <t>&lt;=</t>
  </si>
  <si>
    <t>=</t>
  </si>
  <si>
    <t>CRITÉRIO</t>
  </si>
  <si>
    <t>&lt;&gt;</t>
  </si>
  <si>
    <t>Qnt</t>
  </si>
  <si>
    <t>LISTA DE CRITÉRIOS</t>
  </si>
  <si>
    <t>Maior</t>
  </si>
  <si>
    <t>Menor</t>
  </si>
  <si>
    <t>Maior ou igual</t>
  </si>
  <si>
    <t>Menor ou igual</t>
  </si>
  <si>
    <t>Igual</t>
  </si>
  <si>
    <t>Diferente</t>
  </si>
  <si>
    <t>MAILING SEPERADOS por COD. INSAPOIO</t>
  </si>
  <si>
    <t>DATA DE HOJE</t>
  </si>
  <si>
    <t>Backup</t>
  </si>
  <si>
    <t>LocalBackup</t>
  </si>
  <si>
    <t>Pasta de Backup</t>
  </si>
  <si>
    <t>Meses Ano</t>
  </si>
  <si>
    <t>Data Atual</t>
  </si>
  <si>
    <t>Mês</t>
  </si>
  <si>
    <t>HOJE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</si>
  <si>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</si>
  <si>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</si>
  <si>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</si>
  <si>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</si>
  <si>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</si>
  <si>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</si>
  <si>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</si>
  <si>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</si>
  <si>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</si>
  <si>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</si>
  <si>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</si>
  <si>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</si>
  <si>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FORMATO SAIDA</t>
  </si>
  <si>
    <t>Quantidade por MAILING Preenchido AUTO</t>
  </si>
  <si>
    <t>URL_REDE</t>
  </si>
  <si>
    <t>DESCONTINUADO</t>
  </si>
  <si>
    <t>.xlsx</t>
  </si>
  <si>
    <t>DE</t>
  </si>
  <si>
    <t>PARA</t>
  </si>
  <si>
    <t>Fila SISWEB</t>
  </si>
  <si>
    <t>EMPRESARIAL</t>
  </si>
  <si>
    <t>BO RETENÇÃO EMPRESARIAL - AG CANCELAMENTO</t>
  </si>
  <si>
    <t>VAREJO/EMPRESARIAL</t>
  </si>
  <si>
    <t>SUN</t>
  </si>
  <si>
    <t>BO RETENÇÃO EMPRESARIAL - AG DOWNGRADE</t>
  </si>
  <si>
    <t>BO RETENÇÃO EMPRESARIAL - AG SERVIÇO</t>
  </si>
  <si>
    <t>Mailings Importação</t>
  </si>
  <si>
    <t>agDown</t>
  </si>
  <si>
    <t>agServ</t>
  </si>
  <si>
    <t>locAg</t>
  </si>
  <si>
    <t>BACKUP</t>
  </si>
  <si>
    <t>\\naspc31\bo_oct$\23-Distribuição\BO EMPRESARIAL\</t>
  </si>
  <si>
    <t>Feriados</t>
  </si>
  <si>
    <t>Fila Resumida</t>
  </si>
  <si>
    <t>AG CANCELAMENTO</t>
  </si>
  <si>
    <t>AG DOWNGRADE</t>
  </si>
  <si>
    <t>AG SERVICO</t>
  </si>
  <si>
    <t>Concatenado</t>
  </si>
  <si>
    <t>AG Empresarial - Portal BI - Filas</t>
  </si>
  <si>
    <t>AUXILIAR</t>
  </si>
  <si>
    <t>Auxiliar.xlsx</t>
  </si>
  <si>
    <t>3 dias</t>
  </si>
  <si>
    <t>0 dias</t>
  </si>
  <si>
    <t>Espera ?</t>
  </si>
  <si>
    <t>ABERTA</t>
  </si>
  <si>
    <t>Variaveis VBA</t>
  </si>
  <si>
    <t>agCancel</t>
  </si>
  <si>
    <t>BO UNIFICADO R1 - AGs Externos_21062021</t>
  </si>
  <si>
    <t>BO UNIFICADO R1 - AGs Internos_21062021</t>
  </si>
  <si>
    <t>3o Nível - AG08_21062021</t>
  </si>
  <si>
    <t>Contestacao_Inviabilidade de Velox_AG_21062021</t>
  </si>
  <si>
    <t>INSAPOIO 17 SVA_21062021</t>
  </si>
  <si>
    <t>AG_103_21062021</t>
  </si>
  <si>
    <t>AG_12_21062021</t>
  </si>
  <si>
    <t>Não esquecer de Enriquecer</t>
  </si>
  <si>
    <t xml:space="preserve">A base dessa Extração é igual a extração que é feito no </t>
  </si>
  <si>
    <t>BO Residencial Unificado pela DARLEN</t>
  </si>
  <si>
    <t>BASE_AGs_PORTAL_BI.xlsx</t>
  </si>
  <si>
    <t>&gt;=01/01/2019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</si>
</sst>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1" fontId="1" fillId="0" borderId="6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" fontId="2" fillId="0" borderId="8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1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1" fontId="2" fillId="0" borderId="11" xfId="0" applyNumberFormat="1" applyFont="1" applyBorder="1" applyAlignment="1">
      <alignment horizontal="right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4" fontId="12" fillId="4" borderId="11" xfId="0" applyNumberFormat="1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0" fillId="0" borderId="3" xfId="0" applyBorder="1"/>
    <xf numFmtId="0" fontId="0" fillId="2" borderId="3" xfId="0" applyFill="1" applyBorder="1"/>
    <xf numFmtId="0" fontId="11" fillId="6" borderId="16" xfId="0" applyFont="1" applyFill="1" applyBorder="1" applyAlignment="1">
      <alignment horizontal="center" vertical="center"/>
    </xf>
    <xf numFmtId="1" fontId="9" fillId="6" borderId="17" xfId="0" applyNumberFormat="1" applyFont="1" applyFill="1" applyBorder="1" applyAlignment="1">
      <alignment vertical="center"/>
    </xf>
    <xf numFmtId="0" fontId="11" fillId="6" borderId="18" xfId="0" applyFont="1" applyFill="1" applyBorder="1" applyAlignment="1">
      <alignment horizontal="center" vertical="center"/>
    </xf>
    <xf numFmtId="1" fontId="9" fillId="6" borderId="19" xfId="0" applyNumberFormat="1" applyFont="1" applyFill="1" applyBorder="1" applyAlignment="1">
      <alignment vertical="center"/>
    </xf>
    <xf numFmtId="0" fontId="11" fillId="7" borderId="18" xfId="0" applyFont="1" applyFill="1" applyBorder="1" applyAlignment="1">
      <alignment horizontal="center" vertical="center"/>
    </xf>
    <xf numFmtId="1" fontId="9" fillId="7" borderId="19" xfId="0" applyNumberFormat="1" applyFont="1" applyFill="1" applyBorder="1" applyAlignment="1">
      <alignment vertical="center"/>
    </xf>
    <xf numFmtId="0" fontId="8" fillId="5" borderId="2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4" fontId="0" fillId="0" borderId="0" xfId="0" applyNumberFormat="1"/>
    <xf numFmtId="1" fontId="0" fillId="0" borderId="23" xfId="0" applyNumberFormat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7" fillId="2" borderId="0" xfId="0" applyFont="1" applyFill="1" applyBorder="1"/>
    <xf numFmtId="0" fontId="3" fillId="2" borderId="0" xfId="0" applyFont="1" applyFill="1" applyBorder="1" applyAlignment="1">
      <alignment vertical="center"/>
    </xf>
    <xf numFmtId="0" fontId="0" fillId="2" borderId="0" xfId="0" applyFill="1" applyBorder="1"/>
    <xf numFmtId="0" fontId="3" fillId="3" borderId="1" xfId="0" applyFont="1" applyFill="1" applyBorder="1" applyAlignment="1">
      <alignment horizontal="center" vertical="center"/>
    </xf>
    <xf numFmtId="0" fontId="18" fillId="0" borderId="0" xfId="0" applyFont="1"/>
    <xf numFmtId="0" fontId="3" fillId="3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left" vertical="center"/>
    </xf>
    <xf numFmtId="1" fontId="4" fillId="0" borderId="2" xfId="0" applyNumberFormat="1" applyFont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7" borderId="2" xfId="0" applyFont="1" applyFill="1" applyBorder="1" applyAlignment="1">
      <alignment horizontal="left" vertical="center"/>
    </xf>
    <xf numFmtId="0" fontId="3" fillId="8" borderId="2" xfId="0" applyFont="1" applyFill="1" applyBorder="1" applyAlignment="1">
      <alignment horizontal="left" vertical="center"/>
    </xf>
    <xf numFmtId="0" fontId="4" fillId="8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20" fillId="2" borderId="28" xfId="0" applyFont="1" applyFill="1" applyBorder="1"/>
    <xf numFmtId="0" fontId="20" fillId="2" borderId="27" xfId="0" applyFont="1" applyFill="1" applyBorder="1"/>
    <xf numFmtId="0" fontId="20" fillId="2" borderId="29" xfId="0" applyFont="1" applyFill="1" applyBorder="1"/>
    <xf numFmtId="0" fontId="17" fillId="0" borderId="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 textRotation="180"/>
    </xf>
    <xf numFmtId="0" fontId="10" fillId="5" borderId="14" xfId="0" applyFont="1" applyFill="1" applyBorder="1" applyAlignment="1">
      <alignment horizontal="center" vertical="center" textRotation="180"/>
    </xf>
    <xf numFmtId="0" fontId="10" fillId="5" borderId="15" xfId="0" applyFont="1" applyFill="1" applyBorder="1" applyAlignment="1">
      <alignment horizontal="center" vertical="center" textRotation="180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392205</xdr:colOff>
      <xdr:row>0</xdr:row>
      <xdr:rowOff>174811</xdr:rowOff>
    </xdr:from>
    <xdr:to>
      <xdr:col>3</xdr:col>
      <xdr:colOff>1546412</xdr:colOff>
      <xdr:row>4</xdr:row>
      <xdr:rowOff>56028</xdr:rowOff>
    </xdr:to>
    <xdr:sp macro="[0]!GERAR_MAILINGS_AGs" textlink="">
      <xdr:nvSpPr>
        <xdr:cNvPr id="2" name="Retângulo de cantos arredondados 1"/>
        <xdr:cNvSpPr/>
      </xdr:nvSpPr>
      <xdr:spPr>
        <a:xfrm>
          <a:off x="2353234" y="174811"/>
          <a:ext cx="3025590" cy="1013011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Gerar Arquivos</a:t>
          </a:r>
          <a:r>
            <a:rPr lang="pt-BR" sz="2000" b="1" baseline="0">
              <a:solidFill>
                <a:schemeClr val="bg1"/>
              </a:solidFill>
            </a:rPr>
            <a:t> AGs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604363</xdr:colOff>
      <xdr:row>3</xdr:row>
      <xdr:rowOff>15809</xdr:rowOff>
    </xdr:from>
    <xdr:to>
      <xdr:col>5</xdr:col>
      <xdr:colOff>1153451</xdr:colOff>
      <xdr:row>4</xdr:row>
      <xdr:rowOff>150279</xdr:rowOff>
    </xdr:to>
    <xdr:sp macro="[0]!AUMENTARDATA" textlink="">
      <xdr:nvSpPr>
        <xdr:cNvPr id="4" name="Seta para a direita 3"/>
        <xdr:cNvSpPr/>
      </xdr:nvSpPr>
      <xdr:spPr>
        <a:xfrm>
          <a:off x="6824188" y="815909"/>
          <a:ext cx="549088" cy="439270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62753</xdr:colOff>
      <xdr:row>3</xdr:row>
      <xdr:rowOff>29135</xdr:rowOff>
    </xdr:from>
    <xdr:to>
      <xdr:col>5</xdr:col>
      <xdr:colOff>611841</xdr:colOff>
      <xdr:row>4</xdr:row>
      <xdr:rowOff>163605</xdr:rowOff>
    </xdr:to>
    <xdr:sp macro="[0]!DIMINIURDATA" textlink="">
      <xdr:nvSpPr>
        <xdr:cNvPr id="7" name="Seta para a direita 6"/>
        <xdr:cNvSpPr/>
      </xdr:nvSpPr>
      <xdr:spPr>
        <a:xfrm rot="10800000">
          <a:off x="6584577" y="824753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14</xdr:row>
      <xdr:rowOff>9525</xdr:rowOff>
    </xdr:from>
    <xdr:to>
      <xdr:col>2</xdr:col>
      <xdr:colOff>742950</xdr:colOff>
      <xdr:row>18</xdr:row>
      <xdr:rowOff>19050</xdr:rowOff>
    </xdr:to>
    <xdr:sp macro="[0]!AG_Empresarial" textlink="">
      <xdr:nvSpPr>
        <xdr:cNvPr id="2" name="Retângulo de cantos arredondados 1"/>
        <xdr:cNvSpPr/>
      </xdr:nvSpPr>
      <xdr:spPr>
        <a:xfrm>
          <a:off x="361950" y="2676525"/>
          <a:ext cx="1619250" cy="771525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Gerar</a:t>
          </a:r>
          <a:r>
            <a:rPr lang="pt-BR" sz="1400" b="1" baseline="0"/>
            <a:t> AGs Empresarial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L38"/>
  <sheetViews>
    <sheetView showGridLines="0" zoomScale="85" zoomScaleNormal="85" workbookViewId="0"/>
  </sheetViews>
  <sheetFormatPr defaultRowHeight="15" x14ac:dyDescent="0.25"/>
  <cols>
    <col min="1" max="1" width="13.5703125" customWidth="1"/>
    <col min="2" max="2" width="9.85546875" customWidth="1"/>
    <col min="3" max="3" width="28" bestFit="1" customWidth="1"/>
    <col min="4" max="4" width="24.140625" bestFit="1" customWidth="1"/>
    <col min="5" max="5" width="11.7109375" bestFit="1" customWidth="1"/>
    <col min="6" max="6" width="18.28515625" bestFit="1" customWidth="1"/>
    <col min="7" max="7" width="9.140625" customWidth="1"/>
    <col min="8" max="8" width="16.140625" customWidth="1"/>
    <col min="9" max="9" width="8.42578125" customWidth="1"/>
    <col min="10" max="10" width="7.28515625" customWidth="1"/>
    <col min="11" max="11" width="3" style="3" customWidth="1"/>
    <col min="12" max="12" width="3.7109375" style="3" customWidth="1"/>
    <col min="13" max="13" width="15.140625" hidden="1" customWidth="1"/>
    <col min="14" max="14" width="47.42578125" hidden="1" customWidth="1"/>
    <col min="15" max="15" width="9.140625" hidden="1" customWidth="1"/>
    <col min="16" max="16" width="21.140625" hidden="1" customWidth="1"/>
    <col min="17" max="17" width="36.7109375" hidden="1" customWidth="1"/>
    <col min="18" max="18" width="9.140625" hidden="1" customWidth="1"/>
    <col min="19" max="19" width="17" hidden="1" customWidth="1"/>
    <col min="20" max="20" width="79.85546875" hidden="1" customWidth="1"/>
    <col min="21" max="21" width="3" customWidth="1"/>
    <col min="22" max="22" width="11.42578125" customWidth="1"/>
    <col min="23" max="23" width="47.7109375" bestFit="1" customWidth="1"/>
    <col min="24" max="24" width="3" bestFit="1" customWidth="1"/>
    <col min="25" max="25" width="48.42578125" bestFit="1" customWidth="1"/>
    <col min="26" max="26" width="10.28515625" style="3" customWidth="1"/>
    <col min="27" max="27" width="9.140625" style="3"/>
    <col min="28" max="28" width="16.140625" customWidth="1"/>
    <col min="31" max="31" width="13.5703125" bestFit="1" customWidth="1"/>
    <col min="32" max="32" width="14" customWidth="1"/>
    <col min="33" max="33" width="13.140625" customWidth="1"/>
    <col min="34" max="34" width="11" customWidth="1"/>
    <col min="35" max="35" width="13.28515625" customWidth="1"/>
    <col min="36" max="36" width="37.140625" customWidth="1"/>
    <col min="37" max="37" width="16.85546875" bestFit="1" customWidth="1"/>
    <col min="38" max="38" width="30.28515625" bestFit="1" customWidth="1"/>
  </cols>
  <sheetData>
    <row r="1" spans="1:38" ht="15.75" thickBot="1" x14ac:dyDescent="0.3">
      <c r="V1" s="18" t="s">
        <v>0</v>
      </c>
      <c r="W1" s="38" t="s">
        <v>81</v>
      </c>
      <c r="X1" s="31">
        <f>COUNTA(Y:Y)</f>
        <v>8</v>
      </c>
      <c r="Y1" s="17" t="s">
        <v>103</v>
      </c>
      <c r="Z1" s="17" t="s">
        <v>73</v>
      </c>
      <c r="AB1" s="29" t="s">
        <v>102</v>
      </c>
      <c r="AC1" s="39" t="s">
        <v>106</v>
      </c>
      <c r="AE1" s="70" t="s">
        <v>86</v>
      </c>
      <c r="AF1" s="70"/>
      <c r="AG1" s="42" t="s">
        <v>87</v>
      </c>
      <c r="AH1" s="42" t="s">
        <v>88</v>
      </c>
      <c r="AI1" s="42" t="s">
        <v>89</v>
      </c>
      <c r="AK1" s="51" t="s">
        <v>105</v>
      </c>
    </row>
    <row r="2" spans="1:38" ht="23.25" customHeight="1" thickBot="1" x14ac:dyDescent="0.3">
      <c r="E2" s="15" t="s">
        <v>71</v>
      </c>
      <c r="F2" s="16" t="s">
        <v>5</v>
      </c>
      <c r="H2" s="19" t="s">
        <v>75</v>
      </c>
      <c r="I2" s="22" t="s">
        <v>66</v>
      </c>
      <c r="J2" s="74" t="s">
        <v>74</v>
      </c>
      <c r="M2" s="73" t="s">
        <v>57</v>
      </c>
      <c r="N2" s="73"/>
      <c r="S2" s="73" t="s">
        <v>58</v>
      </c>
      <c r="T2" s="73"/>
      <c r="V2" s="32">
        <v>7</v>
      </c>
      <c r="W2" s="33" t="str">
        <f ca="1">"BO UNIFICADO R1 - AGs Externos"&amp;$A$10</f>
        <v>BO UNIFICADO R1 - AGs Externos_09122021</v>
      </c>
      <c r="Y2" s="30" t="s">
        <v>137</v>
      </c>
      <c r="Z2" s="30">
        <v>28</v>
      </c>
      <c r="AE2" s="43">
        <v>1</v>
      </c>
      <c r="AF2" s="44" t="s">
        <v>90</v>
      </c>
      <c r="AG2" s="45" t="str">
        <f ca="1">TEXT(TODAY(),"DD MM AAAA")</f>
        <v>09 12 2021</v>
      </c>
      <c r="AH2" s="45" t="str">
        <f ca="1">VLOOKUP(MONTH(TODAY()),$AE:$AF,2,0)</f>
        <v>DEZEMBRO</v>
      </c>
      <c r="AI2" s="46">
        <f ca="1">TODAY()</f>
        <v>44539</v>
      </c>
      <c r="AK2" s="36">
        <v>9</v>
      </c>
      <c r="AL2" s="37" t="str">
        <f ca="1">"Extrator_Insapoio_09"&amp;$A$10</f>
        <v>Extrator_Insapoio_09_09122021</v>
      </c>
    </row>
    <row r="3" spans="1:38" ht="24" thickBot="1" x14ac:dyDescent="0.3">
      <c r="C3">
        <f ca="1">WEEKDAY(TODAY())</f>
        <v>5</v>
      </c>
      <c r="D3">
        <f ca="1">WEEKDAY(TODAY())</f>
        <v>5</v>
      </c>
      <c r="E3" s="28" t="s">
        <v>68</v>
      </c>
      <c r="F3" s="25">
        <v>44366</v>
      </c>
      <c r="H3" s="19" t="s">
        <v>76</v>
      </c>
      <c r="I3" s="23" t="s">
        <v>67</v>
      </c>
      <c r="J3" s="75"/>
      <c r="M3" s="1" t="s">
        <v>61</v>
      </c>
      <c r="N3" s="2" t="s">
        <v>59</v>
      </c>
      <c r="S3" s="1" t="s">
        <v>64</v>
      </c>
      <c r="T3" s="2" t="str">
        <f>"\\naspc31\bo_oct$\02_Staff\BO_MACRO\Portal_BI_AGs\Extracao\"&amp;$N$3</f>
        <v>\\naspc31\bo_oct$\02_Staff\BO_MACRO\Portal_BI_AGs\Extracao\AGs PORTAL BI.xlsx</v>
      </c>
      <c r="V3" s="34">
        <v>16</v>
      </c>
      <c r="W3" s="35" t="str">
        <f ca="1">"BO UNIFICADO R1 - AGs Externos"&amp;$A$10</f>
        <v>BO UNIFICADO R1 - AGs Externos_09122021</v>
      </c>
      <c r="Y3" s="30" t="s">
        <v>138</v>
      </c>
      <c r="Z3" s="30">
        <v>48</v>
      </c>
      <c r="AE3" s="47">
        <v>2</v>
      </c>
      <c r="AF3" s="48" t="s">
        <v>91</v>
      </c>
      <c r="AG3" s="49" t="str">
        <f ca="1">TEXT(TODAY(),"DD-MM")</f>
        <v>09-12</v>
      </c>
    </row>
    <row r="4" spans="1:38" ht="15.75" x14ac:dyDescent="0.25">
      <c r="H4" s="20" t="s">
        <v>77</v>
      </c>
      <c r="I4" s="23" t="s">
        <v>68</v>
      </c>
      <c r="J4" s="75"/>
      <c r="S4" s="1" t="s">
        <v>65</v>
      </c>
      <c r="T4" s="2" t="str">
        <f>"\\naspc31\bo_oct$\02_Staff\BO_MACRO\Portal_BI_AGs\Extracao\"&amp;$N$10</f>
        <v>\\naspc31\bo_oct$\02_Staff\BO_MACRO\Portal_BI_AGs\Extracao\AGs PORTAL BI Ordenada.xlsx</v>
      </c>
      <c r="V4" s="34">
        <v>69</v>
      </c>
      <c r="W4" s="35" t="str">
        <f ca="1">"BO UNIFICADO R1 - AGs Externos"&amp;$A$10</f>
        <v>BO UNIFICADO R1 - AGs Externos_09122021</v>
      </c>
      <c r="Y4" s="30" t="s">
        <v>139</v>
      </c>
      <c r="Z4" s="30">
        <v>0</v>
      </c>
      <c r="AE4" s="47">
        <v>3</v>
      </c>
      <c r="AF4" s="48" t="s">
        <v>92</v>
      </c>
      <c r="AG4" s="49" t="str">
        <f ca="1">TEXT(TODAY(),"DD")</f>
        <v>09</v>
      </c>
    </row>
    <row r="5" spans="1:38" ht="15.75" x14ac:dyDescent="0.25">
      <c r="A5" s="71" t="s">
        <v>85</v>
      </c>
      <c r="B5" s="72"/>
      <c r="H5" s="20" t="s">
        <v>78</v>
      </c>
      <c r="I5" s="23" t="s">
        <v>69</v>
      </c>
      <c r="J5" s="75"/>
      <c r="M5" s="73" t="s">
        <v>83</v>
      </c>
      <c r="N5" s="73"/>
      <c r="S5" s="1" t="s">
        <v>104</v>
      </c>
      <c r="T5" s="2" t="str">
        <f>"\\naspc31\bo_oct$\02_Staff\BO_MACRO\Portal_BI_AGs\"</f>
        <v>\\naspc31\bo_oct$\02_Staff\BO_MACRO\Portal_BI_AGs\</v>
      </c>
      <c r="V5" s="34">
        <v>93</v>
      </c>
      <c r="W5" s="35" t="str">
        <f ca="1">"BO UNIFICADO R1 - AGs Externos"&amp;$A$10</f>
        <v>BO UNIFICADO R1 - AGs Externos_09122021</v>
      </c>
      <c r="Y5" s="30" t="s">
        <v>140</v>
      </c>
      <c r="Z5" s="30">
        <v>0</v>
      </c>
      <c r="AE5" s="47">
        <v>4</v>
      </c>
      <c r="AF5" s="48" t="s">
        <v>93</v>
      </c>
      <c r="AG5" s="50"/>
    </row>
    <row r="6" spans="1:38" ht="15.75" x14ac:dyDescent="0.25">
      <c r="A6" s="41" t="str">
        <f ca="1">"\\naspc31\bo_oct$\23-Distribuição\AG\"&amp;$AH$2</f>
        <v>\\naspc31\bo_oct$\23-Distribuição\AG\DEZEMBRO</v>
      </c>
      <c r="B6" s="30"/>
      <c r="H6" s="20" t="s">
        <v>79</v>
      </c>
      <c r="I6" s="23" t="s">
        <v>70</v>
      </c>
      <c r="J6" s="75"/>
      <c r="M6" s="1" t="s">
        <v>84</v>
      </c>
      <c r="N6" s="2" t="str">
        <f ca="1">"\\naspc31\bo_oct$\23-Distribuição\AG\"&amp;$AH$2&amp;"\"&amp;$AG$4&amp;"\"</f>
        <v>\\naspc31\bo_oct$\23-Distribuição\AG\DEZEMBRO\09\</v>
      </c>
      <c r="V6" s="36">
        <v>53</v>
      </c>
      <c r="W6" s="37" t="str">
        <f t="shared" ref="W6:W12" ca="1" si="0">"BO UNIFICADO R1 - AGs Internos"&amp;$A$10</f>
        <v>BO UNIFICADO R1 - AGs Internos_09122021</v>
      </c>
      <c r="Y6" s="30" t="s">
        <v>141</v>
      </c>
      <c r="Z6" s="30">
        <v>0</v>
      </c>
      <c r="AE6" s="47">
        <v>5</v>
      </c>
      <c r="AF6" s="48" t="s">
        <v>94</v>
      </c>
      <c r="AG6" s="50"/>
    </row>
    <row r="7" spans="1:38" ht="16.5" thickBot="1" x14ac:dyDescent="0.3">
      <c r="H7" s="21" t="s">
        <v>80</v>
      </c>
      <c r="I7" s="24" t="s">
        <v>72</v>
      </c>
      <c r="J7" s="76"/>
      <c r="V7" s="36">
        <v>6</v>
      </c>
      <c r="W7" s="37" t="str">
        <f t="shared" ca="1" si="0"/>
        <v>BO UNIFICADO R1 - AGs Internos_09122021</v>
      </c>
      <c r="Y7" s="30" t="s">
        <v>142</v>
      </c>
      <c r="Z7" s="30">
        <v>0</v>
      </c>
      <c r="AE7" s="47">
        <v>6</v>
      </c>
      <c r="AF7" s="48" t="s">
        <v>95</v>
      </c>
      <c r="AG7" s="50"/>
    </row>
    <row r="8" spans="1:38" ht="16.5" thickBot="1" x14ac:dyDescent="0.3">
      <c r="C8" s="52" t="s">
        <v>107</v>
      </c>
      <c r="D8" s="53" t="s">
        <v>108</v>
      </c>
      <c r="E8" s="54"/>
      <c r="V8" s="36">
        <v>71</v>
      </c>
      <c r="W8" s="37" t="str">
        <f t="shared" ca="1" si="0"/>
        <v>BO UNIFICADO R1 - AGs Internos_09122021</v>
      </c>
      <c r="Y8" s="30" t="s">
        <v>143</v>
      </c>
      <c r="Z8" s="30">
        <v>22</v>
      </c>
      <c r="AE8" s="47">
        <v>7</v>
      </c>
      <c r="AF8" s="48" t="s">
        <v>96</v>
      </c>
      <c r="AG8" s="50"/>
    </row>
    <row r="9" spans="1:38" ht="16.5" thickBot="1" x14ac:dyDescent="0.3">
      <c r="A9" s="40" t="s">
        <v>82</v>
      </c>
      <c r="C9" s="26" t="s">
        <v>1</v>
      </c>
      <c r="D9" s="27" t="s">
        <v>2</v>
      </c>
      <c r="E9" s="27" t="s">
        <v>3</v>
      </c>
      <c r="K9"/>
      <c r="M9" s="73" t="s">
        <v>60</v>
      </c>
      <c r="N9" s="73"/>
      <c r="V9" s="36">
        <v>27</v>
      </c>
      <c r="W9" s="37" t="str">
        <f t="shared" ca="1" si="0"/>
        <v>BO UNIFICADO R1 - AGs Internos_09122021</v>
      </c>
      <c r="Z9"/>
      <c r="AE9" s="47">
        <v>8</v>
      </c>
      <c r="AF9" s="48" t="s">
        <v>97</v>
      </c>
      <c r="AG9" s="50"/>
    </row>
    <row r="10" spans="1:38" ht="15.75" x14ac:dyDescent="0.25">
      <c r="A10" s="40" t="str">
        <f ca="1">"_"&amp;TEXT(TODAY(),"DDMMAAAA")</f>
        <v>_09122021</v>
      </c>
      <c r="C10" s="4" t="s">
        <v>4</v>
      </c>
      <c r="D10" s="5" t="s">
        <v>5</v>
      </c>
      <c r="E10" s="6">
        <v>29</v>
      </c>
      <c r="K10"/>
      <c r="M10" s="1" t="s">
        <v>62</v>
      </c>
      <c r="N10" s="2" t="s">
        <v>63</v>
      </c>
      <c r="V10" s="36">
        <v>30</v>
      </c>
      <c r="W10" s="37" t="str">
        <f t="shared" ca="1" si="0"/>
        <v>BO UNIFICADO R1 - AGs Internos_09122021</v>
      </c>
      <c r="Z10"/>
      <c r="AE10" s="47">
        <v>9</v>
      </c>
      <c r="AF10" s="48" t="s">
        <v>98</v>
      </c>
      <c r="AG10" s="50"/>
    </row>
    <row r="11" spans="1:38" ht="15.75" x14ac:dyDescent="0.25">
      <c r="C11" s="7" t="s">
        <v>6</v>
      </c>
      <c r="D11" s="8" t="s">
        <v>7</v>
      </c>
      <c r="E11" s="9">
        <v>1</v>
      </c>
      <c r="K11"/>
      <c r="V11" s="36">
        <v>40</v>
      </c>
      <c r="W11" s="37" t="str">
        <f t="shared" ca="1" si="0"/>
        <v>BO UNIFICADO R1 - AGs Internos_09122021</v>
      </c>
      <c r="Z11"/>
      <c r="AA11"/>
      <c r="AE11" s="47">
        <v>10</v>
      </c>
      <c r="AF11" s="48" t="s">
        <v>99</v>
      </c>
      <c r="AG11" s="50"/>
    </row>
    <row r="12" spans="1:38" ht="15.75" x14ac:dyDescent="0.25">
      <c r="C12" s="7" t="s">
        <v>8</v>
      </c>
      <c r="D12" s="10" t="s">
        <v>9</v>
      </c>
      <c r="E12" s="11">
        <v>15</v>
      </c>
      <c r="K12"/>
      <c r="V12" s="36">
        <v>104</v>
      </c>
      <c r="W12" s="37" t="str">
        <f t="shared" ca="1" si="0"/>
        <v>BO UNIFICADO R1 - AGs Internos_09122021</v>
      </c>
      <c r="Z12"/>
      <c r="AA12"/>
      <c r="AE12" s="47">
        <v>11</v>
      </c>
      <c r="AF12" s="48" t="s">
        <v>100</v>
      </c>
      <c r="AG12" s="50"/>
    </row>
    <row r="13" spans="1:38" ht="15.75" x14ac:dyDescent="0.25">
      <c r="C13" s="7" t="s">
        <v>10</v>
      </c>
      <c r="D13" s="8" t="s">
        <v>11</v>
      </c>
      <c r="E13" s="9">
        <v>16</v>
      </c>
      <c r="K13"/>
      <c r="V13" s="34">
        <v>8</v>
      </c>
      <c r="W13" s="35" t="str">
        <f ca="1">"3o Nível - AG08"&amp;$A$10</f>
        <v>3o Nível - AG08_09122021</v>
      </c>
      <c r="Z13"/>
      <c r="AA13"/>
      <c r="AE13" s="47">
        <v>12</v>
      </c>
      <c r="AF13" s="48" t="s">
        <v>101</v>
      </c>
      <c r="AG13" s="50"/>
    </row>
    <row r="14" spans="1:38" ht="15.75" x14ac:dyDescent="0.25">
      <c r="C14" s="7" t="s">
        <v>12</v>
      </c>
      <c r="D14" s="8" t="s">
        <v>13</v>
      </c>
      <c r="E14" s="9">
        <v>17</v>
      </c>
      <c r="K14"/>
      <c r="V14" s="36">
        <v>64</v>
      </c>
      <c r="W14" s="37" t="str">
        <f ca="1">"Contestacao_Inviabilidade de Velox_AG"&amp;$A$10</f>
        <v>Contestacao_Inviabilidade de Velox_AG_09122021</v>
      </c>
    </row>
    <row r="15" spans="1:38" ht="15.75" x14ac:dyDescent="0.25">
      <c r="C15" s="7" t="s">
        <v>14</v>
      </c>
      <c r="D15" s="8" t="s">
        <v>15</v>
      </c>
      <c r="E15" s="9">
        <v>18</v>
      </c>
      <c r="K15"/>
      <c r="V15" s="34">
        <v>17</v>
      </c>
      <c r="W15" s="35" t="str">
        <f ca="1">"INSAPOIO 17 SVA"&amp;$A$10</f>
        <v>INSAPOIO 17 SVA_09122021</v>
      </c>
    </row>
    <row r="16" spans="1:38" ht="15.75" x14ac:dyDescent="0.25">
      <c r="C16" s="7" t="s">
        <v>16</v>
      </c>
      <c r="D16" s="10" t="s">
        <v>17</v>
      </c>
      <c r="E16" s="11">
        <v>2</v>
      </c>
      <c r="K16"/>
      <c r="V16" s="36">
        <v>103</v>
      </c>
      <c r="W16" s="37" t="str">
        <f ca="1">"AG_103"&amp;$A$10</f>
        <v>AG_103_09122021</v>
      </c>
    </row>
    <row r="17" spans="3:23" ht="15.75" x14ac:dyDescent="0.25">
      <c r="C17" s="7" t="s">
        <v>18</v>
      </c>
      <c r="D17" s="10" t="s">
        <v>19</v>
      </c>
      <c r="E17" s="11">
        <v>3</v>
      </c>
      <c r="K17"/>
      <c r="V17" s="34">
        <v>12</v>
      </c>
      <c r="W17" s="35" t="str">
        <f ca="1">"AG_12"&amp;$A$10</f>
        <v>AG_12_09122021</v>
      </c>
    </row>
    <row r="18" spans="3:23" ht="15.75" x14ac:dyDescent="0.25">
      <c r="C18" s="7" t="s">
        <v>20</v>
      </c>
      <c r="D18" s="10" t="s">
        <v>21</v>
      </c>
      <c r="E18" s="11">
        <v>4</v>
      </c>
      <c r="K18"/>
      <c r="V18" s="36"/>
      <c r="W18" s="37"/>
    </row>
    <row r="19" spans="3:23" ht="15.75" x14ac:dyDescent="0.25">
      <c r="C19" s="7" t="s">
        <v>22</v>
      </c>
      <c r="D19" s="8" t="s">
        <v>23</v>
      </c>
      <c r="E19" s="9">
        <v>19</v>
      </c>
      <c r="K19"/>
      <c r="V19" s="36"/>
      <c r="W19" s="37"/>
    </row>
    <row r="20" spans="3:23" ht="15.75" x14ac:dyDescent="0.25">
      <c r="C20" s="7" t="s">
        <v>24</v>
      </c>
      <c r="D20" s="10" t="s">
        <v>25</v>
      </c>
      <c r="E20" s="11">
        <v>5</v>
      </c>
      <c r="K20"/>
      <c r="V20" s="36"/>
      <c r="W20" s="37"/>
    </row>
    <row r="21" spans="3:23" ht="15.75" x14ac:dyDescent="0.25">
      <c r="C21" s="7" t="s">
        <v>26</v>
      </c>
      <c r="D21" s="10" t="s">
        <v>27</v>
      </c>
      <c r="E21" s="11">
        <v>6</v>
      </c>
      <c r="K21"/>
      <c r="V21" s="36"/>
      <c r="W21" s="37"/>
    </row>
    <row r="22" spans="3:23" x14ac:dyDescent="0.25">
      <c r="C22" s="7" t="s">
        <v>28</v>
      </c>
      <c r="D22" s="10" t="s">
        <v>28</v>
      </c>
      <c r="E22" s="11">
        <v>7</v>
      </c>
      <c r="K22"/>
    </row>
    <row r="23" spans="3:23" x14ac:dyDescent="0.25">
      <c r="C23" s="7" t="s">
        <v>29</v>
      </c>
      <c r="D23" s="10" t="s">
        <v>29</v>
      </c>
      <c r="E23" s="11">
        <v>8</v>
      </c>
      <c r="K23"/>
    </row>
    <row r="24" spans="3:23" x14ac:dyDescent="0.25">
      <c r="C24" s="7" t="s">
        <v>30</v>
      </c>
      <c r="D24" s="8" t="s">
        <v>31</v>
      </c>
      <c r="E24" s="9">
        <v>20</v>
      </c>
      <c r="K24"/>
    </row>
    <row r="25" spans="3:23" x14ac:dyDescent="0.25">
      <c r="C25" s="7" t="s">
        <v>32</v>
      </c>
      <c r="D25" s="10" t="s">
        <v>32</v>
      </c>
      <c r="E25" s="11">
        <v>10</v>
      </c>
      <c r="K25"/>
    </row>
    <row r="26" spans="3:23" x14ac:dyDescent="0.25">
      <c r="C26" s="7" t="s">
        <v>33</v>
      </c>
      <c r="D26" s="10" t="s">
        <v>33</v>
      </c>
      <c r="E26" s="11">
        <v>11</v>
      </c>
      <c r="K26"/>
    </row>
    <row r="27" spans="3:23" x14ac:dyDescent="0.25">
      <c r="C27" s="7" t="s">
        <v>34</v>
      </c>
      <c r="D27" s="10" t="s">
        <v>34</v>
      </c>
      <c r="E27" s="11">
        <v>9</v>
      </c>
      <c r="K27"/>
    </row>
    <row r="28" spans="3:23" x14ac:dyDescent="0.25">
      <c r="C28" s="7" t="s">
        <v>35</v>
      </c>
      <c r="D28" s="8" t="s">
        <v>36</v>
      </c>
      <c r="E28" s="9">
        <v>21</v>
      </c>
      <c r="K28"/>
    </row>
    <row r="29" spans="3:23" x14ac:dyDescent="0.25">
      <c r="C29" s="7" t="s">
        <v>37</v>
      </c>
      <c r="D29" s="10" t="s">
        <v>38</v>
      </c>
      <c r="E29" s="11">
        <v>12</v>
      </c>
    </row>
    <row r="30" spans="3:23" x14ac:dyDescent="0.25">
      <c r="C30" s="7" t="s">
        <v>39</v>
      </c>
      <c r="D30" s="10" t="s">
        <v>40</v>
      </c>
      <c r="E30" s="11">
        <v>14</v>
      </c>
    </row>
    <row r="31" spans="3:23" x14ac:dyDescent="0.25">
      <c r="C31" s="7" t="s">
        <v>41</v>
      </c>
      <c r="D31" s="8" t="s">
        <v>42</v>
      </c>
      <c r="E31" s="9">
        <v>23</v>
      </c>
    </row>
    <row r="32" spans="3:23" x14ac:dyDescent="0.25">
      <c r="C32" s="7" t="s">
        <v>43</v>
      </c>
      <c r="D32" s="8" t="s">
        <v>44</v>
      </c>
      <c r="E32" s="9">
        <v>24</v>
      </c>
    </row>
    <row r="33" spans="3:5" x14ac:dyDescent="0.25">
      <c r="C33" s="7" t="s">
        <v>45</v>
      </c>
      <c r="D33" s="8" t="s">
        <v>46</v>
      </c>
      <c r="E33" s="9">
        <v>26</v>
      </c>
    </row>
    <row r="34" spans="3:5" x14ac:dyDescent="0.25">
      <c r="C34" s="7" t="s">
        <v>47</v>
      </c>
      <c r="D34" s="10" t="s">
        <v>48</v>
      </c>
      <c r="E34" s="11">
        <v>25</v>
      </c>
    </row>
    <row r="35" spans="3:5" x14ac:dyDescent="0.25">
      <c r="C35" s="7" t="s">
        <v>49</v>
      </c>
      <c r="D35" s="8" t="s">
        <v>50</v>
      </c>
      <c r="E35" s="9">
        <v>27</v>
      </c>
    </row>
    <row r="36" spans="3:5" x14ac:dyDescent="0.25">
      <c r="C36" s="7" t="s">
        <v>51</v>
      </c>
      <c r="D36" s="10" t="s">
        <v>52</v>
      </c>
      <c r="E36" s="11">
        <v>22</v>
      </c>
    </row>
    <row r="37" spans="3:5" x14ac:dyDescent="0.25">
      <c r="C37" s="7" t="s">
        <v>53</v>
      </c>
      <c r="D37" s="10" t="s">
        <v>54</v>
      </c>
      <c r="E37" s="11">
        <v>13</v>
      </c>
    </row>
    <row r="38" spans="3:5" ht="15.75" thickBot="1" x14ac:dyDescent="0.3">
      <c r="C38" s="12" t="s">
        <v>55</v>
      </c>
      <c r="D38" s="13" t="s">
        <v>56</v>
      </c>
      <c r="E38" s="14">
        <v>28</v>
      </c>
    </row>
  </sheetData>
  <mergeCells count="7">
    <mergeCell ref="AE1:AF1"/>
    <mergeCell ref="A5:B5"/>
    <mergeCell ref="M9:N9"/>
    <mergeCell ref="S2:T2"/>
    <mergeCell ref="M2:N2"/>
    <mergeCell ref="J2:J7"/>
    <mergeCell ref="M5:N5"/>
  </mergeCells>
  <conditionalFormatting sqref="V24:V1048576 V1:V12 V14 V16">
    <cfRule type="duplicateValues" dxfId="14" priority="27"/>
  </conditionalFormatting>
  <conditionalFormatting sqref="V1:V12 V24:V1048576 V14 V16">
    <cfRule type="duplicateValues" dxfId="13" priority="23"/>
  </conditionalFormatting>
  <conditionalFormatting sqref="Y1:Y8 Y14:Y1048576">
    <cfRule type="duplicateValues" dxfId="12" priority="22"/>
  </conditionalFormatting>
  <conditionalFormatting sqref="V13">
    <cfRule type="duplicateValues" dxfId="11" priority="16"/>
  </conditionalFormatting>
  <conditionalFormatting sqref="V13">
    <cfRule type="duplicateValues" dxfId="10" priority="15"/>
  </conditionalFormatting>
  <conditionalFormatting sqref="V15">
    <cfRule type="duplicateValues" dxfId="9" priority="14"/>
  </conditionalFormatting>
  <conditionalFormatting sqref="V15">
    <cfRule type="duplicateValues" dxfId="8" priority="13"/>
  </conditionalFormatting>
  <conditionalFormatting sqref="V17">
    <cfRule type="duplicateValues" dxfId="7" priority="12"/>
  </conditionalFormatting>
  <conditionalFormatting sqref="V17">
    <cfRule type="duplicateValues" dxfId="6" priority="11"/>
  </conditionalFormatting>
  <conditionalFormatting sqref="AK2">
    <cfRule type="duplicateValues" dxfId="5" priority="8"/>
  </conditionalFormatting>
  <conditionalFormatting sqref="AK2">
    <cfRule type="duplicateValues" dxfId="4" priority="7"/>
  </conditionalFormatting>
  <conditionalFormatting sqref="V18">
    <cfRule type="duplicateValues" dxfId="3" priority="4"/>
  </conditionalFormatting>
  <conditionalFormatting sqref="V18">
    <cfRule type="duplicateValues" dxfId="2" priority="3"/>
  </conditionalFormatting>
  <conditionalFormatting sqref="V19:V21">
    <cfRule type="duplicateValues" dxfId="1" priority="2"/>
  </conditionalFormatting>
  <conditionalFormatting sqref="V19:V21">
    <cfRule type="duplicateValues" dxfId="0" priority="1"/>
  </conditionalFormatting>
  <dataValidations count="1">
    <dataValidation type="list" allowBlank="1" showInputMessage="1" showErrorMessage="1" sqref="E3">
      <formula1>$I$2:$I$7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1:Y36"/>
  <sheetViews>
    <sheetView showGridLines="0" tabSelected="1" workbookViewId="0"/>
  </sheetViews>
  <sheetFormatPr defaultColWidth="9.28515625" defaultRowHeight="15" x14ac:dyDescent="0.25"/>
  <cols>
    <col min="3" max="3" width="15.5703125" bestFit="1" customWidth="1"/>
    <col min="4" max="4" width="54.85546875" bestFit="1" customWidth="1"/>
    <col min="7" max="7" width="15" customWidth="1"/>
    <col min="8" max="8" width="15.5703125" bestFit="1" customWidth="1"/>
    <col min="9" max="9" width="22.42578125" customWidth="1"/>
    <col min="10" max="10" width="27.140625" customWidth="1"/>
    <col min="11" max="11" width="24.28515625" customWidth="1"/>
    <col min="12" max="12" width="44.42578125" customWidth="1"/>
    <col min="13" max="13" width="14.42578125" customWidth="1"/>
    <col min="14" max="14" width="14" customWidth="1"/>
    <col min="16" max="16" width="15.28515625" customWidth="1"/>
    <col min="17" max="17" width="20.7109375" bestFit="1" customWidth="1"/>
    <col min="20" max="21" width="0" hidden="1" customWidth="1"/>
    <col min="22" max="22" width="13.140625" hidden="1" customWidth="1"/>
    <col min="23" max="23" width="75" hidden="1" customWidth="1"/>
  </cols>
  <sheetData>
    <row r="1" spans="3:25" x14ac:dyDescent="0.25">
      <c r="Q1" s="56"/>
    </row>
    <row r="2" spans="3:25" x14ac:dyDescent="0.25">
      <c r="G2" s="65" t="s">
        <v>128</v>
      </c>
      <c r="H2" s="65"/>
      <c r="P2" s="73" t="s">
        <v>57</v>
      </c>
      <c r="Q2" s="73"/>
      <c r="S2" s="55" t="s">
        <v>122</v>
      </c>
      <c r="V2" s="73" t="s">
        <v>58</v>
      </c>
      <c r="W2" s="73"/>
      <c r="Y2" s="55" t="s">
        <v>122</v>
      </c>
    </row>
    <row r="3" spans="3:25" x14ac:dyDescent="0.25">
      <c r="F3" s="46"/>
      <c r="G3" s="55" t="s">
        <v>6</v>
      </c>
      <c r="H3" s="55" t="s">
        <v>45</v>
      </c>
      <c r="I3" s="55" t="s">
        <v>41</v>
      </c>
      <c r="J3" s="64" t="s">
        <v>127</v>
      </c>
      <c r="K3" s="64" t="s">
        <v>123</v>
      </c>
      <c r="L3" s="57" t="s">
        <v>109</v>
      </c>
      <c r="M3" s="66" t="s">
        <v>133</v>
      </c>
      <c r="N3" s="66" t="s">
        <v>71</v>
      </c>
      <c r="P3" s="1" t="s">
        <v>61</v>
      </c>
      <c r="Q3" s="2" t="s">
        <v>147</v>
      </c>
      <c r="S3" s="58">
        <v>44197</v>
      </c>
      <c r="V3" s="1" t="s">
        <v>64</v>
      </c>
      <c r="W3" s="2" t="str">
        <f>"\\naspc31\bo_oct$\02_Staff\BO_MACRO\07_Portal_BI_AGs\Extracao\"&amp;$Q$3</f>
        <v>\\naspc31\bo_oct$\02_Staff\BO_MACRO\07_Portal_BI_AGs\Extracao\BASE_AGs_PORTAL_BI.xlsx</v>
      </c>
      <c r="Y3" s="58">
        <v>44197</v>
      </c>
    </row>
    <row r="4" spans="3:25" x14ac:dyDescent="0.25">
      <c r="C4" s="66" t="s">
        <v>135</v>
      </c>
      <c r="D4" s="66" t="s">
        <v>116</v>
      </c>
      <c r="G4" s="59" t="s">
        <v>134</v>
      </c>
      <c r="H4" s="59">
        <v>41</v>
      </c>
      <c r="I4" s="58" t="s">
        <v>110</v>
      </c>
      <c r="J4" s="58" t="str">
        <f>G4&amp;H4&amp;I4</f>
        <v>ABERTA41EMPRESARIAL</v>
      </c>
      <c r="K4" s="58" t="s">
        <v>124</v>
      </c>
      <c r="L4" s="59" t="s">
        <v>111</v>
      </c>
      <c r="M4" s="2" t="s">
        <v>131</v>
      </c>
      <c r="N4" s="2" t="s">
        <v>148</v>
      </c>
      <c r="P4" s="1" t="s">
        <v>129</v>
      </c>
      <c r="Q4" s="60" t="s">
        <v>130</v>
      </c>
      <c r="S4" s="58">
        <v>44288</v>
      </c>
      <c r="V4" s="62" t="s">
        <v>104</v>
      </c>
      <c r="W4" s="63" t="str">
        <f>"\\naspc31\bo_oct$\02_Staff\BO_MACRO\07_Portal_BI_AGs\"</f>
        <v>\\naspc31\bo_oct$\02_Staff\BO_MACRO\07_Portal_BI_AGs\</v>
      </c>
      <c r="Y4" s="58">
        <v>44288</v>
      </c>
    </row>
    <row r="5" spans="3:25" x14ac:dyDescent="0.25">
      <c r="C5" s="1" t="s">
        <v>136</v>
      </c>
      <c r="D5" s="2" t="s">
        <v>111</v>
      </c>
      <c r="G5" s="59" t="s">
        <v>134</v>
      </c>
      <c r="H5" s="59">
        <v>41</v>
      </c>
      <c r="I5" s="58" t="s">
        <v>112</v>
      </c>
      <c r="J5" s="58" t="str">
        <f t="shared" ref="J5:J18" si="0">G5&amp;H5&amp;I5</f>
        <v>ABERTA41VAREJO/EMPRESARIAL</v>
      </c>
      <c r="K5" s="58" t="s">
        <v>124</v>
      </c>
      <c r="L5" s="59" t="s">
        <v>111</v>
      </c>
      <c r="M5" s="2" t="s">
        <v>131</v>
      </c>
      <c r="N5" s="2" t="s">
        <v>148</v>
      </c>
      <c r="P5" s="1"/>
      <c r="Q5" s="60"/>
      <c r="S5" s="58">
        <v>44290</v>
      </c>
      <c r="V5" s="62" t="s">
        <v>120</v>
      </c>
      <c r="W5" s="63" t="s">
        <v>121</v>
      </c>
      <c r="Y5" s="58">
        <v>44290</v>
      </c>
    </row>
    <row r="6" spans="3:25" x14ac:dyDescent="0.25">
      <c r="C6" s="1" t="s">
        <v>117</v>
      </c>
      <c r="D6" s="2" t="s">
        <v>114</v>
      </c>
      <c r="G6" s="59" t="s">
        <v>134</v>
      </c>
      <c r="H6" s="59">
        <v>41</v>
      </c>
      <c r="I6" s="58" t="s">
        <v>113</v>
      </c>
      <c r="J6" s="58" t="str">
        <f t="shared" si="0"/>
        <v>ABERTA41SUN</v>
      </c>
      <c r="K6" s="58" t="s">
        <v>124</v>
      </c>
      <c r="L6" s="59" t="s">
        <v>111</v>
      </c>
      <c r="M6" s="2" t="s">
        <v>131</v>
      </c>
      <c r="N6" s="2" t="s">
        <v>148</v>
      </c>
      <c r="P6" s="1"/>
      <c r="Q6" s="2"/>
      <c r="S6" s="58">
        <v>44307</v>
      </c>
      <c r="V6" s="1" t="s">
        <v>119</v>
      </c>
      <c r="W6" s="61" t="str">
        <f>$W$4&amp;"Extração\"&amp;Q4</f>
        <v>\\naspc31\bo_oct$\02_Staff\BO_MACRO\07_Portal_BI_AGs\Extração\Auxiliar.xlsx</v>
      </c>
      <c r="Y6" s="58">
        <v>44307</v>
      </c>
    </row>
    <row r="7" spans="3:25" x14ac:dyDescent="0.25">
      <c r="C7" s="1" t="s">
        <v>118</v>
      </c>
      <c r="D7" s="2" t="s">
        <v>115</v>
      </c>
      <c r="G7" s="59" t="s">
        <v>134</v>
      </c>
      <c r="H7" s="59">
        <v>92</v>
      </c>
      <c r="I7" s="58" t="s">
        <v>110</v>
      </c>
      <c r="J7" s="58" t="str">
        <f t="shared" si="0"/>
        <v>ABERTA92EMPRESARIAL</v>
      </c>
      <c r="K7" s="58" t="s">
        <v>124</v>
      </c>
      <c r="L7" s="59" t="s">
        <v>111</v>
      </c>
      <c r="M7" s="2" t="s">
        <v>131</v>
      </c>
      <c r="N7" s="2" t="s">
        <v>148</v>
      </c>
      <c r="P7" s="1"/>
      <c r="Q7" s="2"/>
      <c r="S7" s="58">
        <v>44317</v>
      </c>
      <c r="Y7" s="58">
        <v>44317</v>
      </c>
    </row>
    <row r="8" spans="3:25" x14ac:dyDescent="0.25">
      <c r="C8" s="1"/>
      <c r="D8" s="2"/>
      <c r="G8" s="59" t="s">
        <v>134</v>
      </c>
      <c r="H8" s="59">
        <v>92</v>
      </c>
      <c r="I8" s="58" t="s">
        <v>112</v>
      </c>
      <c r="J8" s="58" t="str">
        <f t="shared" si="0"/>
        <v>ABERTA92VAREJO/EMPRESARIAL</v>
      </c>
      <c r="K8" s="58" t="s">
        <v>124</v>
      </c>
      <c r="L8" s="59" t="s">
        <v>111</v>
      </c>
      <c r="M8" s="2" t="s">
        <v>131</v>
      </c>
      <c r="N8" s="2" t="s">
        <v>148</v>
      </c>
      <c r="P8" s="1"/>
      <c r="Q8" s="2"/>
      <c r="S8" s="58">
        <v>44350</v>
      </c>
      <c r="Y8" s="58">
        <v>44350</v>
      </c>
    </row>
    <row r="9" spans="3:25" x14ac:dyDescent="0.25">
      <c r="C9" s="1"/>
      <c r="D9" s="2"/>
      <c r="G9" s="59" t="s">
        <v>134</v>
      </c>
      <c r="H9" s="59">
        <v>92</v>
      </c>
      <c r="I9" s="58" t="s">
        <v>113</v>
      </c>
      <c r="J9" s="58" t="str">
        <f t="shared" si="0"/>
        <v>ABERTA92SUN</v>
      </c>
      <c r="K9" s="58" t="s">
        <v>124</v>
      </c>
      <c r="L9" s="59" t="s">
        <v>111</v>
      </c>
      <c r="M9" s="2" t="s">
        <v>131</v>
      </c>
      <c r="N9" s="2" t="s">
        <v>148</v>
      </c>
      <c r="P9" s="1"/>
      <c r="Q9" s="2"/>
      <c r="S9" s="58">
        <v>44446</v>
      </c>
      <c r="Y9" s="58">
        <v>44446</v>
      </c>
    </row>
    <row r="10" spans="3:25" x14ac:dyDescent="0.25">
      <c r="C10" s="1"/>
      <c r="D10" s="2"/>
      <c r="G10" s="59" t="s">
        <v>134</v>
      </c>
      <c r="H10" s="59">
        <v>68</v>
      </c>
      <c r="I10" s="58" t="s">
        <v>110</v>
      </c>
      <c r="J10" s="58" t="str">
        <f t="shared" si="0"/>
        <v>ABERTA68EMPRESARIAL</v>
      </c>
      <c r="K10" s="58" t="s">
        <v>124</v>
      </c>
      <c r="L10" s="59" t="s">
        <v>111</v>
      </c>
      <c r="M10" s="2" t="s">
        <v>131</v>
      </c>
      <c r="N10" s="2" t="s">
        <v>148</v>
      </c>
      <c r="P10" s="1"/>
      <c r="Q10" s="2"/>
      <c r="S10" s="58">
        <v>44481</v>
      </c>
      <c r="Y10" s="58">
        <v>44481</v>
      </c>
    </row>
    <row r="11" spans="3:25" x14ac:dyDescent="0.25">
      <c r="C11" s="1"/>
      <c r="D11" s="2"/>
      <c r="G11" s="59" t="s">
        <v>134</v>
      </c>
      <c r="H11" s="59">
        <v>68</v>
      </c>
      <c r="I11" s="58" t="s">
        <v>112</v>
      </c>
      <c r="J11" s="58" t="str">
        <f t="shared" si="0"/>
        <v>ABERTA68VAREJO/EMPRESARIAL</v>
      </c>
      <c r="K11" s="58" t="s">
        <v>124</v>
      </c>
      <c r="L11" s="59" t="s">
        <v>111</v>
      </c>
      <c r="M11" s="2" t="s">
        <v>131</v>
      </c>
      <c r="N11" s="2" t="s">
        <v>148</v>
      </c>
      <c r="S11" s="58">
        <v>44502</v>
      </c>
      <c r="Y11" s="58">
        <v>44502</v>
      </c>
    </row>
    <row r="12" spans="3:25" x14ac:dyDescent="0.25">
      <c r="C12" s="1"/>
      <c r="D12" s="2"/>
      <c r="G12" s="59" t="s">
        <v>134</v>
      </c>
      <c r="H12" s="59">
        <v>68</v>
      </c>
      <c r="I12" s="58" t="s">
        <v>113</v>
      </c>
      <c r="J12" s="58" t="str">
        <f t="shared" si="0"/>
        <v>ABERTA68SUN</v>
      </c>
      <c r="K12" s="58" t="s">
        <v>124</v>
      </c>
      <c r="L12" s="59" t="s">
        <v>111</v>
      </c>
      <c r="M12" s="2" t="s">
        <v>131</v>
      </c>
      <c r="N12" s="2" t="s">
        <v>148</v>
      </c>
      <c r="S12" s="58">
        <v>44515</v>
      </c>
      <c r="Y12" s="58">
        <v>44515</v>
      </c>
    </row>
    <row r="13" spans="3:25" x14ac:dyDescent="0.25">
      <c r="G13" s="59" t="s">
        <v>134</v>
      </c>
      <c r="H13" s="59">
        <v>65</v>
      </c>
      <c r="I13" s="58" t="s">
        <v>110</v>
      </c>
      <c r="J13" s="58" t="str">
        <f t="shared" si="0"/>
        <v>ABERTA65EMPRESARIAL</v>
      </c>
      <c r="K13" s="58" t="s">
        <v>125</v>
      </c>
      <c r="L13" s="59" t="s">
        <v>114</v>
      </c>
      <c r="M13" s="2" t="s">
        <v>132</v>
      </c>
      <c r="N13" s="2" t="s">
        <v>148</v>
      </c>
      <c r="S13" s="58">
        <v>44555</v>
      </c>
      <c r="Y13" s="58">
        <v>44555</v>
      </c>
    </row>
    <row r="14" spans="3:25" x14ac:dyDescent="0.25">
      <c r="G14" s="59" t="s">
        <v>134</v>
      </c>
      <c r="H14" s="59">
        <v>65</v>
      </c>
      <c r="I14" s="58" t="s">
        <v>112</v>
      </c>
      <c r="J14" s="58" t="str">
        <f t="shared" si="0"/>
        <v>ABERTA65VAREJO/EMPRESARIAL</v>
      </c>
      <c r="K14" s="58" t="s">
        <v>125</v>
      </c>
      <c r="L14" s="59" t="s">
        <v>114</v>
      </c>
      <c r="M14" s="2" t="s">
        <v>132</v>
      </c>
      <c r="N14" s="2" t="s">
        <v>148</v>
      </c>
      <c r="S14" s="58">
        <v>44562</v>
      </c>
      <c r="Y14" s="58">
        <v>44562</v>
      </c>
    </row>
    <row r="15" spans="3:25" x14ac:dyDescent="0.25">
      <c r="G15" s="59" t="s">
        <v>134</v>
      </c>
      <c r="H15" s="59">
        <v>65</v>
      </c>
      <c r="I15" s="58" t="s">
        <v>113</v>
      </c>
      <c r="J15" s="58" t="str">
        <f t="shared" si="0"/>
        <v>ABERTA65SUN</v>
      </c>
      <c r="K15" s="58" t="s">
        <v>125</v>
      </c>
      <c r="L15" s="59" t="s">
        <v>114</v>
      </c>
      <c r="M15" s="2" t="s">
        <v>132</v>
      </c>
      <c r="N15" s="2" t="s">
        <v>148</v>
      </c>
      <c r="S15" s="58">
        <v>44653</v>
      </c>
      <c r="Y15" s="58">
        <v>44653</v>
      </c>
    </row>
    <row r="16" spans="3:25" x14ac:dyDescent="0.25">
      <c r="G16" s="59" t="s">
        <v>134</v>
      </c>
      <c r="H16" s="59">
        <v>84</v>
      </c>
      <c r="I16" s="58" t="s">
        <v>110</v>
      </c>
      <c r="J16" s="58" t="str">
        <f t="shared" si="0"/>
        <v>ABERTA84EMPRESARIAL</v>
      </c>
      <c r="K16" s="58" t="s">
        <v>126</v>
      </c>
      <c r="L16" s="59" t="s">
        <v>115</v>
      </c>
      <c r="M16" s="2" t="s">
        <v>132</v>
      </c>
      <c r="N16" s="2" t="s">
        <v>148</v>
      </c>
      <c r="S16" s="58">
        <v>44655</v>
      </c>
      <c r="Y16" s="58">
        <v>44655</v>
      </c>
    </row>
    <row r="17" spans="4:25" x14ac:dyDescent="0.25">
      <c r="G17" s="59" t="s">
        <v>134</v>
      </c>
      <c r="H17" s="59">
        <v>84</v>
      </c>
      <c r="I17" s="58" t="s">
        <v>112</v>
      </c>
      <c r="J17" s="58" t="str">
        <f t="shared" si="0"/>
        <v>ABERTA84VAREJO/EMPRESARIAL</v>
      </c>
      <c r="K17" s="58" t="s">
        <v>126</v>
      </c>
      <c r="L17" s="59" t="s">
        <v>115</v>
      </c>
      <c r="M17" s="2" t="s">
        <v>132</v>
      </c>
      <c r="N17" s="2" t="s">
        <v>148</v>
      </c>
      <c r="S17" s="58">
        <v>44672</v>
      </c>
      <c r="Y17" s="58">
        <v>44672</v>
      </c>
    </row>
    <row r="18" spans="4:25" x14ac:dyDescent="0.25">
      <c r="G18" s="59" t="s">
        <v>134</v>
      </c>
      <c r="H18" s="59">
        <v>84</v>
      </c>
      <c r="I18" s="58" t="s">
        <v>113</v>
      </c>
      <c r="J18" s="58" t="str">
        <f t="shared" si="0"/>
        <v>ABERTA84SUN</v>
      </c>
      <c r="K18" s="58" t="s">
        <v>126</v>
      </c>
      <c r="L18" s="59" t="s">
        <v>115</v>
      </c>
      <c r="M18" s="2" t="s">
        <v>132</v>
      </c>
      <c r="N18" s="2" t="s">
        <v>148</v>
      </c>
      <c r="S18" s="58">
        <v>44682</v>
      </c>
      <c r="Y18" s="58">
        <v>44682</v>
      </c>
    </row>
    <row r="19" spans="4:25" x14ac:dyDescent="0.25">
      <c r="S19" s="58">
        <v>44715</v>
      </c>
      <c r="Y19" s="58">
        <v>44715</v>
      </c>
    </row>
    <row r="20" spans="4:25" x14ac:dyDescent="0.25">
      <c r="S20" s="58">
        <v>44811</v>
      </c>
      <c r="Y20" s="58">
        <v>44811</v>
      </c>
    </row>
    <row r="21" spans="4:25" ht="15.75" thickBot="1" x14ac:dyDescent="0.3">
      <c r="S21" s="58">
        <v>44846</v>
      </c>
      <c r="Y21" s="58">
        <v>44846</v>
      </c>
    </row>
    <row r="22" spans="4:25" x14ac:dyDescent="0.25">
      <c r="D22" s="68" t="s">
        <v>145</v>
      </c>
      <c r="S22" s="58">
        <v>44867</v>
      </c>
      <c r="Y22" s="58">
        <v>44867</v>
      </c>
    </row>
    <row r="23" spans="4:25" x14ac:dyDescent="0.25">
      <c r="D23" s="69" t="s">
        <v>146</v>
      </c>
      <c r="S23" s="58">
        <v>44880</v>
      </c>
      <c r="Y23" s="58">
        <v>44880</v>
      </c>
    </row>
    <row r="24" spans="4:25" ht="15.75" thickBot="1" x14ac:dyDescent="0.3">
      <c r="D24" s="67" t="s">
        <v>144</v>
      </c>
      <c r="S24" s="58">
        <v>44920</v>
      </c>
      <c r="Y24" s="58">
        <v>44920</v>
      </c>
    </row>
    <row r="25" spans="4:25" x14ac:dyDescent="0.25">
      <c r="S25" s="58">
        <v>44927</v>
      </c>
      <c r="Y25" s="58">
        <v>44927</v>
      </c>
    </row>
    <row r="26" spans="4:25" x14ac:dyDescent="0.25">
      <c r="S26" s="58">
        <v>45018</v>
      </c>
      <c r="Y26" s="58">
        <v>45018</v>
      </c>
    </row>
    <row r="27" spans="4:25" x14ac:dyDescent="0.25">
      <c r="S27" s="58">
        <v>45020</v>
      </c>
      <c r="Y27" s="58">
        <v>45020</v>
      </c>
    </row>
    <row r="28" spans="4:25" x14ac:dyDescent="0.25">
      <c r="S28" s="58">
        <v>45037</v>
      </c>
      <c r="Y28" s="58">
        <v>45037</v>
      </c>
    </row>
    <row r="29" spans="4:25" x14ac:dyDescent="0.25">
      <c r="S29" s="58">
        <v>45047</v>
      </c>
      <c r="Y29" s="58">
        <v>45047</v>
      </c>
    </row>
    <row r="30" spans="4:25" x14ac:dyDescent="0.25">
      <c r="S30" s="58">
        <v>45080</v>
      </c>
      <c r="Y30" s="58">
        <v>45080</v>
      </c>
    </row>
    <row r="31" spans="4:25" x14ac:dyDescent="0.25">
      <c r="S31" s="58">
        <v>45176</v>
      </c>
      <c r="Y31" s="58">
        <v>45176</v>
      </c>
    </row>
    <row r="32" spans="4:25" x14ac:dyDescent="0.25">
      <c r="S32" s="58">
        <v>45211</v>
      </c>
      <c r="Y32" s="58">
        <v>45211</v>
      </c>
    </row>
    <row r="33" spans="19:25" x14ac:dyDescent="0.25">
      <c r="S33" s="58">
        <v>45232</v>
      </c>
      <c r="Y33" s="58">
        <v>45232</v>
      </c>
    </row>
    <row r="34" spans="19:25" x14ac:dyDescent="0.25">
      <c r="S34" s="58">
        <v>45245</v>
      </c>
      <c r="Y34" s="58">
        <v>45245</v>
      </c>
    </row>
    <row r="35" spans="19:25" x14ac:dyDescent="0.25">
      <c r="S35" s="58">
        <v>45285</v>
      </c>
      <c r="Y35" s="58">
        <v>45285</v>
      </c>
    </row>
    <row r="36" spans="19:25" x14ac:dyDescent="0.25">
      <c r="S36" s="58">
        <v>45292</v>
      </c>
      <c r="Y36" s="58">
        <v>45292</v>
      </c>
    </row>
  </sheetData>
  <mergeCells count="2">
    <mergeCell ref="P2:Q2"/>
    <mergeCell ref="V2:W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Gustavo Canevari Silva</cp:lastModifiedBy>
  <dcterms:created xsi:type="dcterms:W3CDTF">2020-10-07T15:12:07Z</dcterms:created>
  <dcterms:modified xsi:type="dcterms:W3CDTF">2021-12-09T12:19:06Z</dcterms:modified>
</cp:coreProperties>
</file>