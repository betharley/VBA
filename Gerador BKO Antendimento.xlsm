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_ARLEY\Desktop\ProjetoVBA\THIAGO\"/>
    </mc:Choice>
  </mc:AlternateContent>
  <bookViews>
    <workbookView xWindow="3960" yWindow="0" windowWidth="11745" windowHeight="6375"/>
  </bookViews>
  <sheets>
    <sheet name="Gerador" sheetId="1" r:id="rId1"/>
    <sheet name="MAPEADMENTO DAS FILAS" sheetId="4" state="hidden" r:id="rId2"/>
    <sheet name="Visao Backlog" sheetId="2" state="hidden" r:id="rId3"/>
    <sheet name="OrdenarColunas_SFAFIXO" sheetId="3" r:id="rId4"/>
    <sheet name="SOL" sheetId="5" state="hidden" r:id="rId5"/>
  </sheets>
  <definedNames>
    <definedName name="_xlnm._FilterDatabase" localSheetId="0" hidden="1">Gerador!#REF!</definedName>
    <definedName name="_xlnm._FilterDatabase" localSheetId="1" hidden="1">'MAPEADMENTO DAS FILAS'!$C$4:$K$78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4" i="1"/>
  <c r="C3" i="3" l="1"/>
  <c r="C2" i="3"/>
  <c r="AC19" i="4" l="1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P155" i="4" l="1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F78" i="4"/>
  <c r="P77" i="4"/>
  <c r="F77" i="4"/>
  <c r="P76" i="4"/>
  <c r="F76" i="4"/>
  <c r="P75" i="4"/>
  <c r="F75" i="4"/>
  <c r="P74" i="4"/>
  <c r="F74" i="4"/>
  <c r="P73" i="4"/>
  <c r="F73" i="4"/>
  <c r="P72" i="4"/>
  <c r="F72" i="4"/>
  <c r="P71" i="4"/>
  <c r="F71" i="4"/>
  <c r="P70" i="4"/>
  <c r="F70" i="4"/>
  <c r="P69" i="4"/>
  <c r="F69" i="4"/>
  <c r="P68" i="4"/>
  <c r="F68" i="4"/>
  <c r="P67" i="4"/>
  <c r="F67" i="4"/>
  <c r="P66" i="4"/>
  <c r="F66" i="4"/>
  <c r="P65" i="4"/>
  <c r="F65" i="4"/>
  <c r="P64" i="4"/>
  <c r="F64" i="4"/>
  <c r="P63" i="4"/>
  <c r="F63" i="4"/>
  <c r="P62" i="4"/>
  <c r="F62" i="4"/>
  <c r="P61" i="4"/>
  <c r="F61" i="4"/>
  <c r="P60" i="4"/>
  <c r="F60" i="4"/>
  <c r="P59" i="4"/>
  <c r="F59" i="4"/>
  <c r="P58" i="4"/>
  <c r="F58" i="4"/>
  <c r="P57" i="4"/>
  <c r="F57" i="4"/>
  <c r="P56" i="4"/>
  <c r="F56" i="4"/>
  <c r="P55" i="4"/>
  <c r="F55" i="4"/>
  <c r="P54" i="4"/>
  <c r="F54" i="4"/>
  <c r="P53" i="4"/>
  <c r="F53" i="4"/>
  <c r="P52" i="4"/>
  <c r="F52" i="4"/>
  <c r="P51" i="4"/>
  <c r="F51" i="4"/>
  <c r="P50" i="4"/>
  <c r="F50" i="4"/>
  <c r="P49" i="4"/>
  <c r="F49" i="4"/>
  <c r="P48" i="4"/>
  <c r="F48" i="4"/>
  <c r="P47" i="4"/>
  <c r="F47" i="4"/>
  <c r="P46" i="4"/>
  <c r="F46" i="4"/>
  <c r="P45" i="4"/>
  <c r="F45" i="4"/>
  <c r="P44" i="4"/>
  <c r="F44" i="4"/>
  <c r="P43" i="4"/>
  <c r="F43" i="4"/>
  <c r="P42" i="4"/>
  <c r="F42" i="4"/>
  <c r="P41" i="4"/>
  <c r="F41" i="4"/>
  <c r="P40" i="4"/>
  <c r="F40" i="4"/>
  <c r="P39" i="4"/>
  <c r="F39" i="4"/>
  <c r="P38" i="4"/>
  <c r="F38" i="4"/>
  <c r="P37" i="4"/>
  <c r="F37" i="4"/>
  <c r="P36" i="4"/>
  <c r="F36" i="4"/>
  <c r="P35" i="4"/>
  <c r="F35" i="4"/>
  <c r="P34" i="4"/>
  <c r="F34" i="4"/>
  <c r="P33" i="4"/>
  <c r="F33" i="4"/>
  <c r="P32" i="4"/>
  <c r="F32" i="4"/>
  <c r="P31" i="4"/>
  <c r="F31" i="4"/>
  <c r="P30" i="4"/>
  <c r="F30" i="4"/>
  <c r="P29" i="4"/>
  <c r="F29" i="4"/>
  <c r="P28" i="4"/>
  <c r="F28" i="4"/>
  <c r="P27" i="4"/>
  <c r="F27" i="4"/>
  <c r="P26" i="4"/>
  <c r="F26" i="4"/>
  <c r="P25" i="4"/>
  <c r="F25" i="4"/>
  <c r="P24" i="4"/>
  <c r="F24" i="4"/>
  <c r="P23" i="4"/>
  <c r="F23" i="4"/>
  <c r="P22" i="4"/>
  <c r="F22" i="4"/>
  <c r="P21" i="4"/>
  <c r="F21" i="4"/>
  <c r="P20" i="4"/>
  <c r="F20" i="4"/>
  <c r="P19" i="4"/>
  <c r="F19" i="4"/>
  <c r="P18" i="4"/>
  <c r="F18" i="4"/>
  <c r="P17" i="4"/>
  <c r="F17" i="4"/>
  <c r="P16" i="4"/>
  <c r="F16" i="4"/>
  <c r="P15" i="4"/>
  <c r="F15" i="4"/>
  <c r="P14" i="4"/>
  <c r="F14" i="4"/>
  <c r="P13" i="4"/>
  <c r="F13" i="4"/>
  <c r="P12" i="4"/>
  <c r="F12" i="4"/>
  <c r="P11" i="4"/>
  <c r="F11" i="4"/>
  <c r="P10" i="4"/>
  <c r="F10" i="4"/>
  <c r="P9" i="4"/>
  <c r="F9" i="4"/>
  <c r="P8" i="4"/>
  <c r="F8" i="4"/>
  <c r="P7" i="4"/>
  <c r="F7" i="4"/>
  <c r="P6" i="4"/>
  <c r="F6" i="4"/>
  <c r="P5" i="4"/>
  <c r="F5" i="4"/>
  <c r="H10" i="2" l="1"/>
  <c r="H4" i="2" l="1"/>
  <c r="H2" i="2"/>
  <c r="H3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B41" i="3" l="1"/>
  <c r="C10" i="3" l="1"/>
  <c r="C2" i="2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H72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</commentList>
</comments>
</file>

<file path=xl/sharedStrings.xml><?xml version="1.0" encoding="utf-8"?>
<sst xmlns="http://schemas.openxmlformats.org/spreadsheetml/2006/main" count="1695" uniqueCount="581">
  <si>
    <t>AG's Abertos.xlsx</t>
  </si>
  <si>
    <t>Digite sua Matrícula</t>
  </si>
  <si>
    <t>Ex.: bc777777</t>
  </si>
  <si>
    <t>BO_RACO_EMP_WEB.xlsx</t>
  </si>
  <si>
    <t>portalFixa</t>
  </si>
  <si>
    <t>BO MIGRAÇÃO EMPRESARIAL-PORTAL EMPRESARIAL FIXA.xlsx</t>
  </si>
  <si>
    <t>portalMovel</t>
  </si>
  <si>
    <t>BO MIGRAÇÃO EMPRESARIAL-PORTAL EMPRESARIAL MOVEL.xlsx</t>
  </si>
  <si>
    <t>Em andamento</t>
  </si>
  <si>
    <t>Retorno de Recusa</t>
  </si>
  <si>
    <t>BO RETENÇÃO EMPRESARIAL-AUDITORIA EMP</t>
  </si>
  <si>
    <t>BO RETENÇÃO EMPRESARIAL - BO MOVEL CANCELAMENTO</t>
  </si>
  <si>
    <t>Dados TT - Siebel 6.3 / Filas</t>
  </si>
  <si>
    <t>Categoria</t>
  </si>
  <si>
    <t>Sub-Categoria</t>
  </si>
  <si>
    <t>Detalhe</t>
  </si>
  <si>
    <t>Retenção Empresarial</t>
  </si>
  <si>
    <t>Recorrência</t>
  </si>
  <si>
    <t>Cancelamento linha divergente</t>
  </si>
  <si>
    <t>Cancelamento não efetivado</t>
  </si>
  <si>
    <t>Migração de plano divergente</t>
  </si>
  <si>
    <t>Migração de plano não efetuada</t>
  </si>
  <si>
    <t>Oferta cadastrada divergente</t>
  </si>
  <si>
    <t>Empresarial</t>
  </si>
  <si>
    <t>Cancelamento</t>
  </si>
  <si>
    <t>Após Horário Atendimento</t>
  </si>
  <si>
    <t>Ret.Emp 0a7desistência cliente</t>
  </si>
  <si>
    <t>Desmontagem de chips</t>
  </si>
  <si>
    <t>Parcial - pedido Loja</t>
  </si>
  <si>
    <t>Total - pedido Loja</t>
  </si>
  <si>
    <t>Contestação Emp - Apuração</t>
  </si>
  <si>
    <t>Cancelamento Pacote Blackberry</t>
  </si>
  <si>
    <t>Cancelamento Pacote de Dados</t>
  </si>
  <si>
    <t>Cancelamento Input Divergente</t>
  </si>
  <si>
    <t>Erro Cadastro</t>
  </si>
  <si>
    <t>Erro de Cadastro</t>
  </si>
  <si>
    <t>Reativação de Linha</t>
  </si>
  <si>
    <t>Erro do BO Ret.no Cancelamento</t>
  </si>
  <si>
    <t>Governo</t>
  </si>
  <si>
    <t>Não recebimento de Contrato</t>
  </si>
  <si>
    <t>Oferta Convergente</t>
  </si>
  <si>
    <t>Oferta Oi Partidos Políticos</t>
  </si>
  <si>
    <t>Oi Somente Dados</t>
  </si>
  <si>
    <t>Pacote de Dados</t>
  </si>
  <si>
    <t>Pacote de dados não associado</t>
  </si>
  <si>
    <t>Perda Pioneiro Cancel indevido</t>
  </si>
  <si>
    <t>Plano de voz</t>
  </si>
  <si>
    <t>Portabilidade Receptora</t>
  </si>
  <si>
    <t>Reativação de linha divergente</t>
  </si>
  <si>
    <t>Solicitação via loja da Oi</t>
  </si>
  <si>
    <t>Retenção Especializada</t>
  </si>
  <si>
    <t>Plano de Voz</t>
  </si>
  <si>
    <t>Retenção OCTP PJ</t>
  </si>
  <si>
    <t>Cancelamento Oi Velox</t>
  </si>
  <si>
    <t>Cancelamento Total</t>
  </si>
  <si>
    <t>cliente discorda do pedido</t>
  </si>
  <si>
    <t>Cancelar Móvel Total</t>
  </si>
  <si>
    <t>Manter demais produtos C/ofert</t>
  </si>
  <si>
    <t>Cancelar Fixo / Velox</t>
  </si>
  <si>
    <t>Cancelar Móvel Total / Velox</t>
  </si>
  <si>
    <t>Cancel Móvel Parcial s Titular</t>
  </si>
  <si>
    <t>Cancelar Móvel Parcial / Velox</t>
  </si>
  <si>
    <t>Cancel Móvel Parcial c Titular</t>
  </si>
  <si>
    <t>Manter demais produtos S/ofert</t>
  </si>
  <si>
    <t>Cancelar Oi Velox</t>
  </si>
  <si>
    <t>Oi Móvel, Oi Fixo e Oi Velox</t>
  </si>
  <si>
    <t>Cancelam Móvel</t>
  </si>
  <si>
    <t>Renovação Fixo</t>
  </si>
  <si>
    <t>Cancelam Fixo</t>
  </si>
  <si>
    <t>Renovação Móvel</t>
  </si>
  <si>
    <t>Retenção Oi Total PJ</t>
  </si>
  <si>
    <t>BO RETENÇÃO EMPRESARIAL - BO MOVEL CANCELAMENTO PROVISORIO</t>
  </si>
  <si>
    <t>Cancelamento Provisorio</t>
  </si>
  <si>
    <t>Portabilidade</t>
  </si>
  <si>
    <t>BO RETENÇÃO EMPRESARIAL - BO MOVEL DESMEMBRAMENTO FRAUDE</t>
  </si>
  <si>
    <t>Retenção</t>
  </si>
  <si>
    <t>Desmembramento Fraude</t>
  </si>
  <si>
    <t>desmembramento Oi Total</t>
  </si>
  <si>
    <t>BO RETENÇÃO EMPRESARIAL - BO MOVEL FALTA DE COBERTURA</t>
  </si>
  <si>
    <t>Falta de Cobertura</t>
  </si>
  <si>
    <t>Acompanhar Reparo</t>
  </si>
  <si>
    <t>BO RETENÇÃO EMPRESARIAL - BO MOVEL TRANSFERENCIA DE TITULARIDADE</t>
  </si>
  <si>
    <t>Troca de Titul. não efetivada</t>
  </si>
  <si>
    <t>Transferência de Titularidade</t>
  </si>
  <si>
    <t>PJ para PF</t>
  </si>
  <si>
    <t>Retido com multa</t>
  </si>
  <si>
    <t>BO RETENÇÃO EMPRESARIAL - BO MOVEL VENDA INDEVIDA</t>
  </si>
  <si>
    <t>Cobrança</t>
  </si>
  <si>
    <t>Venda Indevida</t>
  </si>
  <si>
    <t>Análise Venda Indevida</t>
  </si>
  <si>
    <t>SAC - Análise Venda Indevida</t>
  </si>
  <si>
    <t>Venda Indevida Oi Total PJ</t>
  </si>
  <si>
    <t>Auditoria Empresarial</t>
  </si>
  <si>
    <t>Venda Errada Cancelada</t>
  </si>
  <si>
    <t>Cancelamento Parcial</t>
  </si>
  <si>
    <t>BO RETENÇÃO EMPRESARIAL-BO MOVEL LIBERAÇÃO CHIP-TRAAS</t>
  </si>
  <si>
    <t>BO Retenção Empresarial</t>
  </si>
  <si>
    <t>Acompanhamento liberação chip</t>
  </si>
  <si>
    <t>Pós para pré-pago</t>
  </si>
  <si>
    <t>Concatenado</t>
  </si>
  <si>
    <t>CANCELAMENTO</t>
  </si>
  <si>
    <t>CANCELAMENTO PROVISORIO</t>
  </si>
  <si>
    <t>DESMEMBRAMENTO FRAUDE</t>
  </si>
  <si>
    <t>FALTA DE COBERTURA</t>
  </si>
  <si>
    <t>TRANSFERENCIA DE TITULARIDADE</t>
  </si>
  <si>
    <t>VENDA INDEVIDA</t>
  </si>
  <si>
    <t>AUDITORIA EMP</t>
  </si>
  <si>
    <t>LIBERAÇÃO CHIP</t>
  </si>
  <si>
    <t>Dados SFA / Filas</t>
  </si>
  <si>
    <t>Abrir OS Mobilidade</t>
  </si>
  <si>
    <t>Migração SAC</t>
  </si>
  <si>
    <t>BO MIGRAÇÃO EMPRESARIAL-SFA FIXA</t>
  </si>
  <si>
    <t>Mobilidade Renovação</t>
  </si>
  <si>
    <t>BO MIGRAÇÃO EMPRESARIAL-SFA MOVEL</t>
  </si>
  <si>
    <t>CANCELAMENTO POS</t>
  </si>
  <si>
    <t>BO RETENÇÃO EMPRESARIAL-SFA FIXA</t>
  </si>
  <si>
    <t>INCLUSAO DE SUSPENSAO A PEDIDO</t>
  </si>
  <si>
    <t>FIXO</t>
  </si>
  <si>
    <t>FIXO + BANDA LARGA</t>
  </si>
  <si>
    <t>MOVEL</t>
  </si>
  <si>
    <t>MIGRAÇÃO SAC R2</t>
  </si>
  <si>
    <t>VELOX - SAC R2</t>
  </si>
  <si>
    <t>Oferta AVANCADO - SL Comercial</t>
  </si>
  <si>
    <t>BO MIGRAÇÃO EMPRESARIAL-OIT SFA RENOVAÇÃO</t>
  </si>
  <si>
    <t>Oferta SMART - SL Comercial</t>
  </si>
  <si>
    <t>Oferta TOP - SL Comercial</t>
  </si>
  <si>
    <t>Oferta AVANCADO - SL Completa</t>
  </si>
  <si>
    <t>Oferta SMART - SL Completa</t>
  </si>
  <si>
    <t>Oferta TOP - SL Completa</t>
  </si>
  <si>
    <t>Oferta AVANCADO - SL Conectado</t>
  </si>
  <si>
    <t>Oferta SMART - SL Conectado</t>
  </si>
  <si>
    <t>Oferta TOP - SL Conectado</t>
  </si>
  <si>
    <t>Oferta AVANCADO - SL Fixo + BL</t>
  </si>
  <si>
    <t>Oferta SMART - SL Fixo + BL</t>
  </si>
  <si>
    <t>Oferta TOP - SL Fixo + BL</t>
  </si>
  <si>
    <t>Oferta AVANCADO - SL TV + Fixo</t>
  </si>
  <si>
    <t>Oferta SMART - SL TV + Fixo</t>
  </si>
  <si>
    <t>Oferta TOP - SL TV + Fixo</t>
  </si>
  <si>
    <t>Ouvidoria EMP</t>
  </si>
  <si>
    <t>Cancelamento Fixo/Velox</t>
  </si>
  <si>
    <t>BO RETENÇÃO EMPRESARIAL - OUVIDORIA MULTI SFA CANCELAMENTO</t>
  </si>
  <si>
    <t>Cancelamento Móvel</t>
  </si>
  <si>
    <t>Cancelamento Oi Total</t>
  </si>
  <si>
    <t>Cancelamento TV</t>
  </si>
  <si>
    <t>Migração Fixo/Velox</t>
  </si>
  <si>
    <t>BO MIGRAÇÃO EMPRESARIAL - OUVIDORIA MULTI SFA RENOVACAO</t>
  </si>
  <si>
    <t>Migração Móvel</t>
  </si>
  <si>
    <t>Migração Oi Total</t>
  </si>
  <si>
    <t>Migração TV</t>
  </si>
  <si>
    <t>RET OI TOTAL EMPRESARIAL</t>
  </si>
  <si>
    <t>CANCELAMENTO_TOTAL</t>
  </si>
  <si>
    <t>BO RETENÇÃO EMPRESARIAL-OIT SFA CANCELAMENTO</t>
  </si>
  <si>
    <t>DESMEMBRAMENTO _MANTEM_UGRS</t>
  </si>
  <si>
    <t>BO RETENÇÃO EMPRESARIAL-OIT SFA RENOVAÇÃO</t>
  </si>
  <si>
    <t>DESMEMBRAMENTO_CANCELA_UGRS</t>
  </si>
  <si>
    <t>MIGRAÇÃO_OITOTAL_ADIÇÃO_UGRS</t>
  </si>
  <si>
    <t>MIGRAÇÃO_OITOTAL_CANCELA_UGRS</t>
  </si>
  <si>
    <t>RENOVAÇÃO DE OFERTA OI TOTAL</t>
  </si>
  <si>
    <t>RET RII - FIXO/VELOX</t>
  </si>
  <si>
    <t>CANCELAMENTO FORA HORÁRIO RET</t>
  </si>
  <si>
    <t>ERRO BLOQUEIO</t>
  </si>
  <si>
    <t>ISENÇÃO DE MULTA RESCISÃO.</t>
  </si>
  <si>
    <t>MUDEND INCONSISTÊNCIA SISTÊMIC</t>
  </si>
  <si>
    <t>PORTABILIDADE DOADORA</t>
  </si>
  <si>
    <t>QUALITY CALL</t>
  </si>
  <si>
    <t>REINSTALAÇÃO FIXA/VELOX</t>
  </si>
  <si>
    <t>RET RII - MÓVEL</t>
  </si>
  <si>
    <t>CANCELAMENTO FORA HORÁRIO RET.</t>
  </si>
  <si>
    <t>RETENCAO CONVERGENTE</t>
  </si>
  <si>
    <t>OFERTA FIXO + MOVEL OCT</t>
  </si>
  <si>
    <t>RETENÇÃO MÓVEL - SIMULADOR</t>
  </si>
  <si>
    <t>OFERTA 1</t>
  </si>
  <si>
    <t>OFERTA 2</t>
  </si>
  <si>
    <t>OFERTA 3</t>
  </si>
  <si>
    <t>OFERTA 4</t>
  </si>
  <si>
    <t>RETENÇÃO R1</t>
  </si>
  <si>
    <t>RETENÇÃO R2</t>
  </si>
  <si>
    <t>RETIRADA DE SUSPENSAO A PEDIDO</t>
  </si>
  <si>
    <t>REVERSÃO R1</t>
  </si>
  <si>
    <t>REVERSÃO R2</t>
  </si>
  <si>
    <t>VELOX</t>
  </si>
  <si>
    <t>FIXO INVIABILIDADE VELOX</t>
  </si>
  <si>
    <t>Tipo</t>
  </si>
  <si>
    <t>Fila Resumida</t>
  </si>
  <si>
    <t>Fila SISWEB</t>
  </si>
  <si>
    <t>Status SFA (Fixa e Movel)</t>
  </si>
  <si>
    <t>Aberto</t>
  </si>
  <si>
    <t>Em Tratamento</t>
  </si>
  <si>
    <t>Não iniciado</t>
  </si>
  <si>
    <t>Pendente</t>
  </si>
  <si>
    <t>MIG SFA FIXA</t>
  </si>
  <si>
    <t>MIG SFA MOVEL</t>
  </si>
  <si>
    <t>RET SFA FIXA</t>
  </si>
  <si>
    <t>MIG OUV REN</t>
  </si>
  <si>
    <t>MIG OIT REN</t>
  </si>
  <si>
    <t>RET OUV CAN</t>
  </si>
  <si>
    <t>RET OIT CAN</t>
  </si>
  <si>
    <t>RET OIT REN</t>
  </si>
  <si>
    <t>RET COBRANÇA</t>
  </si>
  <si>
    <t>COBRANCA - SIMULADOR MOVEL</t>
  </si>
  <si>
    <t>BO MIGRAÇÃO EMPRESARIAL - FIBRA SFA RENOVACAO</t>
  </si>
  <si>
    <t>BO RETENÇÃO EMPRESARIAL - FIBRA SFA RENOVACAO</t>
  </si>
  <si>
    <t>Retenção Fibra EMP</t>
  </si>
  <si>
    <t>Migração Cobre Fibra</t>
  </si>
  <si>
    <t>RET FIBRA REN</t>
  </si>
  <si>
    <t>Blindagem Fibra EMP</t>
  </si>
  <si>
    <t>Migração Fibra Fibra</t>
  </si>
  <si>
    <t>MIG FIBRA REN</t>
  </si>
  <si>
    <t>Ilha de Migração Fibra EMP</t>
  </si>
  <si>
    <t>ILHA DE MIGRAÇÃO MOVEL - SIMUL</t>
  </si>
  <si>
    <t>BO MIGRAÇÃO EMPRESARIAL - FIBRA SFA RENOVACAO.xlsx</t>
  </si>
  <si>
    <t>BO MIGRAÇÃO EMPRESARIAL-OIT SFA RENOVAÇÃO.xlsx</t>
  </si>
  <si>
    <t>BO MIGRAÇÃO EMPRESARIAL-SFA FIXA.xlsx</t>
  </si>
  <si>
    <t>BO MIGRAÇÃO EMPRESARIAL-SFA MOVEL.xlsx</t>
  </si>
  <si>
    <t>BO RETENÇÃO EMPRESARIAL - FIBRA SFA RENOVACAO.xlsx</t>
  </si>
  <si>
    <t>BO RETENÇÃO EMPRESARIAL-OIT SFA CANCELAMENTO.xlsx</t>
  </si>
  <si>
    <t>BO RETENÇÃO EMPRESARIAL-OIT SFA RENOVAÇÃO.xlsx</t>
  </si>
  <si>
    <t>BO RETENÇÃO EMPRESARIAL-SFA FIXA.xlsx</t>
  </si>
  <si>
    <t>BO MIGRAÇÃO EMPRESARIAL - FIBRA SFA RENOVACAO (Retorno de Recusa).xlsx</t>
  </si>
  <si>
    <t>BO MIGRAÇÃO EMPRESARIAL-OIT SFA RENOVAÇÃO (Retorno de Recusa).xlsx</t>
  </si>
  <si>
    <t>BO MIGRAÇÃO EMPRESARIAL-SFA FIXA (Retorno de Recusa).xlsx</t>
  </si>
  <si>
    <t>BO MIGRAÇÃO EMPRESARIAL-SFA MOVEL (Retorno de Recusa).xlsx</t>
  </si>
  <si>
    <t>BO RETENÇÃO EMPRESARIAL - FIBRA SFA RENOVACAO (Retorno de Recusa).xlsx</t>
  </si>
  <si>
    <t>BO RETENÇÃO EMPRESARIAL-OIT SFA CANCELAMENTO (Retorno de Recusa).xlsx</t>
  </si>
  <si>
    <t>BO RETENÇÃO EMPRESARIAL-OIT SFA RENOVAÇÃO (Retorno de Recusa).xlsx</t>
  </si>
  <si>
    <t>BO RETENÇÃO EMPRESARIAL-SFA FIXA (Retorno de Recusa).xlsx</t>
  </si>
  <si>
    <t>OiTE – Solucao Comercial</t>
  </si>
  <si>
    <t>OiTE – Solucao Completa</t>
  </si>
  <si>
    <t>OiTE – Solucao Conectado</t>
  </si>
  <si>
    <t>OiTE – Solucao Fixo + BL</t>
  </si>
  <si>
    <t>OiTE – Solucao TV + Fixo</t>
  </si>
  <si>
    <t>portalMovelRec</t>
  </si>
  <si>
    <t>BO MIGRAÇÃO EMPRESARIAL-PORTAL EMPRESARIAL FIXA (Retorno de Recusa).xlsx</t>
  </si>
  <si>
    <t>BO MIGRAÇÃO EMPRESARIAL-PORTAL EMPRESARIAL MOVEL (Retorno de Recusa).xlsx</t>
  </si>
  <si>
    <t>BO RETENÇÃO EMPRESARIAL-MIGRAÇÃO REVERSA</t>
  </si>
  <si>
    <t>Abrir OS FTTH</t>
  </si>
  <si>
    <t>Migração Reversa</t>
  </si>
  <si>
    <t>agsAbertos</t>
  </si>
  <si>
    <t>ttsAbertosVisaoBacklog</t>
  </si>
  <si>
    <t>racoEmpWeb</t>
  </si>
  <si>
    <t>1. AG's Abertos</t>
  </si>
  <si>
    <t>2. TT's Abertos</t>
  </si>
  <si>
    <t>3. BO RET-EMP-SFA FIXA</t>
  </si>
  <si>
    <t>3.1 BO RET-EMP-SFA FIXA</t>
  </si>
  <si>
    <t>4. BO MIG-EMP-SFA MOVEL</t>
  </si>
  <si>
    <t>4.1 BO MIG-EMP-SFA MOVEL</t>
  </si>
  <si>
    <t>5. BO MIG-EMP-SFA-FIXO</t>
  </si>
  <si>
    <t>5.1 BO MIG-EMP-SFA-FIXO</t>
  </si>
  <si>
    <t>6. BO MIG-EMP-PORTAL-MOVEL</t>
  </si>
  <si>
    <t>6.1 BO MIG-EMP-PORTAL-MOVEL</t>
  </si>
  <si>
    <t>7. BO_RACO_EMP_WEB URA</t>
  </si>
  <si>
    <t>8. PORTAL EMP-MIG-FIXO</t>
  </si>
  <si>
    <t>8.1 PORTAL EMP-MIG-FIXO</t>
  </si>
  <si>
    <t>9. BO RET-SFA CANCEL OIT</t>
  </si>
  <si>
    <t>9.1 BO RET-SFA CANCEL OIT</t>
  </si>
  <si>
    <t>10. BO RET-SFA RENOV OIT</t>
  </si>
  <si>
    <t>10.1 BO RET-SFA RENOV OIT</t>
  </si>
  <si>
    <t>12. BO MIG SENA</t>
  </si>
  <si>
    <t>retencaoSfaFixa</t>
  </si>
  <si>
    <t>retencaoSfaFixaRecusa</t>
  </si>
  <si>
    <t>11. BO MIG-SFA RENOV OIT</t>
  </si>
  <si>
    <t>11.1 BO MIG-SFA RENOV OIT</t>
  </si>
  <si>
    <t>migracaoSena</t>
  </si>
  <si>
    <t>migracaoSfaMovel</t>
  </si>
  <si>
    <t>migracaoSfaMovelRec</t>
  </si>
  <si>
    <t>migracaoSfaFixa</t>
  </si>
  <si>
    <t>migracaoSfaFixaRec</t>
  </si>
  <si>
    <t>retecaoOitCan</t>
  </si>
  <si>
    <t>retecaoOitCanRec</t>
  </si>
  <si>
    <t>TTs Abertos para Visao Backlog.xlsx</t>
  </si>
  <si>
    <t>Locais</t>
  </si>
  <si>
    <t>localDesktop</t>
  </si>
  <si>
    <t>localExtracao</t>
  </si>
  <si>
    <t>localDistribuicao</t>
  </si>
  <si>
    <t>Visão Backlog</t>
  </si>
  <si>
    <t>visaoBackLogAuto</t>
  </si>
  <si>
    <t>retecaoOitRenovacao</t>
  </si>
  <si>
    <t>retecaoOitRenovacaoRec</t>
  </si>
  <si>
    <t>migracaoOitRenovacao</t>
  </si>
  <si>
    <t>migracaoOitRenovacaoRec</t>
  </si>
  <si>
    <t>Nome das Abas na Visao Backlog</t>
  </si>
  <si>
    <t>Arquivos Utilizados para a Visao Backlog</t>
  </si>
  <si>
    <t>Variaveis de Referências</t>
  </si>
  <si>
    <t>MIGRACAO SENA VISAO BACKLOG.xlsx</t>
  </si>
  <si>
    <t>STATUS</t>
  </si>
  <si>
    <t>UNIDADE_NEGOCIO</t>
  </si>
  <si>
    <t>DESCRICAO_INSAPOIO</t>
  </si>
  <si>
    <t xml:space="preserve">CATEGORIA: </t>
  </si>
  <si>
    <t>SUB_CATEGORIA</t>
  </si>
  <si>
    <t>DETALHE</t>
  </si>
  <si>
    <t>Retenção Fibra Empresarial</t>
  </si>
  <si>
    <t>Cancelamento R2</t>
  </si>
  <si>
    <t>Fixo/Velox Cobre</t>
  </si>
  <si>
    <t>BO RETENÇÃO EMPRESARIAL-FIXO_SBL8_CANCELAMENTO</t>
  </si>
  <si>
    <t>EMPRESARIAL</t>
  </si>
  <si>
    <t>BO RETENÇÃO EMPRESARIAL - AG CANCELAMENTO</t>
  </si>
  <si>
    <t>Sem Tratamento</t>
  </si>
  <si>
    <t xml:space="preserve">BO_RACO_EMP_WEB </t>
  </si>
  <si>
    <t>VAREJO/EMPRESARIAL</t>
  </si>
  <si>
    <t>Fila</t>
  </si>
  <si>
    <t>SUN</t>
  </si>
  <si>
    <t>BO RETENÇÃO EMPRESARIAL - AG DOWNGRADE</t>
  </si>
  <si>
    <t>BO RETENÇÃO EMPRESARIAL - AG SERVIÇO</t>
  </si>
  <si>
    <t>Local Arquivo</t>
  </si>
  <si>
    <t>REGION</t>
  </si>
  <si>
    <t>F</t>
  </si>
  <si>
    <t>ATRIBUIDO_A_LOGIN</t>
  </si>
  <si>
    <t>G</t>
  </si>
  <si>
    <t>INICIO_PLANEJADO</t>
  </si>
  <si>
    <t>H</t>
  </si>
  <si>
    <t>TIPO</t>
  </si>
  <si>
    <t>I</t>
  </si>
  <si>
    <t>Nome do Arquivo Que vai Ser Ordenado Colunas</t>
  </si>
  <si>
    <t>CONTA</t>
  </si>
  <si>
    <t>J</t>
  </si>
  <si>
    <t>SFA FIXO</t>
  </si>
  <si>
    <t>VENCIMENTO</t>
  </si>
  <si>
    <t>K</t>
  </si>
  <si>
    <t>L</t>
  </si>
  <si>
    <t>MOTIVO_DA_RECUSA</t>
  </si>
  <si>
    <t>M</t>
  </si>
  <si>
    <t>MATRICULA</t>
  </si>
  <si>
    <t>PRIORIDADE</t>
  </si>
  <si>
    <t>N</t>
  </si>
  <si>
    <t>CONCLUSAO_EFETIVA</t>
  </si>
  <si>
    <t>O</t>
  </si>
  <si>
    <t>bc777777</t>
  </si>
  <si>
    <t>CONCLUSAO_PLANEJADA</t>
  </si>
  <si>
    <t>P</t>
  </si>
  <si>
    <t>NUMERO_OPORTUNIDADE</t>
  </si>
  <si>
    <t>Q</t>
  </si>
  <si>
    <t>INICIO_EFETIVO</t>
  </si>
  <si>
    <t>R</t>
  </si>
  <si>
    <t>TERMINO_PLANEJADO</t>
  </si>
  <si>
    <t>S</t>
  </si>
  <si>
    <t>TERMINO_EFETIVO</t>
  </si>
  <si>
    <t>T</t>
  </si>
  <si>
    <t>RESPONSAVEL</t>
  </si>
  <si>
    <t>U</t>
  </si>
  <si>
    <t>FUNCIONARIOS</t>
  </si>
  <si>
    <t>V</t>
  </si>
  <si>
    <t>CATEGORIA</t>
  </si>
  <si>
    <t>W</t>
  </si>
  <si>
    <t>SLA</t>
  </si>
  <si>
    <t>X</t>
  </si>
  <si>
    <t>DURACAO</t>
  </si>
  <si>
    <t>Y</t>
  </si>
  <si>
    <t>PER_CONCLUIDO</t>
  </si>
  <si>
    <t>Z</t>
  </si>
  <si>
    <t>CRIADO_EM</t>
  </si>
  <si>
    <t>AA</t>
  </si>
  <si>
    <t>DURACAO_TRABALHO</t>
  </si>
  <si>
    <t>AB</t>
  </si>
  <si>
    <t>ESFORCO_RESTANTE</t>
  </si>
  <si>
    <t>AC</t>
  </si>
  <si>
    <t>CONCLUIDO</t>
  </si>
  <si>
    <t>AD</t>
  </si>
  <si>
    <t>PARTICULAR</t>
  </si>
  <si>
    <t>AE</t>
  </si>
  <si>
    <t>INICIO_ANTECIPADO</t>
  </si>
  <si>
    <t>AF</t>
  </si>
  <si>
    <t>ALARME</t>
  </si>
  <si>
    <t>AG</t>
  </si>
  <si>
    <t>LEAD_ALARME</t>
  </si>
  <si>
    <t>AH</t>
  </si>
  <si>
    <t>REPETIR</t>
  </si>
  <si>
    <t>AI</t>
  </si>
  <si>
    <t>FREQUENCIA_REPETICAO</t>
  </si>
  <si>
    <t>AJ</t>
  </si>
  <si>
    <t>REPETIR_ATE</t>
  </si>
  <si>
    <t>AK</t>
  </si>
  <si>
    <t>ATIVIDADE_PAI</t>
  </si>
  <si>
    <t>AL</t>
  </si>
  <si>
    <t>RAZAO_SOC</t>
  </si>
  <si>
    <t>AM</t>
  </si>
  <si>
    <t>CNPJ</t>
  </si>
  <si>
    <t>SETOR</t>
  </si>
  <si>
    <t>AO</t>
  </si>
  <si>
    <t>SEG_MER</t>
  </si>
  <si>
    <t>AP</t>
  </si>
  <si>
    <t>RELACIONAMENTO</t>
  </si>
  <si>
    <t>AQ</t>
  </si>
  <si>
    <t>ORGVEND</t>
  </si>
  <si>
    <t>AR</t>
  </si>
  <si>
    <t>CONTANIVEL1</t>
  </si>
  <si>
    <t>AS</t>
  </si>
  <si>
    <t>CONTANIVEL2</t>
  </si>
  <si>
    <t>AT</t>
  </si>
  <si>
    <t>CONTANIVEL3</t>
  </si>
  <si>
    <t>AU</t>
  </si>
  <si>
    <t>CONTANIVEL4</t>
  </si>
  <si>
    <t>AV</t>
  </si>
  <si>
    <t>BLOATRI</t>
  </si>
  <si>
    <t>AW</t>
  </si>
  <si>
    <t>PUBLICO</t>
  </si>
  <si>
    <t>AX</t>
  </si>
  <si>
    <t>NUMERO_DA_ATIVIDADES</t>
  </si>
  <si>
    <t>AY</t>
  </si>
  <si>
    <t>ID_PEDIDO</t>
  </si>
  <si>
    <t>AZ</t>
  </si>
  <si>
    <t>CRIADO_POR_LOGIN</t>
  </si>
  <si>
    <t>BA</t>
  </si>
  <si>
    <t>CRIADO_POR_PRIM_NOME</t>
  </si>
  <si>
    <t>BB</t>
  </si>
  <si>
    <t>ATRIBUIDO_A_PRIM_NOME</t>
  </si>
  <si>
    <t>BC</t>
  </si>
  <si>
    <t>ATRIBUIDO_A_ULT_NOME</t>
  </si>
  <si>
    <t>BD</t>
  </si>
  <si>
    <t>CRIADO_POR_ULT_NOME</t>
  </si>
  <si>
    <t>TIPO_CONTA</t>
  </si>
  <si>
    <t>PARCEIRO</t>
  </si>
  <si>
    <t>UF</t>
  </si>
  <si>
    <t>ATIVIDADE_ANTERIOR</t>
  </si>
  <si>
    <t>ORDEM DAS COLUNAS SFA FIXA</t>
  </si>
  <si>
    <t>SFA FIXO AUX</t>
  </si>
  <si>
    <t>A</t>
  </si>
  <si>
    <t>B</t>
  </si>
  <si>
    <t>C</t>
  </si>
  <si>
    <t>D</t>
  </si>
  <si>
    <t>E</t>
  </si>
  <si>
    <t>rodar as 6 macros da aba Gerador e realizar a importação dos Mailings</t>
  </si>
  <si>
    <t>URL_REDE</t>
  </si>
  <si>
    <t>\\naspc31\bo_oct$\02_Staff\BO_MACRO\Empresarial\</t>
  </si>
  <si>
    <t>VALIDAR</t>
  </si>
  <si>
    <t>Hot Line - Venda Indevida</t>
  </si>
  <si>
    <t>Renovação Indevida</t>
  </si>
  <si>
    <t>Cobrança - Venda Indevida</t>
  </si>
  <si>
    <t>Análise Venda Indevida OCTPJ</t>
  </si>
  <si>
    <t>CSE - Análise Venda Indevida</t>
  </si>
  <si>
    <t>Contestação - Venda Indevida</t>
  </si>
  <si>
    <t>Análise Migração Indevida</t>
  </si>
  <si>
    <t>Cliente Governo</t>
  </si>
  <si>
    <t>Tratar</t>
  </si>
  <si>
    <t>MEDIAS GOVERNO</t>
  </si>
  <si>
    <t>BO RETENÇÃO EMPRESARIAL-BO MOVEL CLIENTE MEDIAS-GOVERNO</t>
  </si>
  <si>
    <t>Cliente Médias</t>
  </si>
  <si>
    <t>Retorno Plano Anterior</t>
  </si>
  <si>
    <t>Migração Indevida</t>
  </si>
  <si>
    <t>Bo Contestação Empresarial</t>
  </si>
  <si>
    <t>RETENÇÃO R1 TAD</t>
  </si>
  <si>
    <t>OFERTA SITE</t>
  </si>
  <si>
    <t>RETENÇÃO R2 TAD</t>
  </si>
  <si>
    <t>RETENÇÃO ESPECIALIZADA R2</t>
  </si>
  <si>
    <t>RETENÇÃO ESPECIALIZADA R1</t>
  </si>
  <si>
    <t>MIGRAÇÃO R1</t>
  </si>
  <si>
    <t>MIGRAÇÃO R2</t>
  </si>
  <si>
    <t>PORTABILIDADE RI</t>
  </si>
  <si>
    <t>PORTABILIDADE RII</t>
  </si>
  <si>
    <t>CANCELAMENTO MEDIAS</t>
  </si>
  <si>
    <t>ATIVO CANCELAMENTO</t>
  </si>
  <si>
    <t>CANC MEDIAS FIXO/VELOX</t>
  </si>
  <si>
    <t>ERRO UP VELOX</t>
  </si>
  <si>
    <t>GERAR OS CLIENTES COM BLO 56</t>
  </si>
  <si>
    <t>INST/ALTERAÇÃO VELOX ALONE</t>
  </si>
  <si>
    <t>INVIABILIDADE PORT RECEP</t>
  </si>
  <si>
    <t>ISENTAR COBRANCA MULTA FIXO</t>
  </si>
  <si>
    <t>NÃO CADASTRADO PORTAL</t>
  </si>
  <si>
    <t>OFERTA CLIENTE TRAAS</t>
  </si>
  <si>
    <t>RETIRADA ADSL (AQ FTTH)</t>
  </si>
  <si>
    <t>REVERSÃO OFERTA CLIENTE INADIM</t>
  </si>
  <si>
    <t>TRATAMENTO EXCEÇÃO POR EMAIL.</t>
  </si>
  <si>
    <t>ACOMP. DO PEDIDO DE MIGRAÇÃO</t>
  </si>
  <si>
    <t>CANCELAMENTO ACIMA 10 ACESSOS</t>
  </si>
  <si>
    <t>ERRO GERAÇÃO OS CANCELAMENTO</t>
  </si>
  <si>
    <t>ISENÇÃO DE MULTA RESCISÃO</t>
  </si>
  <si>
    <t>SOLICITAÇÃO CANC. SAC ON LINE</t>
  </si>
  <si>
    <t>TRAASS BASE LEGADA</t>
  </si>
  <si>
    <t>TRATAMENTO EXCEÇÃO POR EMAIL</t>
  </si>
  <si>
    <t>Retirada</t>
  </si>
  <si>
    <t>Retirada - RI e RIII</t>
  </si>
  <si>
    <t>RETIRADA OI TV</t>
  </si>
  <si>
    <t>CANC DE CONTRATO OI TV</t>
  </si>
  <si>
    <t>BANDA LARGA</t>
  </si>
  <si>
    <t>retencaoFibraSFARenovacao</t>
  </si>
  <si>
    <t>13. BO RET-FIBRA SFA RENOV</t>
  </si>
  <si>
    <t>retencaoFibraSFARenovacaoRec</t>
  </si>
  <si>
    <t>13.1 BO RET-FIBRA SFA RENOV</t>
  </si>
  <si>
    <t>migracaoFibraSFARenovacao</t>
  </si>
  <si>
    <t>14. BO MIG-FIBRA SFA RENOV</t>
  </si>
  <si>
    <t>migracaoFibraSFARenovacaoRec</t>
  </si>
  <si>
    <t>14.1 BO MIG-FIBRA SFA RENOV</t>
  </si>
  <si>
    <t>DATA HOJE</t>
  </si>
  <si>
    <t>Para fazer a "Visão de Backlog - Empresarial HOJE.xlsb" tem que</t>
  </si>
  <si>
    <t>Precisa da ABA "BASE SISWEB" Preenchido com os Entrantes de HOJE PRIMEIRO e depois com a BASE de "Produtividade D-1"</t>
  </si>
  <si>
    <t>Salvar uma base MIGRAÇÃO SENA extraida Relatórios&gt;Relatórios Por Mailing&gt;Ultimo Status</t>
  </si>
  <si>
    <t>com a data de 1 meses até hoje. Salvar dentro da Pasta Extração com o nome MIGRACAO SENA VISAO BACKLOG no formato xlsx</t>
  </si>
  <si>
    <t>visaoBackLogORIGINAL</t>
  </si>
  <si>
    <t>Visão de Backlog - Empresarial.xlsb</t>
  </si>
  <si>
    <t>Auto</t>
  </si>
  <si>
    <t>R1 - FIXO</t>
  </si>
  <si>
    <t>RET SFA MIG REVERSA</t>
  </si>
  <si>
    <t>R2 - FIXO</t>
  </si>
  <si>
    <t>RET SFA MOVEL</t>
  </si>
  <si>
    <t>BO RETENÇÃO EMPRESARIAL-SFA MOVEL</t>
  </si>
  <si>
    <t>Mobilidade Retenção</t>
  </si>
  <si>
    <t>RETENÇÃO EMPRESARIAL</t>
  </si>
  <si>
    <t>ANEXO ACIMA DE 10 ACESSOS</t>
  </si>
  <si>
    <t>Móvel</t>
  </si>
  <si>
    <t>Inc Suspensão Pedido 60 dias</t>
  </si>
  <si>
    <t>Inc Suspensão Pedido 120 dias</t>
  </si>
  <si>
    <t>Desmontagem de kit</t>
  </si>
  <si>
    <t>Chip Bloqueado</t>
  </si>
  <si>
    <t>Cancelar</t>
  </si>
  <si>
    <t>Oi Total</t>
  </si>
  <si>
    <t xml:space="preserve">Reposicionar </t>
  </si>
  <si>
    <t>BO RETENÇÃO EMPRESARIAL - AVERAGE CANCELAMENTO SFA EMP</t>
  </si>
  <si>
    <t>BO RETENÇÃO EMPRESARIAL-COBRANÇA</t>
  </si>
  <si>
    <t>DE AVERAGE EMP - CANCELAMENTO</t>
  </si>
  <si>
    <t>OI TOTAL/OCT - ISENCAO MULTA</t>
  </si>
  <si>
    <t>FIXO/VELOX - ISENCAO MULTA</t>
  </si>
  <si>
    <t>BO RETENÇÃO EMPRESARIAL-SFA MOVEL_1</t>
  </si>
  <si>
    <t>Espera ?</t>
  </si>
  <si>
    <t>20 Dias</t>
  </si>
  <si>
    <t>3 Dias</t>
  </si>
  <si>
    <t>RET SFA MOVEL_D1</t>
  </si>
  <si>
    <t>AVERAGE CANCELAMENTO SFA EMP</t>
  </si>
  <si>
    <t>MIGRAÇÃO_OITOTAL_FTTH</t>
  </si>
  <si>
    <t>\\naspc31\bo_oct$\23-Distribuição\BO EMPRESARIAL\</t>
  </si>
  <si>
    <t>AG Empresarial - Portal BI - Filas</t>
  </si>
  <si>
    <t>ABERTA</t>
  </si>
  <si>
    <t>3 dias</t>
  </si>
  <si>
    <t>0 dias</t>
  </si>
  <si>
    <t>1 Dia</t>
  </si>
  <si>
    <t>&gt;27/06/2021</t>
  </si>
  <si>
    <t>&gt;25/05/2021</t>
  </si>
  <si>
    <t>COLAR TRANSPONDO</t>
  </si>
  <si>
    <t>CRITÉRIO</t>
  </si>
  <si>
    <t>Cobrança Fibra EMP</t>
  </si>
  <si>
    <t>Migração Cobre Fibra OIT</t>
  </si>
  <si>
    <t>Migração Fibra Fibra OIT</t>
  </si>
  <si>
    <t>MIG COBRANÇA</t>
  </si>
  <si>
    <t>15 Dias</t>
  </si>
  <si>
    <t>BO MIGRAÇÃO EMPRESARIAL-COBRANÇA</t>
  </si>
  <si>
    <t>AG CANCELAMENTO</t>
  </si>
  <si>
    <t>AG DOWNGRADE</t>
  </si>
  <si>
    <t>AG SERVICO</t>
  </si>
  <si>
    <t>0 Dia</t>
  </si>
  <si>
    <t>Sem fila ativa</t>
  </si>
  <si>
    <t>RACO EMPRESARIAL - UNEAR</t>
  </si>
  <si>
    <t>&gt;=01/01/2020</t>
  </si>
  <si>
    <t>0 Dias</t>
  </si>
  <si>
    <t>SIEBEL 8</t>
  </si>
  <si>
    <t>NUMERO</t>
  </si>
  <si>
    <t>BO RETENÇÃO E MIGRAÇÃO EMPRESARIAL (1655)</t>
  </si>
  <si>
    <t>BO RETENÇÃO E MIGRAÇÃO EMPRESARIAL (1655</t>
  </si>
  <si>
    <t>SOL ABERTAS</t>
  </si>
  <si>
    <t>Descrição</t>
  </si>
  <si>
    <t>BOVs ( 503 e 66) - Portal Bi</t>
  </si>
  <si>
    <t>Incluir fila - Oi Chamados e TTs</t>
  </si>
  <si>
    <t>Unear - RACO</t>
  </si>
  <si>
    <t>Adicionado coluna no Tatico - tipo_sfa</t>
  </si>
  <si>
    <t>Incluir fila - adicionado coluna no tatico "tipo_sfa"</t>
  </si>
  <si>
    <t>Coluna Abertos e Fechados</t>
  </si>
  <si>
    <t>TATICO ANALITICO CPF X MAILING</t>
  </si>
  <si>
    <t>Mailings</t>
  </si>
  <si>
    <t>BASES DE EXTRAÇÃO</t>
  </si>
  <si>
    <t>LOCAIS DE REDE</t>
  </si>
  <si>
    <t>Nomes</t>
  </si>
  <si>
    <t>Mailings SISWEB</t>
  </si>
  <si>
    <t>URL_BACKUP</t>
  </si>
  <si>
    <t>URL_EXTRACAO</t>
  </si>
  <si>
    <t>URL_DISTRIBUICAO</t>
  </si>
  <si>
    <t>Variaveis VBA</t>
  </si>
  <si>
    <t>LORAIS DE REDE - Diretórios</t>
  </si>
  <si>
    <t>\\naspc31\bo_oct$\02_Staff\BO_MACRO\10_BO_EMPRESARIAL\Extração\</t>
  </si>
  <si>
    <t>\\naspc31\bo_oct$\02_Staff\BO_MACRO\10_BO_EMPRESARIAL\Distribuição\</t>
  </si>
  <si>
    <t>BASE_BACKOFFICE_ATENDIMENTO</t>
  </si>
  <si>
    <t>BASE_BACKOFFICE_ATENDIMENTO.xlsx</t>
  </si>
  <si>
    <t>C:\Users\BETH_ARLEY\Desktop\ProjetoVBA\THIAGO\Extracao\</t>
  </si>
  <si>
    <t>C:\Users\BETH_ARLEY\Desktop\ProjetoVBA\THIAGO\Distribuicao\</t>
  </si>
  <si>
    <t>Serviços</t>
  </si>
  <si>
    <t>Envio de Chip</t>
  </si>
  <si>
    <t>Não Possui Loja</t>
  </si>
  <si>
    <t>Sedex 10</t>
  </si>
  <si>
    <t>DAVG - Acompanha e ativa</t>
  </si>
  <si>
    <t>DAVG - Venda Pós pago</t>
  </si>
  <si>
    <t>Resgate de Linha</t>
  </si>
  <si>
    <t>Resgate de linha</t>
  </si>
  <si>
    <t>MAILING ENVIO DE CHIP</t>
  </si>
  <si>
    <t>MAILING RESGATE DE GRAVACAO</t>
  </si>
  <si>
    <t>Dados TT - Siebel 6.3 BACKOFFICE_ATENDIMENTO / Mailings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</si>
</sst>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0" xfId="0" applyFont="1"/>
    <xf numFmtId="0" fontId="1" fillId="0" borderId="2" xfId="0" applyFont="1" applyBorder="1" applyAlignment="1">
      <alignment horizontal="left" vertical="center"/>
    </xf>
    <xf numFmtId="14" fontId="2" fillId="0" borderId="2" xfId="0" applyNumberFormat="1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0" fontId="1" fillId="4" borderId="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6" fillId="0" borderId="0" xfId="0" applyFont="1"/>
    <xf numFmtId="1" fontId="2" fillId="0" borderId="2" xfId="0" applyNumberFormat="1" applyFont="1" applyBorder="1" applyAlignment="1">
      <alignment horizontal="left" vertical="center"/>
    </xf>
    <xf numFmtId="0" fontId="8" fillId="3" borderId="5" xfId="0" applyFont="1" applyFill="1" applyBorder="1"/>
    <xf numFmtId="0" fontId="8" fillId="2" borderId="6" xfId="0" applyFont="1" applyFill="1" applyBorder="1"/>
    <xf numFmtId="0" fontId="8" fillId="6" borderId="5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center" vertical="center"/>
    </xf>
    <xf numFmtId="0" fontId="0" fillId="0" borderId="6" xfId="0" applyBorder="1"/>
    <xf numFmtId="0" fontId="8" fillId="5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Fill="1" applyBorder="1"/>
    <xf numFmtId="0" fontId="1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9" fillId="0" borderId="5" xfId="0" applyFont="1" applyFill="1" applyBorder="1"/>
    <xf numFmtId="0" fontId="10" fillId="8" borderId="5" xfId="0" applyFont="1" applyFill="1" applyBorder="1"/>
    <xf numFmtId="0" fontId="2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/>
    <xf numFmtId="14" fontId="10" fillId="9" borderId="5" xfId="0" applyNumberFormat="1" applyFont="1" applyFill="1" applyBorder="1"/>
    <xf numFmtId="14" fontId="7" fillId="0" borderId="2" xfId="0" applyNumberFormat="1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left" vertical="center"/>
    </xf>
    <xf numFmtId="14" fontId="7" fillId="0" borderId="4" xfId="0" applyNumberFormat="1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left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14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left" vertical="center"/>
    </xf>
    <xf numFmtId="14" fontId="2" fillId="3" borderId="2" xfId="0" applyNumberFormat="1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3" fillId="10" borderId="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1" fontId="1" fillId="2" borderId="4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7" fillId="4" borderId="2" xfId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3" borderId="3" xfId="0" quotePrefix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140804</xdr:colOff>
      <xdr:row>1</xdr:row>
      <xdr:rowOff>74544</xdr:rowOff>
    </xdr:from>
    <xdr:to>
      <xdr:col>2</xdr:col>
      <xdr:colOff>331304</xdr:colOff>
      <xdr:row>4</xdr:row>
      <xdr:rowOff>124239</xdr:rowOff>
    </xdr:to>
    <xdr:sp macro="[0]!TT_BACKOFFICE_ATENDIMENTO" textlink="">
      <xdr:nvSpPr>
        <xdr:cNvPr id="4" name="Retângulo Arredondado 3"/>
        <xdr:cNvSpPr/>
      </xdr:nvSpPr>
      <xdr:spPr>
        <a:xfrm>
          <a:off x="140804" y="265044"/>
          <a:ext cx="1416326" cy="62119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BACKOFFICE</a:t>
          </a:r>
          <a:r>
            <a:rPr lang="pt-BR" sz="1200" b="1" baseline="0"/>
            <a:t> ATENDIMENTO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2</xdr:col>
          <xdr:colOff>66675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Visão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12</xdr:row>
      <xdr:rowOff>9525</xdr:rowOff>
    </xdr:from>
    <xdr:to>
      <xdr:col>2</xdr:col>
      <xdr:colOff>2552700</xdr:colOff>
      <xdr:row>16</xdr:row>
      <xdr:rowOff>104775</xdr:rowOff>
    </xdr:to>
    <xdr:sp macro="[0]!ORDENAR_SFA_FIXO" textlink="">
      <xdr:nvSpPr>
        <xdr:cNvPr id="2" name="Retângulo de cantos arredondados 1"/>
        <xdr:cNvSpPr/>
      </xdr:nvSpPr>
      <xdr:spPr>
        <a:xfrm>
          <a:off x="2733675" y="2295525"/>
          <a:ext cx="218122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Ordenar Colunas </a:t>
          </a:r>
          <a:r>
            <a:rPr lang="pt-BR" sz="1400" b="1" baseline="0"/>
            <a:t>SFA FIXO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../23-Distribui&#231;&#227;o/BO%20EMPRESARIAL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Distribui&#231;&#227;o/" TargetMode="External"/><Relationship Id="rId1" Type="http://schemas.openxmlformats.org/officeDocument/2006/relationships/hyperlink" Target="../../../23-Distribui&#231;&#227;o/BO%20EMPRESARIAL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Extra&#231;&#227;o/" TargetMode="External"/><Relationship Id="rId4" Type="http://schemas.openxmlformats.org/officeDocument/2006/relationships/hyperlink" Target="Distribui&#231;&#227;o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33"/>
  <sheetViews>
    <sheetView showGridLines="0" tabSelected="1" zoomScale="115" zoomScaleNormal="115" workbookViewId="0">
      <selection activeCell="D2" sqref="D2:E2"/>
    </sheetView>
  </sheetViews>
  <sheetFormatPr defaultRowHeight="15" customHeight="1" x14ac:dyDescent="0.25"/>
  <cols>
    <col min="1" max="3" width="9.140625" style="2"/>
    <col min="4" max="4" width="26.42578125" style="2" customWidth="1"/>
    <col min="5" max="5" width="30.28515625" style="2" bestFit="1" customWidth="1"/>
    <col min="6" max="6" width="7.42578125" style="2" customWidth="1"/>
    <col min="7" max="7" width="16.7109375" style="2" customWidth="1"/>
    <col min="8" max="8" width="61.5703125" style="2" customWidth="1"/>
    <col min="9" max="10" width="6.85546875" customWidth="1"/>
    <col min="11" max="11" width="6.85546875" style="2" customWidth="1"/>
    <col min="12" max="12" width="19.85546875" style="2" customWidth="1"/>
    <col min="13" max="13" width="20.85546875" style="2" customWidth="1"/>
    <col min="14" max="14" width="25.140625" style="2" customWidth="1"/>
    <col min="15" max="15" width="39.28515625" style="2" bestFit="1" customWidth="1"/>
    <col min="16" max="16" width="26.140625" style="2" bestFit="1" customWidth="1"/>
    <col min="17" max="16384" width="9.140625" style="2"/>
  </cols>
  <sheetData>
    <row r="1" spans="1:16" ht="15" customHeight="1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</row>
    <row r="2" spans="1:16" ht="15" customHeight="1" x14ac:dyDescent="0.25">
      <c r="D2" s="59" t="s">
        <v>555</v>
      </c>
      <c r="E2" s="59"/>
      <c r="G2" s="59" t="s">
        <v>563</v>
      </c>
      <c r="H2" s="59"/>
      <c r="L2" s="54" t="s">
        <v>580</v>
      </c>
      <c r="M2" s="54"/>
      <c r="N2" s="54"/>
    </row>
    <row r="3" spans="1:16" ht="15" customHeight="1" x14ac:dyDescent="0.25">
      <c r="D3" s="55" t="s">
        <v>562</v>
      </c>
      <c r="E3" s="56" t="s">
        <v>557</v>
      </c>
      <c r="G3" s="53" t="s">
        <v>556</v>
      </c>
      <c r="H3" s="53"/>
      <c r="L3" s="5" t="s">
        <v>13</v>
      </c>
      <c r="M3" s="5" t="s">
        <v>14</v>
      </c>
      <c r="N3" s="5" t="s">
        <v>15</v>
      </c>
      <c r="O3" s="5" t="s">
        <v>99</v>
      </c>
      <c r="P3" s="5" t="s">
        <v>558</v>
      </c>
    </row>
    <row r="4" spans="1:16" ht="15" customHeight="1" x14ac:dyDescent="0.25">
      <c r="D4" s="3" t="s">
        <v>566</v>
      </c>
      <c r="E4" s="1" t="s">
        <v>567</v>
      </c>
      <c r="G4" s="3" t="s">
        <v>559</v>
      </c>
      <c r="H4" s="57" t="s">
        <v>517</v>
      </c>
      <c r="L4" s="4" t="s">
        <v>570</v>
      </c>
      <c r="M4" s="4" t="s">
        <v>571</v>
      </c>
      <c r="N4" s="4"/>
      <c r="O4" s="4" t="str">
        <f>L4&amp;M4&amp;N4</f>
        <v>ServiçosEnvio de Chip</v>
      </c>
      <c r="P4" s="4" t="s">
        <v>578</v>
      </c>
    </row>
    <row r="5" spans="1:16" ht="15" customHeight="1" x14ac:dyDescent="0.25">
      <c r="D5" s="3"/>
      <c r="E5" s="1"/>
      <c r="G5" s="3" t="s">
        <v>560</v>
      </c>
      <c r="H5" s="57" t="s">
        <v>568</v>
      </c>
      <c r="L5" s="4" t="s">
        <v>570</v>
      </c>
      <c r="M5" s="4" t="s">
        <v>571</v>
      </c>
      <c r="N5" s="4" t="s">
        <v>572</v>
      </c>
      <c r="O5" s="4" t="str">
        <f t="shared" ref="O5:O11" si="0">L5&amp;M5&amp;N5</f>
        <v>ServiçosEnvio de ChipNão Possui Loja</v>
      </c>
      <c r="P5" s="4" t="s">
        <v>578</v>
      </c>
    </row>
    <row r="6" spans="1:16" ht="15" customHeight="1" x14ac:dyDescent="0.25">
      <c r="D6" s="3"/>
      <c r="E6" s="1"/>
      <c r="G6" s="3" t="s">
        <v>561</v>
      </c>
      <c r="H6" s="57" t="s">
        <v>569</v>
      </c>
      <c r="L6" s="4" t="s">
        <v>570</v>
      </c>
      <c r="M6" s="4" t="s">
        <v>571</v>
      </c>
      <c r="N6" s="4" t="s">
        <v>573</v>
      </c>
      <c r="O6" s="4" t="str">
        <f t="shared" si="0"/>
        <v>ServiçosEnvio de ChipSedex 10</v>
      </c>
      <c r="P6" s="4" t="s">
        <v>578</v>
      </c>
    </row>
    <row r="7" spans="1:16" ht="15" customHeight="1" x14ac:dyDescent="0.25">
      <c r="D7" s="3"/>
      <c r="E7" s="1"/>
      <c r="G7" s="3"/>
      <c r="H7" s="25"/>
      <c r="L7" s="4" t="s">
        <v>570</v>
      </c>
      <c r="M7" s="4" t="s">
        <v>571</v>
      </c>
      <c r="N7" s="4" t="s">
        <v>574</v>
      </c>
      <c r="O7" s="4" t="str">
        <f t="shared" si="0"/>
        <v>ServiçosEnvio de ChipDAVG - Acompanha e ativa</v>
      </c>
      <c r="P7" s="4" t="s">
        <v>578</v>
      </c>
    </row>
    <row r="8" spans="1:16" ht="15" customHeight="1" x14ac:dyDescent="0.25">
      <c r="D8" s="3"/>
      <c r="E8" s="1"/>
      <c r="G8" s="3"/>
      <c r="H8" s="25"/>
      <c r="L8" s="4" t="s">
        <v>570</v>
      </c>
      <c r="M8" s="4" t="s">
        <v>571</v>
      </c>
      <c r="N8" s="4" t="s">
        <v>575</v>
      </c>
      <c r="O8" s="4" t="str">
        <f t="shared" si="0"/>
        <v>ServiçosEnvio de ChipDAVG - Venda Pós pago</v>
      </c>
      <c r="P8" s="4" t="s">
        <v>578</v>
      </c>
    </row>
    <row r="9" spans="1:16" ht="15" customHeight="1" x14ac:dyDescent="0.25">
      <c r="D9" s="3"/>
      <c r="E9" s="1"/>
      <c r="G9" s="3"/>
      <c r="H9" s="25"/>
      <c r="L9" s="4" t="s">
        <v>570</v>
      </c>
      <c r="M9" s="4" t="s">
        <v>576</v>
      </c>
      <c r="N9" s="4"/>
      <c r="O9" s="4" t="str">
        <f t="shared" si="0"/>
        <v>ServiçosResgate de Linha</v>
      </c>
      <c r="P9" s="4" t="s">
        <v>579</v>
      </c>
    </row>
    <row r="10" spans="1:16" ht="15" customHeight="1" x14ac:dyDescent="0.25">
      <c r="D10" s="3"/>
      <c r="E10" s="1"/>
      <c r="G10" s="3"/>
      <c r="H10" s="25"/>
      <c r="L10" s="4" t="s">
        <v>570</v>
      </c>
      <c r="M10" s="4" t="s">
        <v>576</v>
      </c>
      <c r="N10" s="4" t="s">
        <v>572</v>
      </c>
      <c r="O10" s="4" t="str">
        <f t="shared" si="0"/>
        <v>ServiçosResgate de LinhaNão Possui Loja</v>
      </c>
      <c r="P10" s="4" t="s">
        <v>579</v>
      </c>
    </row>
    <row r="11" spans="1:16" ht="15" customHeight="1" x14ac:dyDescent="0.25">
      <c r="D11" s="3"/>
      <c r="E11" s="1"/>
      <c r="G11" s="3"/>
      <c r="H11" s="25"/>
      <c r="L11" s="4" t="s">
        <v>570</v>
      </c>
      <c r="M11" s="4" t="s">
        <v>577</v>
      </c>
      <c r="N11" s="4" t="s">
        <v>577</v>
      </c>
      <c r="O11" s="4" t="str">
        <f t="shared" si="0"/>
        <v>ServiçosResgate de linhaResgate de linha</v>
      </c>
      <c r="P11" s="4" t="s">
        <v>579</v>
      </c>
    </row>
    <row r="12" spans="1:16" ht="15" customHeight="1" x14ac:dyDescent="0.25">
      <c r="D12" s="3"/>
      <c r="E12" s="1"/>
      <c r="G12" s="3"/>
      <c r="H12" s="57" t="s">
        <v>517</v>
      </c>
      <c r="L12" s="4"/>
      <c r="M12" s="4"/>
      <c r="N12" s="4"/>
      <c r="O12" s="4"/>
      <c r="P12" s="4"/>
    </row>
    <row r="13" spans="1:16" ht="15" customHeight="1" x14ac:dyDescent="0.25">
      <c r="D13" s="3"/>
      <c r="E13" s="1"/>
      <c r="G13" s="3"/>
      <c r="H13" s="57" t="s">
        <v>564</v>
      </c>
      <c r="L13" s="4"/>
      <c r="M13" s="4"/>
      <c r="N13" s="4"/>
      <c r="O13" s="4"/>
      <c r="P13" s="4"/>
    </row>
    <row r="14" spans="1:16" ht="15" customHeight="1" x14ac:dyDescent="0.25">
      <c r="D14" s="3"/>
      <c r="E14" s="1"/>
      <c r="G14" s="3"/>
      <c r="H14" s="57" t="s">
        <v>565</v>
      </c>
      <c r="L14" s="4"/>
      <c r="M14" s="4"/>
      <c r="N14" s="4"/>
      <c r="O14" s="4"/>
      <c r="P14" s="4"/>
    </row>
    <row r="15" spans="1:16" ht="15" customHeight="1" x14ac:dyDescent="0.25">
      <c r="D15" s="3"/>
      <c r="E15" s="1"/>
      <c r="G15" s="3"/>
      <c r="H15" s="25"/>
      <c r="L15" s="4"/>
      <c r="M15" s="4"/>
      <c r="N15" s="4"/>
      <c r="O15" s="4"/>
      <c r="P15" s="4"/>
    </row>
    <row r="16" spans="1:16" ht="15" customHeight="1" x14ac:dyDescent="0.25">
      <c r="D16" s="3"/>
      <c r="E16" s="1"/>
      <c r="G16" s="3"/>
      <c r="H16" s="25"/>
      <c r="L16" s="4"/>
      <c r="M16" s="4"/>
      <c r="N16" s="4"/>
      <c r="O16" s="4"/>
      <c r="P16" s="4"/>
    </row>
    <row r="17" spans="4:16" ht="15" customHeight="1" x14ac:dyDescent="0.25">
      <c r="D17" s="3"/>
      <c r="E17" s="1"/>
      <c r="G17" s="3"/>
      <c r="H17" s="25"/>
      <c r="L17" s="4"/>
      <c r="M17" s="4"/>
      <c r="N17" s="4"/>
      <c r="O17" s="4"/>
      <c r="P17" s="4"/>
    </row>
    <row r="18" spans="4:16" ht="15" customHeight="1" x14ac:dyDescent="0.25">
      <c r="D18" s="3"/>
      <c r="E18" s="1"/>
      <c r="G18" s="3"/>
      <c r="H18" s="25"/>
      <c r="L18" s="4"/>
      <c r="M18" s="4"/>
      <c r="N18" s="4"/>
      <c r="O18" s="4"/>
      <c r="P18" s="4"/>
    </row>
    <row r="19" spans="4:16" ht="15" customHeight="1" x14ac:dyDescent="0.25">
      <c r="D19" s="3"/>
      <c r="E19" s="1"/>
      <c r="G19" s="3"/>
      <c r="H19" s="25"/>
      <c r="L19" s="4"/>
      <c r="M19" s="4"/>
      <c r="N19" s="4"/>
      <c r="O19" s="4"/>
      <c r="P19" s="4"/>
    </row>
    <row r="20" spans="4:16" ht="15" customHeight="1" x14ac:dyDescent="0.25">
      <c r="D20" s="3"/>
      <c r="E20" s="1"/>
      <c r="G20" s="3"/>
      <c r="H20" s="25"/>
      <c r="L20" s="4"/>
      <c r="M20" s="4"/>
      <c r="N20" s="4"/>
      <c r="O20" s="4"/>
      <c r="P20" s="4"/>
    </row>
    <row r="21" spans="4:16" ht="15" customHeight="1" x14ac:dyDescent="0.25">
      <c r="D21" s="3"/>
      <c r="E21" s="1"/>
      <c r="G21" s="3"/>
      <c r="H21" s="25"/>
      <c r="L21" s="4"/>
      <c r="M21" s="4"/>
      <c r="N21" s="4"/>
      <c r="O21" s="4"/>
      <c r="P21" s="4"/>
    </row>
    <row r="22" spans="4:16" ht="15" customHeight="1" x14ac:dyDescent="0.25">
      <c r="D22" s="3"/>
      <c r="E22" s="1"/>
      <c r="G22" s="3"/>
      <c r="H22" s="25"/>
      <c r="L22" s="4"/>
      <c r="M22" s="4"/>
      <c r="N22" s="4"/>
      <c r="O22" s="4"/>
      <c r="P22" s="4"/>
    </row>
    <row r="23" spans="4:16" ht="15" customHeight="1" x14ac:dyDescent="0.25">
      <c r="D23" s="3"/>
      <c r="E23" s="1"/>
      <c r="G23" s="3"/>
      <c r="H23" s="25"/>
      <c r="L23" s="4"/>
      <c r="M23" s="4"/>
      <c r="N23" s="4"/>
      <c r="O23" s="4"/>
      <c r="P23" s="4"/>
    </row>
    <row r="24" spans="4:16" ht="15" customHeight="1" x14ac:dyDescent="0.25">
      <c r="D24" s="3"/>
      <c r="E24" s="1"/>
      <c r="G24" s="3"/>
      <c r="H24" s="25"/>
      <c r="L24" s="4"/>
      <c r="M24" s="4"/>
      <c r="N24" s="4"/>
      <c r="O24" s="4"/>
      <c r="P24" s="4"/>
    </row>
    <row r="25" spans="4:16" ht="15" customHeight="1" x14ac:dyDescent="0.25">
      <c r="D25" s="3"/>
      <c r="E25" s="1"/>
      <c r="G25" s="3"/>
      <c r="H25" s="25"/>
      <c r="L25" s="4"/>
      <c r="M25" s="4"/>
      <c r="N25" s="4"/>
      <c r="O25" s="4"/>
      <c r="P25" s="4"/>
    </row>
    <row r="26" spans="4:16" ht="15" customHeight="1" x14ac:dyDescent="0.25">
      <c r="D26"/>
      <c r="E26"/>
      <c r="G26" s="3"/>
      <c r="H26" s="25"/>
      <c r="L26" s="4"/>
      <c r="M26" s="4"/>
      <c r="N26" s="4"/>
      <c r="O26" s="4"/>
      <c r="P26" s="4"/>
    </row>
    <row r="27" spans="4:16" ht="15" customHeight="1" x14ac:dyDescent="0.25">
      <c r="D27"/>
      <c r="E27"/>
      <c r="G27"/>
      <c r="H27"/>
      <c r="L27" s="4"/>
      <c r="M27" s="4"/>
      <c r="N27" s="4"/>
      <c r="O27" s="4"/>
      <c r="P27" s="4"/>
    </row>
    <row r="28" spans="4:16" ht="15" customHeight="1" x14ac:dyDescent="0.25">
      <c r="D28"/>
      <c r="E28"/>
      <c r="G28"/>
      <c r="H28"/>
      <c r="L28" s="4"/>
      <c r="M28" s="4"/>
      <c r="N28" s="4"/>
      <c r="O28" s="4"/>
      <c r="P28" s="4"/>
    </row>
    <row r="29" spans="4:16" ht="15" customHeight="1" x14ac:dyDescent="0.25">
      <c r="D29"/>
      <c r="E29"/>
      <c r="G29"/>
      <c r="H29"/>
      <c r="L29" s="4"/>
      <c r="M29" s="4"/>
      <c r="N29" s="4"/>
      <c r="O29" s="4"/>
      <c r="P29" s="4"/>
    </row>
    <row r="30" spans="4:16" ht="15" customHeight="1" x14ac:dyDescent="0.25">
      <c r="D30"/>
      <c r="G30"/>
      <c r="H30"/>
      <c r="L30" s="4"/>
      <c r="M30" s="4"/>
      <c r="N30" s="4"/>
      <c r="O30" s="4"/>
      <c r="P30" s="4"/>
    </row>
    <row r="31" spans="4:16" ht="15" customHeight="1" x14ac:dyDescent="0.25">
      <c r="D31"/>
      <c r="G31"/>
      <c r="H31"/>
      <c r="L31" s="4"/>
      <c r="M31" s="4"/>
      <c r="N31" s="4"/>
      <c r="O31" s="4"/>
      <c r="P31" s="4"/>
    </row>
    <row r="32" spans="4:16" ht="15" customHeight="1" x14ac:dyDescent="0.25">
      <c r="D32"/>
      <c r="G32"/>
      <c r="H32"/>
      <c r="L32" s="4"/>
      <c r="M32" s="4"/>
      <c r="N32" s="4"/>
      <c r="O32" s="4"/>
      <c r="P32" s="4"/>
    </row>
    <row r="33" spans="4:16" ht="15" customHeight="1" x14ac:dyDescent="0.25">
      <c r="D33"/>
      <c r="G33"/>
      <c r="H33"/>
      <c r="L33" s="4"/>
      <c r="M33" s="4"/>
      <c r="N33" s="4"/>
      <c r="O33" s="4"/>
      <c r="P33" s="4"/>
    </row>
  </sheetData>
  <mergeCells count="2">
    <mergeCell ref="G2:H2"/>
    <mergeCell ref="D2:E2"/>
  </mergeCells>
  <conditionalFormatting sqref="O3">
    <cfRule type="duplicateValues" dxfId="15" priority="5"/>
  </conditionalFormatting>
  <hyperlinks>
    <hyperlink ref="H4" r:id="rId1"/>
    <hyperlink ref="H6" r:id="rId2" display="\\naspc31\bo_oct$\02_Staff\BO_MACRO\10_BO_EMPRESARIAL\Distribuição\"/>
    <hyperlink ref="H12" r:id="rId3"/>
    <hyperlink ref="H14" r:id="rId4"/>
    <hyperlink ref="H13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AZ156"/>
  <sheetViews>
    <sheetView showGridLines="0" workbookViewId="0"/>
  </sheetViews>
  <sheetFormatPr defaultRowHeight="15" x14ac:dyDescent="0.25"/>
  <cols>
    <col min="1" max="1" width="10.7109375" customWidth="1"/>
    <col min="3" max="3" width="26" bestFit="1" customWidth="1"/>
    <col min="4" max="4" width="27.28515625" bestFit="1" customWidth="1"/>
    <col min="5" max="5" width="27.140625" bestFit="1" customWidth="1"/>
    <col min="6" max="6" width="66.7109375" bestFit="1" customWidth="1"/>
    <col min="7" max="7" width="27.28515625" bestFit="1" customWidth="1"/>
    <col min="8" max="8" width="58.85546875" bestFit="1" customWidth="1"/>
    <col min="9" max="9" width="11.7109375" bestFit="1" customWidth="1"/>
    <col min="10" max="10" width="11.7109375" style="49" bestFit="1" customWidth="1"/>
    <col min="14" max="14" width="28.140625" bestFit="1" customWidth="1"/>
    <col min="15" max="15" width="29.7109375" bestFit="1" customWidth="1"/>
    <col min="16" max="16" width="52.28515625" bestFit="1" customWidth="1"/>
    <col min="17" max="17" width="27.42578125" bestFit="1" customWidth="1"/>
    <col min="18" max="18" width="54" bestFit="1" customWidth="1"/>
    <col min="19" max="19" width="7" bestFit="1" customWidth="1"/>
    <col min="20" max="20" width="3.5703125" bestFit="1" customWidth="1"/>
    <col min="21" max="21" width="10.140625" bestFit="1" customWidth="1"/>
    <col min="22" max="22" width="19.5703125" bestFit="1" customWidth="1"/>
    <col min="26" max="26" width="16.85546875" customWidth="1"/>
    <col min="27" max="27" width="15.5703125" bestFit="1" customWidth="1"/>
    <col min="28" max="28" width="18.42578125" customWidth="1"/>
    <col min="29" max="29" width="28.42578125" customWidth="1"/>
    <col min="30" max="30" width="19" customWidth="1"/>
    <col min="31" max="31" width="38.7109375" bestFit="1" customWidth="1"/>
    <col min="32" max="32" width="9.85546875" customWidth="1"/>
    <col min="34" max="34" width="10.140625" bestFit="1" customWidth="1"/>
    <col min="37" max="37" width="9.42578125" customWidth="1"/>
    <col min="38" max="38" width="26.140625" bestFit="1" customWidth="1"/>
    <col min="39" max="39" width="19.42578125" customWidth="1"/>
    <col min="40" max="40" width="9.42578125" customWidth="1"/>
    <col min="41" max="41" width="5.85546875" style="38" customWidth="1"/>
    <col min="42" max="42" width="15.42578125" customWidth="1"/>
    <col min="46" max="46" width="26.42578125" customWidth="1"/>
    <col min="47" max="47" width="19.85546875" customWidth="1"/>
    <col min="48" max="48" width="17.42578125" customWidth="1"/>
    <col min="49" max="49" width="47.7109375" customWidth="1"/>
  </cols>
  <sheetData>
    <row r="1" spans="3:52" x14ac:dyDescent="0.25">
      <c r="N1" t="s">
        <v>344</v>
      </c>
      <c r="AI1" t="s">
        <v>344</v>
      </c>
      <c r="AZ1" t="s">
        <v>344</v>
      </c>
    </row>
    <row r="3" spans="3:52" x14ac:dyDescent="0.25">
      <c r="C3" s="6" t="s">
        <v>12</v>
      </c>
      <c r="D3" s="2"/>
      <c r="E3" s="2"/>
      <c r="F3" s="2"/>
      <c r="G3" s="2"/>
      <c r="H3" s="2"/>
      <c r="I3" s="2"/>
      <c r="J3" s="50"/>
      <c r="K3" s="2"/>
      <c r="M3" s="2"/>
      <c r="N3" s="6" t="s">
        <v>108</v>
      </c>
      <c r="O3" s="2"/>
      <c r="P3" s="2"/>
      <c r="Q3" s="2"/>
      <c r="R3" s="2"/>
      <c r="S3" s="39"/>
      <c r="T3" s="39"/>
      <c r="U3" s="39"/>
      <c r="V3" s="10"/>
      <c r="Z3" s="36" t="s">
        <v>518</v>
      </c>
      <c r="AA3" s="36"/>
      <c r="AL3" s="36" t="s">
        <v>538</v>
      </c>
      <c r="AT3" s="36" t="s">
        <v>541</v>
      </c>
    </row>
    <row r="4" spans="3:52" x14ac:dyDescent="0.25">
      <c r="C4" s="5" t="s">
        <v>13</v>
      </c>
      <c r="D4" s="5" t="s">
        <v>14</v>
      </c>
      <c r="E4" s="5" t="s">
        <v>15</v>
      </c>
      <c r="F4" s="5" t="s">
        <v>99</v>
      </c>
      <c r="G4" s="5" t="s">
        <v>183</v>
      </c>
      <c r="H4" s="5" t="s">
        <v>184</v>
      </c>
      <c r="I4" s="34" t="s">
        <v>511</v>
      </c>
      <c r="J4" s="48" t="s">
        <v>343</v>
      </c>
      <c r="K4" s="35" t="s">
        <v>526</v>
      </c>
      <c r="M4" s="2"/>
      <c r="N4" s="5" t="s">
        <v>13</v>
      </c>
      <c r="O4" s="5" t="s">
        <v>182</v>
      </c>
      <c r="P4" s="5" t="s">
        <v>99</v>
      </c>
      <c r="Q4" s="5" t="s">
        <v>183</v>
      </c>
      <c r="R4" s="31" t="s">
        <v>184</v>
      </c>
      <c r="S4" s="34" t="s">
        <v>511</v>
      </c>
      <c r="T4" s="35" t="s">
        <v>343</v>
      </c>
      <c r="U4" s="35" t="s">
        <v>526</v>
      </c>
      <c r="V4" s="5" t="s">
        <v>185</v>
      </c>
      <c r="Z4" s="45" t="s">
        <v>284</v>
      </c>
      <c r="AA4" s="45" t="s">
        <v>285</v>
      </c>
      <c r="AB4" s="45" t="s">
        <v>286</v>
      </c>
      <c r="AC4" s="46" t="s">
        <v>99</v>
      </c>
      <c r="AD4" s="46" t="s">
        <v>183</v>
      </c>
      <c r="AE4" s="5" t="s">
        <v>184</v>
      </c>
      <c r="AF4" s="35" t="s">
        <v>511</v>
      </c>
      <c r="AG4" s="35" t="s">
        <v>343</v>
      </c>
      <c r="AH4" s="35" t="s">
        <v>526</v>
      </c>
      <c r="AL4" s="45" t="s">
        <v>284</v>
      </c>
      <c r="AM4" s="5" t="s">
        <v>184</v>
      </c>
      <c r="AN4" s="35" t="s">
        <v>511</v>
      </c>
      <c r="AO4" s="48" t="s">
        <v>343</v>
      </c>
      <c r="AP4" s="35" t="s">
        <v>526</v>
      </c>
      <c r="AT4" s="45" t="s">
        <v>287</v>
      </c>
      <c r="AU4" s="45" t="s">
        <v>288</v>
      </c>
      <c r="AV4" s="45" t="s">
        <v>289</v>
      </c>
      <c r="AW4" s="5" t="s">
        <v>184</v>
      </c>
      <c r="AX4" s="35" t="s">
        <v>511</v>
      </c>
      <c r="AY4" s="48" t="s">
        <v>343</v>
      </c>
      <c r="AZ4" s="35" t="s">
        <v>526</v>
      </c>
    </row>
    <row r="5" spans="3:52" x14ac:dyDescent="0.25">
      <c r="C5" s="4" t="s">
        <v>23</v>
      </c>
      <c r="D5" s="4" t="s">
        <v>24</v>
      </c>
      <c r="E5" s="4" t="s">
        <v>25</v>
      </c>
      <c r="F5" s="4" t="str">
        <f t="shared" ref="F5:F68" si="0">C5&amp;D5&amp;E5</f>
        <v>EmpresarialCancelamentoApós Horário Atendimento</v>
      </c>
      <c r="G5" s="4" t="s">
        <v>100</v>
      </c>
      <c r="H5" s="4" t="s">
        <v>11</v>
      </c>
      <c r="I5" s="4" t="s">
        <v>513</v>
      </c>
      <c r="J5" s="41">
        <v>1</v>
      </c>
      <c r="K5" s="4"/>
      <c r="M5" s="2"/>
      <c r="N5" s="4" t="s">
        <v>205</v>
      </c>
      <c r="O5" s="4" t="s">
        <v>203</v>
      </c>
      <c r="P5" s="4" t="str">
        <f t="shared" ref="P5:P68" si="1">N5&amp;O5</f>
        <v>Blindagem Fibra EMPMigração Cobre Fibra</v>
      </c>
      <c r="Q5" s="4" t="s">
        <v>207</v>
      </c>
      <c r="R5" s="32" t="s">
        <v>200</v>
      </c>
      <c r="S5" s="40" t="s">
        <v>522</v>
      </c>
      <c r="T5" s="41">
        <v>5</v>
      </c>
      <c r="U5" s="41"/>
      <c r="V5" s="4" t="s">
        <v>186</v>
      </c>
      <c r="Z5" s="11" t="s">
        <v>519</v>
      </c>
      <c r="AA5" s="11">
        <v>41</v>
      </c>
      <c r="AB5" s="4" t="s">
        <v>294</v>
      </c>
      <c r="AC5" s="4" t="str">
        <f>Z5&amp;AA5&amp;AB5</f>
        <v>ABERTA41EMPRESARIAL</v>
      </c>
      <c r="AD5" s="4" t="s">
        <v>533</v>
      </c>
      <c r="AE5" s="11" t="s">
        <v>295</v>
      </c>
      <c r="AF5" s="1" t="s">
        <v>520</v>
      </c>
      <c r="AG5" s="47">
        <v>1</v>
      </c>
      <c r="AH5" s="47"/>
      <c r="AL5" s="4" t="s">
        <v>296</v>
      </c>
      <c r="AM5" s="4" t="s">
        <v>297</v>
      </c>
      <c r="AN5" s="41">
        <v>2</v>
      </c>
      <c r="AO5" s="41">
        <v>2</v>
      </c>
      <c r="AP5" s="4" t="s">
        <v>539</v>
      </c>
      <c r="AT5" s="4" t="s">
        <v>290</v>
      </c>
      <c r="AU5" s="4" t="s">
        <v>291</v>
      </c>
      <c r="AV5" s="4" t="s">
        <v>292</v>
      </c>
      <c r="AW5" s="4" t="s">
        <v>293</v>
      </c>
      <c r="AX5" s="40" t="s">
        <v>540</v>
      </c>
      <c r="AY5" s="41">
        <v>1</v>
      </c>
      <c r="AZ5" s="40"/>
    </row>
    <row r="6" spans="3:52" x14ac:dyDescent="0.25">
      <c r="C6" s="4" t="s">
        <v>26</v>
      </c>
      <c r="D6" s="4" t="s">
        <v>27</v>
      </c>
      <c r="E6" s="4" t="s">
        <v>28</v>
      </c>
      <c r="F6" s="4" t="str">
        <f t="shared" si="0"/>
        <v>Ret.Emp 0a7desistência clienteDesmontagem de chipsParcial - pedido Loja</v>
      </c>
      <c r="G6" s="4" t="s">
        <v>100</v>
      </c>
      <c r="H6" s="4" t="s">
        <v>11</v>
      </c>
      <c r="I6" s="4" t="s">
        <v>513</v>
      </c>
      <c r="J6" s="41">
        <v>1</v>
      </c>
      <c r="K6" s="4"/>
      <c r="M6" s="2"/>
      <c r="N6" s="4" t="s">
        <v>205</v>
      </c>
      <c r="O6" s="4" t="s">
        <v>206</v>
      </c>
      <c r="P6" s="4" t="str">
        <f t="shared" si="1"/>
        <v>Blindagem Fibra EMPMigração Fibra Fibra</v>
      </c>
      <c r="Q6" s="4" t="s">
        <v>207</v>
      </c>
      <c r="R6" s="32" t="s">
        <v>200</v>
      </c>
      <c r="S6" s="40" t="s">
        <v>522</v>
      </c>
      <c r="T6" s="41">
        <v>5</v>
      </c>
      <c r="U6" s="41"/>
      <c r="V6" s="4" t="s">
        <v>8</v>
      </c>
      <c r="Z6" s="11" t="s">
        <v>519</v>
      </c>
      <c r="AA6" s="11">
        <v>41</v>
      </c>
      <c r="AB6" s="4" t="s">
        <v>298</v>
      </c>
      <c r="AC6" s="4" t="str">
        <f t="shared" ref="AC6:AC19" si="2">Z6&amp;AA6&amp;AB6</f>
        <v>ABERTA41VAREJO/EMPRESARIAL</v>
      </c>
      <c r="AD6" s="4" t="s">
        <v>533</v>
      </c>
      <c r="AE6" s="11" t="s">
        <v>295</v>
      </c>
      <c r="AF6" s="1" t="s">
        <v>520</v>
      </c>
      <c r="AG6" s="47">
        <v>1</v>
      </c>
      <c r="AH6" s="47"/>
      <c r="AL6" s="4" t="s">
        <v>299</v>
      </c>
      <c r="AM6" s="4" t="s">
        <v>297</v>
      </c>
      <c r="AN6" s="41">
        <v>2</v>
      </c>
      <c r="AO6" s="41">
        <v>2</v>
      </c>
      <c r="AP6" s="4" t="s">
        <v>539</v>
      </c>
    </row>
    <row r="7" spans="3:52" x14ac:dyDescent="0.25">
      <c r="C7" s="4" t="s">
        <v>26</v>
      </c>
      <c r="D7" s="4" t="s">
        <v>27</v>
      </c>
      <c r="E7" s="4" t="s">
        <v>29</v>
      </c>
      <c r="F7" s="4" t="str">
        <f t="shared" si="0"/>
        <v>Ret.Emp 0a7desistência clienteDesmontagem de chipsTotal - pedido Loja</v>
      </c>
      <c r="G7" s="4" t="s">
        <v>100</v>
      </c>
      <c r="H7" s="4" t="s">
        <v>11</v>
      </c>
      <c r="I7" s="4" t="s">
        <v>513</v>
      </c>
      <c r="J7" s="41">
        <v>1</v>
      </c>
      <c r="K7" s="4"/>
      <c r="M7" s="2"/>
      <c r="N7" s="4" t="s">
        <v>208</v>
      </c>
      <c r="O7" s="4" t="s">
        <v>203</v>
      </c>
      <c r="P7" s="4" t="str">
        <f t="shared" si="1"/>
        <v>Ilha de Migração Fibra EMPMigração Cobre Fibra</v>
      </c>
      <c r="Q7" s="4" t="s">
        <v>207</v>
      </c>
      <c r="R7" s="32" t="s">
        <v>200</v>
      </c>
      <c r="S7" s="40" t="s">
        <v>522</v>
      </c>
      <c r="T7" s="41">
        <v>5</v>
      </c>
      <c r="U7" s="41"/>
      <c r="V7" s="4" t="s">
        <v>187</v>
      </c>
      <c r="Z7" s="11" t="s">
        <v>519</v>
      </c>
      <c r="AA7" s="11">
        <v>41</v>
      </c>
      <c r="AB7" s="4" t="s">
        <v>300</v>
      </c>
      <c r="AC7" s="4" t="str">
        <f t="shared" si="2"/>
        <v>ABERTA41SUN</v>
      </c>
      <c r="AD7" s="4" t="s">
        <v>533</v>
      </c>
      <c r="AE7" s="11" t="s">
        <v>295</v>
      </c>
      <c r="AF7" s="1" t="s">
        <v>520</v>
      </c>
      <c r="AG7" s="47">
        <v>1</v>
      </c>
      <c r="AH7" s="47"/>
    </row>
    <row r="8" spans="3:52" x14ac:dyDescent="0.25">
      <c r="C8" s="4" t="s">
        <v>16</v>
      </c>
      <c r="D8" s="4" t="s">
        <v>30</v>
      </c>
      <c r="E8" s="4" t="s">
        <v>18</v>
      </c>
      <c r="F8" s="4" t="str">
        <f t="shared" si="0"/>
        <v>Retenção EmpresarialContestação Emp - ApuraçãoCancelamento linha divergente</v>
      </c>
      <c r="G8" s="4" t="s">
        <v>100</v>
      </c>
      <c r="H8" s="4" t="s">
        <v>11</v>
      </c>
      <c r="I8" s="4" t="s">
        <v>513</v>
      </c>
      <c r="J8" s="41">
        <v>1</v>
      </c>
      <c r="K8" s="4"/>
      <c r="M8" s="2"/>
      <c r="N8" s="4" t="s">
        <v>208</v>
      </c>
      <c r="O8" s="4" t="s">
        <v>206</v>
      </c>
      <c r="P8" s="4" t="str">
        <f t="shared" si="1"/>
        <v>Ilha de Migração Fibra EMPMigração Fibra Fibra</v>
      </c>
      <c r="Q8" s="4" t="s">
        <v>207</v>
      </c>
      <c r="R8" s="32" t="s">
        <v>200</v>
      </c>
      <c r="S8" s="40" t="s">
        <v>522</v>
      </c>
      <c r="T8" s="41">
        <v>5</v>
      </c>
      <c r="U8" s="41"/>
      <c r="V8" s="4" t="s">
        <v>188</v>
      </c>
      <c r="Z8" s="11" t="s">
        <v>519</v>
      </c>
      <c r="AA8" s="11">
        <v>92</v>
      </c>
      <c r="AB8" s="4" t="s">
        <v>294</v>
      </c>
      <c r="AC8" s="4" t="str">
        <f t="shared" si="2"/>
        <v>ABERTA92EMPRESARIAL</v>
      </c>
      <c r="AD8" s="4" t="s">
        <v>533</v>
      </c>
      <c r="AE8" s="11" t="s">
        <v>295</v>
      </c>
      <c r="AF8" s="1" t="s">
        <v>520</v>
      </c>
      <c r="AG8" s="47">
        <v>1</v>
      </c>
      <c r="AH8" s="47"/>
    </row>
    <row r="9" spans="3:52" x14ac:dyDescent="0.25">
      <c r="C9" s="4" t="s">
        <v>16</v>
      </c>
      <c r="D9" s="4" t="s">
        <v>24</v>
      </c>
      <c r="E9" s="4" t="s">
        <v>31</v>
      </c>
      <c r="F9" s="4" t="str">
        <f t="shared" si="0"/>
        <v>Retenção EmpresarialCancelamentoCancelamento Pacote Blackberry</v>
      </c>
      <c r="G9" s="4" t="s">
        <v>100</v>
      </c>
      <c r="H9" s="4" t="s">
        <v>11</v>
      </c>
      <c r="I9" s="4" t="s">
        <v>513</v>
      </c>
      <c r="J9" s="41">
        <v>1</v>
      </c>
      <c r="K9" s="4"/>
      <c r="M9" s="2"/>
      <c r="N9" s="4" t="s">
        <v>138</v>
      </c>
      <c r="O9" s="4" t="s">
        <v>144</v>
      </c>
      <c r="P9" s="4" t="str">
        <f t="shared" si="1"/>
        <v>Ouvidoria EMPMigração Fixo/Velox</v>
      </c>
      <c r="Q9" s="4" t="s">
        <v>193</v>
      </c>
      <c r="R9" s="32" t="s">
        <v>145</v>
      </c>
      <c r="S9" s="40" t="s">
        <v>522</v>
      </c>
      <c r="T9" s="41">
        <v>2</v>
      </c>
      <c r="U9" s="41"/>
      <c r="V9" s="4" t="s">
        <v>189</v>
      </c>
      <c r="Z9" s="11" t="s">
        <v>519</v>
      </c>
      <c r="AA9" s="11">
        <v>92</v>
      </c>
      <c r="AB9" s="4" t="s">
        <v>298</v>
      </c>
      <c r="AC9" s="4" t="str">
        <f t="shared" si="2"/>
        <v>ABERTA92VAREJO/EMPRESARIAL</v>
      </c>
      <c r="AD9" s="4" t="s">
        <v>533</v>
      </c>
      <c r="AE9" s="11" t="s">
        <v>295</v>
      </c>
      <c r="AF9" s="1" t="s">
        <v>520</v>
      </c>
      <c r="AG9" s="47">
        <v>1</v>
      </c>
      <c r="AH9" s="47"/>
    </row>
    <row r="10" spans="3:52" x14ac:dyDescent="0.25">
      <c r="C10" s="4" t="s">
        <v>16</v>
      </c>
      <c r="D10" s="4" t="s">
        <v>24</v>
      </c>
      <c r="E10" s="4" t="s">
        <v>32</v>
      </c>
      <c r="F10" s="4" t="str">
        <f t="shared" si="0"/>
        <v>Retenção EmpresarialCancelamentoCancelamento Pacote de Dados</v>
      </c>
      <c r="G10" s="4" t="s">
        <v>100</v>
      </c>
      <c r="H10" s="4" t="s">
        <v>11</v>
      </c>
      <c r="I10" s="4" t="s">
        <v>513</v>
      </c>
      <c r="J10" s="41">
        <v>1</v>
      </c>
      <c r="K10" s="4"/>
      <c r="M10" s="2"/>
      <c r="N10" s="4" t="s">
        <v>138</v>
      </c>
      <c r="O10" s="4" t="s">
        <v>146</v>
      </c>
      <c r="P10" s="4" t="str">
        <f t="shared" si="1"/>
        <v>Ouvidoria EMPMigração Móvel</v>
      </c>
      <c r="Q10" s="4" t="s">
        <v>193</v>
      </c>
      <c r="R10" s="32" t="s">
        <v>145</v>
      </c>
      <c r="S10" s="40" t="s">
        <v>522</v>
      </c>
      <c r="T10" s="41">
        <v>2</v>
      </c>
      <c r="U10" s="41"/>
      <c r="V10" s="4" t="s">
        <v>9</v>
      </c>
      <c r="Z10" s="11" t="s">
        <v>519</v>
      </c>
      <c r="AA10" s="11">
        <v>92</v>
      </c>
      <c r="AB10" s="4" t="s">
        <v>300</v>
      </c>
      <c r="AC10" s="4" t="str">
        <f t="shared" si="2"/>
        <v>ABERTA92SUN</v>
      </c>
      <c r="AD10" s="4" t="s">
        <v>533</v>
      </c>
      <c r="AE10" s="11" t="s">
        <v>295</v>
      </c>
      <c r="AF10" s="1" t="s">
        <v>520</v>
      </c>
      <c r="AG10" s="47">
        <v>1</v>
      </c>
      <c r="AH10" s="47"/>
    </row>
    <row r="11" spans="3:52" x14ac:dyDescent="0.25">
      <c r="C11" s="4" t="s">
        <v>16</v>
      </c>
      <c r="D11" s="4" t="s">
        <v>33</v>
      </c>
      <c r="E11" s="4" t="s">
        <v>34</v>
      </c>
      <c r="F11" s="4" t="str">
        <f t="shared" si="0"/>
        <v>Retenção EmpresarialCancelamento Input DivergenteErro Cadastro</v>
      </c>
      <c r="G11" s="4" t="s">
        <v>100</v>
      </c>
      <c r="H11" s="4" t="s">
        <v>11</v>
      </c>
      <c r="I11" s="4" t="s">
        <v>513</v>
      </c>
      <c r="J11" s="41">
        <v>1</v>
      </c>
      <c r="K11" s="4"/>
      <c r="M11" s="2"/>
      <c r="N11" s="4" t="s">
        <v>138</v>
      </c>
      <c r="O11" s="4" t="s">
        <v>147</v>
      </c>
      <c r="P11" s="4" t="str">
        <f t="shared" si="1"/>
        <v>Ouvidoria EMPMigração Oi Total</v>
      </c>
      <c r="Q11" s="4" t="s">
        <v>193</v>
      </c>
      <c r="R11" s="32" t="s">
        <v>145</v>
      </c>
      <c r="S11" s="40" t="s">
        <v>522</v>
      </c>
      <c r="T11" s="41">
        <v>2</v>
      </c>
      <c r="U11" s="41"/>
      <c r="Z11" s="11" t="s">
        <v>519</v>
      </c>
      <c r="AA11" s="11">
        <v>68</v>
      </c>
      <c r="AB11" s="4" t="s">
        <v>294</v>
      </c>
      <c r="AC11" s="4" t="str">
        <f t="shared" si="2"/>
        <v>ABERTA68EMPRESARIAL</v>
      </c>
      <c r="AD11" s="4" t="s">
        <v>533</v>
      </c>
      <c r="AE11" s="11" t="s">
        <v>295</v>
      </c>
      <c r="AF11" s="1" t="s">
        <v>520</v>
      </c>
      <c r="AG11" s="47">
        <v>1</v>
      </c>
      <c r="AH11" s="47"/>
    </row>
    <row r="12" spans="3:52" x14ac:dyDescent="0.25">
      <c r="C12" s="4" t="s">
        <v>16</v>
      </c>
      <c r="D12" s="4" t="s">
        <v>24</v>
      </c>
      <c r="E12" s="4" t="s">
        <v>35</v>
      </c>
      <c r="F12" s="4" t="str">
        <f t="shared" si="0"/>
        <v>Retenção EmpresarialCancelamentoErro de Cadastro</v>
      </c>
      <c r="G12" s="4" t="s">
        <v>100</v>
      </c>
      <c r="H12" s="4" t="s">
        <v>11</v>
      </c>
      <c r="I12" s="4" t="s">
        <v>513</v>
      </c>
      <c r="J12" s="41">
        <v>1</v>
      </c>
      <c r="K12" s="4"/>
      <c r="M12" s="2"/>
      <c r="N12" s="4" t="s">
        <v>138</v>
      </c>
      <c r="O12" s="4" t="s">
        <v>148</v>
      </c>
      <c r="P12" s="4" t="str">
        <f t="shared" si="1"/>
        <v>Ouvidoria EMPMigração TV</v>
      </c>
      <c r="Q12" s="4" t="s">
        <v>193</v>
      </c>
      <c r="R12" s="32" t="s">
        <v>145</v>
      </c>
      <c r="S12" s="40" t="s">
        <v>522</v>
      </c>
      <c r="T12" s="41">
        <v>2</v>
      </c>
      <c r="U12" s="41"/>
      <c r="Z12" s="11" t="s">
        <v>519</v>
      </c>
      <c r="AA12" s="11">
        <v>68</v>
      </c>
      <c r="AB12" s="4" t="s">
        <v>298</v>
      </c>
      <c r="AC12" s="4" t="str">
        <f t="shared" si="2"/>
        <v>ABERTA68VAREJO/EMPRESARIAL</v>
      </c>
      <c r="AD12" s="4" t="s">
        <v>533</v>
      </c>
      <c r="AE12" s="11" t="s">
        <v>295</v>
      </c>
      <c r="AF12" s="1" t="s">
        <v>520</v>
      </c>
      <c r="AG12" s="47">
        <v>1</v>
      </c>
      <c r="AH12" s="47"/>
    </row>
    <row r="13" spans="3:52" x14ac:dyDescent="0.25">
      <c r="C13" s="4" t="s">
        <v>16</v>
      </c>
      <c r="D13" s="4" t="s">
        <v>36</v>
      </c>
      <c r="E13" s="4" t="s">
        <v>37</v>
      </c>
      <c r="F13" s="4" t="str">
        <f t="shared" si="0"/>
        <v>Retenção EmpresarialReativação de LinhaErro do BO Ret.no Cancelamento</v>
      </c>
      <c r="G13" s="4" t="s">
        <v>100</v>
      </c>
      <c r="H13" s="4" t="s">
        <v>11</v>
      </c>
      <c r="I13" s="4" t="s">
        <v>513</v>
      </c>
      <c r="J13" s="41">
        <v>1</v>
      </c>
      <c r="K13" s="4"/>
      <c r="M13" s="2"/>
      <c r="N13" s="4" t="s">
        <v>226</v>
      </c>
      <c r="O13" s="4" t="s">
        <v>122</v>
      </c>
      <c r="P13" s="4" t="str">
        <f t="shared" si="1"/>
        <v>OiTE – Solucao ComercialOferta AVANCADO - SL Comercial</v>
      </c>
      <c r="Q13" s="4" t="s">
        <v>194</v>
      </c>
      <c r="R13" s="32" t="s">
        <v>123</v>
      </c>
      <c r="S13" s="40" t="s">
        <v>522</v>
      </c>
      <c r="T13" s="41">
        <v>5</v>
      </c>
      <c r="U13" s="41"/>
      <c r="Z13" s="11" t="s">
        <v>519</v>
      </c>
      <c r="AA13" s="11">
        <v>68</v>
      </c>
      <c r="AB13" s="4" t="s">
        <v>300</v>
      </c>
      <c r="AC13" s="4" t="str">
        <f t="shared" si="2"/>
        <v>ABERTA68SUN</v>
      </c>
      <c r="AD13" s="4" t="s">
        <v>533</v>
      </c>
      <c r="AE13" s="11" t="s">
        <v>295</v>
      </c>
      <c r="AF13" s="1" t="s">
        <v>520</v>
      </c>
      <c r="AG13" s="47">
        <v>1</v>
      </c>
      <c r="AH13" s="47"/>
    </row>
    <row r="14" spans="3:52" x14ac:dyDescent="0.25">
      <c r="C14" s="4" t="s">
        <v>16</v>
      </c>
      <c r="D14" s="4" t="s">
        <v>24</v>
      </c>
      <c r="E14" s="4" t="s">
        <v>38</v>
      </c>
      <c r="F14" s="4" t="str">
        <f t="shared" si="0"/>
        <v>Retenção EmpresarialCancelamentoGoverno</v>
      </c>
      <c r="G14" s="4" t="s">
        <v>100</v>
      </c>
      <c r="H14" s="4" t="s">
        <v>11</v>
      </c>
      <c r="I14" s="4" t="s">
        <v>513</v>
      </c>
      <c r="J14" s="41">
        <v>1</v>
      </c>
      <c r="K14" s="4"/>
      <c r="M14" s="2"/>
      <c r="N14" s="4" t="s">
        <v>226</v>
      </c>
      <c r="O14" s="4" t="s">
        <v>124</v>
      </c>
      <c r="P14" s="4" t="str">
        <f t="shared" si="1"/>
        <v>OiTE – Solucao ComercialOferta SMART - SL Comercial</v>
      </c>
      <c r="Q14" s="4" t="s">
        <v>194</v>
      </c>
      <c r="R14" s="32" t="s">
        <v>123</v>
      </c>
      <c r="S14" s="40" t="s">
        <v>522</v>
      </c>
      <c r="T14" s="41">
        <v>5</v>
      </c>
      <c r="U14" s="41"/>
      <c r="Z14" s="11" t="s">
        <v>519</v>
      </c>
      <c r="AA14" s="11">
        <v>65</v>
      </c>
      <c r="AB14" s="4" t="s">
        <v>294</v>
      </c>
      <c r="AC14" s="4" t="str">
        <f t="shared" si="2"/>
        <v>ABERTA65EMPRESARIAL</v>
      </c>
      <c r="AD14" s="4" t="s">
        <v>534</v>
      </c>
      <c r="AE14" s="11" t="s">
        <v>301</v>
      </c>
      <c r="AF14" s="1" t="s">
        <v>521</v>
      </c>
      <c r="AG14" s="47">
        <v>2</v>
      </c>
      <c r="AH14" s="47"/>
    </row>
    <row r="15" spans="3:52" x14ac:dyDescent="0.25">
      <c r="C15" s="4" t="s">
        <v>16</v>
      </c>
      <c r="D15" s="4" t="s">
        <v>30</v>
      </c>
      <c r="E15" s="4" t="s">
        <v>39</v>
      </c>
      <c r="F15" s="4" t="str">
        <f t="shared" si="0"/>
        <v>Retenção EmpresarialContestação Emp - ApuraçãoNão recebimento de Contrato</v>
      </c>
      <c r="G15" s="4" t="s">
        <v>100</v>
      </c>
      <c r="H15" s="4" t="s">
        <v>11</v>
      </c>
      <c r="I15" s="4" t="s">
        <v>513</v>
      </c>
      <c r="J15" s="41">
        <v>1</v>
      </c>
      <c r="K15" s="4"/>
      <c r="M15" s="2"/>
      <c r="N15" s="4" t="s">
        <v>226</v>
      </c>
      <c r="O15" s="4" t="s">
        <v>125</v>
      </c>
      <c r="P15" s="4" t="str">
        <f t="shared" si="1"/>
        <v>OiTE – Solucao ComercialOferta TOP - SL Comercial</v>
      </c>
      <c r="Q15" s="4" t="s">
        <v>194</v>
      </c>
      <c r="R15" s="32" t="s">
        <v>123</v>
      </c>
      <c r="S15" s="40" t="s">
        <v>522</v>
      </c>
      <c r="T15" s="41">
        <v>5</v>
      </c>
      <c r="U15" s="41"/>
      <c r="Z15" s="11" t="s">
        <v>519</v>
      </c>
      <c r="AA15" s="11">
        <v>65</v>
      </c>
      <c r="AB15" s="4" t="s">
        <v>298</v>
      </c>
      <c r="AC15" s="4" t="str">
        <f t="shared" si="2"/>
        <v>ABERTA65VAREJO/EMPRESARIAL</v>
      </c>
      <c r="AD15" s="4" t="s">
        <v>534</v>
      </c>
      <c r="AE15" s="11" t="s">
        <v>301</v>
      </c>
      <c r="AF15" s="1" t="s">
        <v>521</v>
      </c>
      <c r="AG15" s="47">
        <v>2</v>
      </c>
      <c r="AH15" s="47"/>
    </row>
    <row r="16" spans="3:52" x14ac:dyDescent="0.25">
      <c r="C16" s="4" t="s">
        <v>16</v>
      </c>
      <c r="D16" s="4" t="s">
        <v>24</v>
      </c>
      <c r="E16" s="4" t="s">
        <v>40</v>
      </c>
      <c r="F16" s="4" t="str">
        <f t="shared" si="0"/>
        <v>Retenção EmpresarialCancelamentoOferta Convergente</v>
      </c>
      <c r="G16" s="4" t="s">
        <v>100</v>
      </c>
      <c r="H16" s="4" t="s">
        <v>11</v>
      </c>
      <c r="I16" s="4" t="s">
        <v>513</v>
      </c>
      <c r="J16" s="41">
        <v>1</v>
      </c>
      <c r="K16" s="4"/>
      <c r="M16" s="2"/>
      <c r="N16" s="4" t="s">
        <v>227</v>
      </c>
      <c r="O16" s="4" t="s">
        <v>126</v>
      </c>
      <c r="P16" s="4" t="str">
        <f t="shared" si="1"/>
        <v>OiTE – Solucao CompletaOferta AVANCADO - SL Completa</v>
      </c>
      <c r="Q16" s="4" t="s">
        <v>194</v>
      </c>
      <c r="R16" s="32" t="s">
        <v>123</v>
      </c>
      <c r="S16" s="40" t="s">
        <v>522</v>
      </c>
      <c r="T16" s="41">
        <v>5</v>
      </c>
      <c r="U16" s="41"/>
      <c r="Z16" s="11" t="s">
        <v>519</v>
      </c>
      <c r="AA16" s="11">
        <v>65</v>
      </c>
      <c r="AB16" s="4" t="s">
        <v>300</v>
      </c>
      <c r="AC16" s="4" t="str">
        <f t="shared" si="2"/>
        <v>ABERTA65SUN</v>
      </c>
      <c r="AD16" s="4" t="s">
        <v>534</v>
      </c>
      <c r="AE16" s="11" t="s">
        <v>301</v>
      </c>
      <c r="AF16" s="1" t="s">
        <v>521</v>
      </c>
      <c r="AG16" s="47">
        <v>2</v>
      </c>
      <c r="AH16" s="47"/>
    </row>
    <row r="17" spans="3:34" x14ac:dyDescent="0.25">
      <c r="C17" s="4" t="s">
        <v>16</v>
      </c>
      <c r="D17" s="4" t="s">
        <v>24</v>
      </c>
      <c r="E17" s="4" t="s">
        <v>41</v>
      </c>
      <c r="F17" s="4" t="str">
        <f t="shared" si="0"/>
        <v>Retenção EmpresarialCancelamentoOferta Oi Partidos Políticos</v>
      </c>
      <c r="G17" s="4" t="s">
        <v>100</v>
      </c>
      <c r="H17" s="4" t="s">
        <v>11</v>
      </c>
      <c r="I17" s="4" t="s">
        <v>513</v>
      </c>
      <c r="J17" s="41">
        <v>1</v>
      </c>
      <c r="K17" s="4"/>
      <c r="M17" s="2"/>
      <c r="N17" s="4" t="s">
        <v>227</v>
      </c>
      <c r="O17" s="4" t="s">
        <v>127</v>
      </c>
      <c r="P17" s="4" t="str">
        <f t="shared" si="1"/>
        <v>OiTE – Solucao CompletaOferta SMART - SL Completa</v>
      </c>
      <c r="Q17" s="4" t="s">
        <v>194</v>
      </c>
      <c r="R17" s="32" t="s">
        <v>123</v>
      </c>
      <c r="S17" s="40" t="s">
        <v>522</v>
      </c>
      <c r="T17" s="41">
        <v>5</v>
      </c>
      <c r="U17" s="41"/>
      <c r="Z17" s="11" t="s">
        <v>519</v>
      </c>
      <c r="AA17" s="11">
        <v>84</v>
      </c>
      <c r="AB17" s="4" t="s">
        <v>294</v>
      </c>
      <c r="AC17" s="4" t="str">
        <f t="shared" si="2"/>
        <v>ABERTA84EMPRESARIAL</v>
      </c>
      <c r="AD17" s="4" t="s">
        <v>535</v>
      </c>
      <c r="AE17" s="11" t="s">
        <v>302</v>
      </c>
      <c r="AF17" s="1" t="s">
        <v>521</v>
      </c>
      <c r="AG17" s="47">
        <v>2</v>
      </c>
      <c r="AH17" s="47"/>
    </row>
    <row r="18" spans="3:34" x14ac:dyDescent="0.25">
      <c r="C18" s="4" t="s">
        <v>16</v>
      </c>
      <c r="D18" s="4" t="s">
        <v>24</v>
      </c>
      <c r="E18" s="4" t="s">
        <v>42</v>
      </c>
      <c r="F18" s="4" t="str">
        <f t="shared" si="0"/>
        <v>Retenção EmpresarialCancelamentoOi Somente Dados</v>
      </c>
      <c r="G18" s="4" t="s">
        <v>100</v>
      </c>
      <c r="H18" s="4" t="s">
        <v>11</v>
      </c>
      <c r="I18" s="4" t="s">
        <v>513</v>
      </c>
      <c r="J18" s="41">
        <v>1</v>
      </c>
      <c r="K18" s="4"/>
      <c r="M18" s="2"/>
      <c r="N18" s="4" t="s">
        <v>227</v>
      </c>
      <c r="O18" s="4" t="s">
        <v>128</v>
      </c>
      <c r="P18" s="4" t="str">
        <f t="shared" si="1"/>
        <v>OiTE – Solucao CompletaOferta TOP - SL Completa</v>
      </c>
      <c r="Q18" s="4" t="s">
        <v>194</v>
      </c>
      <c r="R18" s="32" t="s">
        <v>123</v>
      </c>
      <c r="S18" s="40" t="s">
        <v>522</v>
      </c>
      <c r="T18" s="41">
        <v>5</v>
      </c>
      <c r="U18" s="41"/>
      <c r="Z18" s="11" t="s">
        <v>519</v>
      </c>
      <c r="AA18" s="11">
        <v>84</v>
      </c>
      <c r="AB18" s="4" t="s">
        <v>298</v>
      </c>
      <c r="AC18" s="4" t="str">
        <f t="shared" si="2"/>
        <v>ABERTA84VAREJO/EMPRESARIAL</v>
      </c>
      <c r="AD18" s="4" t="s">
        <v>535</v>
      </c>
      <c r="AE18" s="11" t="s">
        <v>302</v>
      </c>
      <c r="AF18" s="1" t="s">
        <v>521</v>
      </c>
      <c r="AG18" s="47">
        <v>2</v>
      </c>
      <c r="AH18" s="47"/>
    </row>
    <row r="19" spans="3:34" x14ac:dyDescent="0.25">
      <c r="C19" s="4" t="s">
        <v>16</v>
      </c>
      <c r="D19" s="4" t="s">
        <v>24</v>
      </c>
      <c r="E19" s="4" t="s">
        <v>43</v>
      </c>
      <c r="F19" s="4" t="str">
        <f t="shared" si="0"/>
        <v>Retenção EmpresarialCancelamentoPacote de Dados</v>
      </c>
      <c r="G19" s="4" t="s">
        <v>100</v>
      </c>
      <c r="H19" s="4" t="s">
        <v>11</v>
      </c>
      <c r="I19" s="4" t="s">
        <v>513</v>
      </c>
      <c r="J19" s="41">
        <v>1</v>
      </c>
      <c r="K19" s="4"/>
      <c r="M19" s="2"/>
      <c r="N19" s="4" t="s">
        <v>228</v>
      </c>
      <c r="O19" s="4" t="s">
        <v>129</v>
      </c>
      <c r="P19" s="4" t="str">
        <f t="shared" si="1"/>
        <v>OiTE – Solucao ConectadoOferta AVANCADO - SL Conectado</v>
      </c>
      <c r="Q19" s="4" t="s">
        <v>194</v>
      </c>
      <c r="R19" s="32" t="s">
        <v>123</v>
      </c>
      <c r="S19" s="40" t="s">
        <v>522</v>
      </c>
      <c r="T19" s="41">
        <v>5</v>
      </c>
      <c r="U19" s="41"/>
      <c r="V19" s="10"/>
      <c r="Z19" s="11" t="s">
        <v>519</v>
      </c>
      <c r="AA19" s="11">
        <v>84</v>
      </c>
      <c r="AB19" s="4" t="s">
        <v>300</v>
      </c>
      <c r="AC19" s="4" t="str">
        <f t="shared" si="2"/>
        <v>ABERTA84SUN</v>
      </c>
      <c r="AD19" s="4" t="s">
        <v>535</v>
      </c>
      <c r="AE19" s="11" t="s">
        <v>302</v>
      </c>
      <c r="AF19" s="1" t="s">
        <v>521</v>
      </c>
      <c r="AG19" s="47">
        <v>2</v>
      </c>
      <c r="AH19" s="47"/>
    </row>
    <row r="20" spans="3:34" x14ac:dyDescent="0.25">
      <c r="C20" s="4" t="s">
        <v>16</v>
      </c>
      <c r="D20" s="4" t="s">
        <v>30</v>
      </c>
      <c r="E20" s="4" t="s">
        <v>44</v>
      </c>
      <c r="F20" s="4" t="str">
        <f t="shared" si="0"/>
        <v>Retenção EmpresarialContestação Emp - ApuraçãoPacote de dados não associado</v>
      </c>
      <c r="G20" s="4" t="s">
        <v>100</v>
      </c>
      <c r="H20" s="4" t="s">
        <v>11</v>
      </c>
      <c r="I20" s="4" t="s">
        <v>513</v>
      </c>
      <c r="J20" s="41">
        <v>1</v>
      </c>
      <c r="K20" s="4"/>
      <c r="M20" s="2"/>
      <c r="N20" s="4" t="s">
        <v>228</v>
      </c>
      <c r="O20" s="4" t="s">
        <v>130</v>
      </c>
      <c r="P20" s="4" t="str">
        <f t="shared" si="1"/>
        <v>OiTE – Solucao ConectadoOferta SMART - SL Conectado</v>
      </c>
      <c r="Q20" s="4" t="s">
        <v>194</v>
      </c>
      <c r="R20" s="32" t="s">
        <v>123</v>
      </c>
      <c r="S20" s="40" t="s">
        <v>522</v>
      </c>
      <c r="T20" s="41">
        <v>5</v>
      </c>
      <c r="U20" s="41"/>
      <c r="V20" s="10"/>
    </row>
    <row r="21" spans="3:34" x14ac:dyDescent="0.25">
      <c r="C21" s="4" t="s">
        <v>16</v>
      </c>
      <c r="D21" s="4" t="s">
        <v>30</v>
      </c>
      <c r="E21" s="4" t="s">
        <v>45</v>
      </c>
      <c r="F21" s="4" t="str">
        <f t="shared" si="0"/>
        <v>Retenção EmpresarialContestação Emp - ApuraçãoPerda Pioneiro Cancel indevido</v>
      </c>
      <c r="G21" s="4" t="s">
        <v>100</v>
      </c>
      <c r="H21" s="4" t="s">
        <v>11</v>
      </c>
      <c r="I21" s="4" t="s">
        <v>513</v>
      </c>
      <c r="J21" s="41">
        <v>1</v>
      </c>
      <c r="K21" s="4"/>
      <c r="M21" s="2"/>
      <c r="N21" s="4" t="s">
        <v>228</v>
      </c>
      <c r="O21" s="4" t="s">
        <v>131</v>
      </c>
      <c r="P21" s="4" t="str">
        <f t="shared" si="1"/>
        <v>OiTE – Solucao ConectadoOferta TOP - SL Conectado</v>
      </c>
      <c r="Q21" s="4" t="s">
        <v>194</v>
      </c>
      <c r="R21" s="32" t="s">
        <v>123</v>
      </c>
      <c r="S21" s="40" t="s">
        <v>522</v>
      </c>
      <c r="T21" s="41">
        <v>5</v>
      </c>
      <c r="U21" s="41"/>
      <c r="V21" s="10"/>
    </row>
    <row r="22" spans="3:34" x14ac:dyDescent="0.25">
      <c r="C22" s="4" t="s">
        <v>16</v>
      </c>
      <c r="D22" s="4" t="s">
        <v>24</v>
      </c>
      <c r="E22" s="4" t="s">
        <v>46</v>
      </c>
      <c r="F22" s="4" t="str">
        <f t="shared" si="0"/>
        <v>Retenção EmpresarialCancelamentoPlano de voz</v>
      </c>
      <c r="G22" s="4" t="s">
        <v>100</v>
      </c>
      <c r="H22" s="4" t="s">
        <v>11</v>
      </c>
      <c r="I22" s="4" t="s">
        <v>513</v>
      </c>
      <c r="J22" s="41">
        <v>1</v>
      </c>
      <c r="K22" s="4"/>
      <c r="M22" s="2"/>
      <c r="N22" s="4" t="s">
        <v>229</v>
      </c>
      <c r="O22" s="4" t="s">
        <v>132</v>
      </c>
      <c r="P22" s="4" t="str">
        <f t="shared" si="1"/>
        <v>OiTE – Solucao Fixo + BLOferta AVANCADO - SL Fixo + BL</v>
      </c>
      <c r="Q22" s="4" t="s">
        <v>194</v>
      </c>
      <c r="R22" s="32" t="s">
        <v>123</v>
      </c>
      <c r="S22" s="40" t="s">
        <v>522</v>
      </c>
      <c r="T22" s="41">
        <v>5</v>
      </c>
      <c r="U22" s="41"/>
      <c r="V22" s="10"/>
    </row>
    <row r="23" spans="3:34" x14ac:dyDescent="0.25">
      <c r="C23" s="4" t="s">
        <v>16</v>
      </c>
      <c r="D23" s="4" t="s">
        <v>24</v>
      </c>
      <c r="E23" s="4" t="s">
        <v>47</v>
      </c>
      <c r="F23" s="4" t="str">
        <f t="shared" si="0"/>
        <v>Retenção EmpresarialCancelamentoPortabilidade Receptora</v>
      </c>
      <c r="G23" s="4" t="s">
        <v>100</v>
      </c>
      <c r="H23" s="4" t="s">
        <v>11</v>
      </c>
      <c r="I23" s="4" t="s">
        <v>513</v>
      </c>
      <c r="J23" s="41">
        <v>1</v>
      </c>
      <c r="K23" s="4"/>
      <c r="M23" s="2"/>
      <c r="N23" s="4" t="s">
        <v>229</v>
      </c>
      <c r="O23" s="4" t="s">
        <v>133</v>
      </c>
      <c r="P23" s="4" t="str">
        <f t="shared" si="1"/>
        <v>OiTE – Solucao Fixo + BLOferta SMART - SL Fixo + BL</v>
      </c>
      <c r="Q23" s="4" t="s">
        <v>194</v>
      </c>
      <c r="R23" s="32" t="s">
        <v>123</v>
      </c>
      <c r="S23" s="40" t="s">
        <v>522</v>
      </c>
      <c r="T23" s="41">
        <v>5</v>
      </c>
      <c r="U23" s="41"/>
      <c r="V23" s="10"/>
    </row>
    <row r="24" spans="3:34" x14ac:dyDescent="0.25">
      <c r="C24" s="4" t="s">
        <v>16</v>
      </c>
      <c r="D24" s="4" t="s">
        <v>30</v>
      </c>
      <c r="E24" s="4" t="s">
        <v>48</v>
      </c>
      <c r="F24" s="4" t="str">
        <f t="shared" si="0"/>
        <v>Retenção EmpresarialContestação Emp - ApuraçãoReativação de linha divergente</v>
      </c>
      <c r="G24" s="4" t="s">
        <v>100</v>
      </c>
      <c r="H24" s="4" t="s">
        <v>11</v>
      </c>
      <c r="I24" s="4" t="s">
        <v>513</v>
      </c>
      <c r="J24" s="41">
        <v>1</v>
      </c>
      <c r="K24" s="4"/>
      <c r="M24" s="2"/>
      <c r="N24" s="4" t="s">
        <v>229</v>
      </c>
      <c r="O24" s="4" t="s">
        <v>134</v>
      </c>
      <c r="P24" s="4" t="str">
        <f t="shared" si="1"/>
        <v>OiTE – Solucao Fixo + BLOferta TOP - SL Fixo + BL</v>
      </c>
      <c r="Q24" s="4" t="s">
        <v>194</v>
      </c>
      <c r="R24" s="32" t="s">
        <v>123</v>
      </c>
      <c r="S24" s="40" t="s">
        <v>522</v>
      </c>
      <c r="T24" s="41">
        <v>5</v>
      </c>
      <c r="U24" s="41"/>
      <c r="V24" s="10"/>
    </row>
    <row r="25" spans="3:34" x14ac:dyDescent="0.25">
      <c r="C25" s="4" t="s">
        <v>16</v>
      </c>
      <c r="D25" s="4" t="s">
        <v>24</v>
      </c>
      <c r="E25" s="4" t="s">
        <v>49</v>
      </c>
      <c r="F25" s="4" t="str">
        <f t="shared" si="0"/>
        <v>Retenção EmpresarialCancelamentoSolicitação via loja da Oi</v>
      </c>
      <c r="G25" s="4" t="s">
        <v>100</v>
      </c>
      <c r="H25" s="4" t="s">
        <v>11</v>
      </c>
      <c r="I25" s="4" t="s">
        <v>513</v>
      </c>
      <c r="J25" s="41">
        <v>1</v>
      </c>
      <c r="K25" s="4"/>
      <c r="M25" s="2"/>
      <c r="N25" s="4" t="s">
        <v>230</v>
      </c>
      <c r="O25" s="4" t="s">
        <v>135</v>
      </c>
      <c r="P25" s="4" t="str">
        <f t="shared" si="1"/>
        <v>OiTE – Solucao TV + FixoOferta AVANCADO - SL TV + Fixo</v>
      </c>
      <c r="Q25" s="4" t="s">
        <v>194</v>
      </c>
      <c r="R25" s="32" t="s">
        <v>123</v>
      </c>
      <c r="S25" s="40" t="s">
        <v>522</v>
      </c>
      <c r="T25" s="41">
        <v>5</v>
      </c>
      <c r="U25" s="41"/>
      <c r="V25" s="10"/>
    </row>
    <row r="26" spans="3:34" x14ac:dyDescent="0.25">
      <c r="C26" s="4" t="s">
        <v>50</v>
      </c>
      <c r="D26" s="4" t="s">
        <v>24</v>
      </c>
      <c r="E26" s="4" t="s">
        <v>51</v>
      </c>
      <c r="F26" s="4" t="str">
        <f t="shared" si="0"/>
        <v>Retenção EspecializadaCancelamentoPlano de Voz</v>
      </c>
      <c r="G26" s="4" t="s">
        <v>100</v>
      </c>
      <c r="H26" s="4" t="s">
        <v>11</v>
      </c>
      <c r="I26" s="4" t="s">
        <v>513</v>
      </c>
      <c r="J26" s="41">
        <v>1</v>
      </c>
      <c r="K26" s="4"/>
      <c r="M26" s="2"/>
      <c r="N26" s="4" t="s">
        <v>230</v>
      </c>
      <c r="O26" s="4" t="s">
        <v>136</v>
      </c>
      <c r="P26" s="4" t="str">
        <f t="shared" si="1"/>
        <v>OiTE – Solucao TV + FixoOferta SMART - SL TV + Fixo</v>
      </c>
      <c r="Q26" s="4" t="s">
        <v>194</v>
      </c>
      <c r="R26" s="32" t="s">
        <v>123</v>
      </c>
      <c r="S26" s="40" t="s">
        <v>522</v>
      </c>
      <c r="T26" s="41">
        <v>5</v>
      </c>
      <c r="U26" s="41"/>
      <c r="V26" s="10"/>
    </row>
    <row r="27" spans="3:34" x14ac:dyDescent="0.25">
      <c r="C27" s="4" t="s">
        <v>52</v>
      </c>
      <c r="D27" s="4" t="s">
        <v>24</v>
      </c>
      <c r="E27" s="4" t="s">
        <v>53</v>
      </c>
      <c r="F27" s="4" t="str">
        <f t="shared" si="0"/>
        <v>Retenção OCTP PJCancelamentoCancelamento Oi Velox</v>
      </c>
      <c r="G27" s="4" t="s">
        <v>100</v>
      </c>
      <c r="H27" s="4" t="s">
        <v>11</v>
      </c>
      <c r="I27" s="4" t="s">
        <v>513</v>
      </c>
      <c r="J27" s="41">
        <v>1</v>
      </c>
      <c r="K27" s="4"/>
      <c r="M27" s="2"/>
      <c r="N27" s="4" t="s">
        <v>230</v>
      </c>
      <c r="O27" s="4" t="s">
        <v>137</v>
      </c>
      <c r="P27" s="4" t="str">
        <f t="shared" si="1"/>
        <v>OiTE – Solucao TV + FixoOferta TOP - SL TV + Fixo</v>
      </c>
      <c r="Q27" s="4" t="s">
        <v>194</v>
      </c>
      <c r="R27" s="32" t="s">
        <v>123</v>
      </c>
      <c r="S27" s="40" t="s">
        <v>522</v>
      </c>
      <c r="T27" s="41">
        <v>5</v>
      </c>
      <c r="U27" s="41"/>
      <c r="V27" s="10"/>
    </row>
    <row r="28" spans="3:34" x14ac:dyDescent="0.25">
      <c r="C28" s="4" t="s">
        <v>52</v>
      </c>
      <c r="D28" s="4" t="s">
        <v>54</v>
      </c>
      <c r="E28" s="4" t="s">
        <v>55</v>
      </c>
      <c r="F28" s="4" t="str">
        <f t="shared" si="0"/>
        <v>Retenção OCTP PJCancelamento Totalcliente discorda do pedido</v>
      </c>
      <c r="G28" s="4" t="s">
        <v>100</v>
      </c>
      <c r="H28" s="4" t="s">
        <v>11</v>
      </c>
      <c r="I28" s="4" t="s">
        <v>513</v>
      </c>
      <c r="J28" s="41">
        <v>1</v>
      </c>
      <c r="K28" s="4"/>
      <c r="M28" s="2"/>
      <c r="N28" s="4" t="s">
        <v>120</v>
      </c>
      <c r="O28" s="4" t="s">
        <v>121</v>
      </c>
      <c r="P28" s="4" t="str">
        <f t="shared" si="1"/>
        <v>MIGRAÇÃO SAC R2VELOX - SAC R2</v>
      </c>
      <c r="Q28" s="4" t="s">
        <v>190</v>
      </c>
      <c r="R28" s="32" t="s">
        <v>111</v>
      </c>
      <c r="S28" s="40" t="s">
        <v>522</v>
      </c>
      <c r="T28" s="41">
        <v>5</v>
      </c>
      <c r="U28" s="41"/>
      <c r="V28" s="10"/>
    </row>
    <row r="29" spans="3:34" x14ac:dyDescent="0.25">
      <c r="C29" s="4" t="s">
        <v>52</v>
      </c>
      <c r="D29" s="4" t="s">
        <v>56</v>
      </c>
      <c r="E29" s="4" t="s">
        <v>57</v>
      </c>
      <c r="F29" s="4" t="str">
        <f t="shared" si="0"/>
        <v>Retenção OCTP PJCancelar Móvel TotalManter demais produtos C/ofert</v>
      </c>
      <c r="G29" s="4" t="s">
        <v>100</v>
      </c>
      <c r="H29" s="4" t="s">
        <v>11</v>
      </c>
      <c r="I29" s="4" t="s">
        <v>513</v>
      </c>
      <c r="J29" s="41">
        <v>1</v>
      </c>
      <c r="K29" s="4"/>
      <c r="M29" s="2"/>
      <c r="N29" s="4" t="s">
        <v>178</v>
      </c>
      <c r="O29" s="4" t="s">
        <v>171</v>
      </c>
      <c r="P29" s="4" t="str">
        <f t="shared" si="1"/>
        <v>REVERSÃO R1OFERTA 1</v>
      </c>
      <c r="Q29" s="4" t="s">
        <v>190</v>
      </c>
      <c r="R29" s="32" t="s">
        <v>111</v>
      </c>
      <c r="S29" s="40" t="s">
        <v>522</v>
      </c>
      <c r="T29" s="41">
        <v>5</v>
      </c>
      <c r="U29" s="41"/>
      <c r="V29" s="2"/>
    </row>
    <row r="30" spans="3:34" x14ac:dyDescent="0.25">
      <c r="C30" s="4" t="s">
        <v>52</v>
      </c>
      <c r="D30" s="4" t="s">
        <v>58</v>
      </c>
      <c r="E30" s="4" t="s">
        <v>57</v>
      </c>
      <c r="F30" s="4" t="str">
        <f t="shared" si="0"/>
        <v>Retenção OCTP PJCancelar Fixo / VeloxManter demais produtos C/ofert</v>
      </c>
      <c r="G30" s="4" t="s">
        <v>100</v>
      </c>
      <c r="H30" s="4" t="s">
        <v>11</v>
      </c>
      <c r="I30" s="4" t="s">
        <v>513</v>
      </c>
      <c r="J30" s="41">
        <v>1</v>
      </c>
      <c r="K30" s="4"/>
      <c r="M30" s="2"/>
      <c r="N30" s="4" t="s">
        <v>179</v>
      </c>
      <c r="O30" s="4" t="s">
        <v>171</v>
      </c>
      <c r="P30" s="4" t="str">
        <f t="shared" si="1"/>
        <v>REVERSÃO R2OFERTA 1</v>
      </c>
      <c r="Q30" s="4" t="s">
        <v>190</v>
      </c>
      <c r="R30" s="32" t="s">
        <v>111</v>
      </c>
      <c r="S30" s="40" t="s">
        <v>522</v>
      </c>
      <c r="T30" s="41">
        <v>5</v>
      </c>
      <c r="U30" s="41"/>
      <c r="V30" s="2"/>
    </row>
    <row r="31" spans="3:34" x14ac:dyDescent="0.25">
      <c r="C31" s="4" t="s">
        <v>52</v>
      </c>
      <c r="D31" s="4" t="s">
        <v>59</v>
      </c>
      <c r="E31" s="4" t="s">
        <v>57</v>
      </c>
      <c r="F31" s="4" t="str">
        <f t="shared" si="0"/>
        <v>Retenção OCTP PJCancelar Móvel Total / VeloxManter demais produtos C/ofert</v>
      </c>
      <c r="G31" s="4" t="s">
        <v>100</v>
      </c>
      <c r="H31" s="4" t="s">
        <v>11</v>
      </c>
      <c r="I31" s="4" t="s">
        <v>513</v>
      </c>
      <c r="J31" s="41">
        <v>1</v>
      </c>
      <c r="K31" s="4"/>
      <c r="M31" s="2"/>
      <c r="N31" s="4" t="s">
        <v>179</v>
      </c>
      <c r="O31" s="4" t="s">
        <v>180</v>
      </c>
      <c r="P31" s="4" t="str">
        <f t="shared" si="1"/>
        <v>REVERSÃO R2VELOX</v>
      </c>
      <c r="Q31" s="4" t="s">
        <v>190</v>
      </c>
      <c r="R31" s="32" t="s">
        <v>111</v>
      </c>
      <c r="S31" s="40" t="s">
        <v>522</v>
      </c>
      <c r="T31" s="41">
        <v>5</v>
      </c>
      <c r="U31" s="41"/>
      <c r="V31" s="2"/>
    </row>
    <row r="32" spans="3:34" x14ac:dyDescent="0.25">
      <c r="C32" s="4" t="s">
        <v>52</v>
      </c>
      <c r="D32" s="4" t="s">
        <v>60</v>
      </c>
      <c r="E32" s="4" t="s">
        <v>57</v>
      </c>
      <c r="F32" s="4" t="str">
        <f t="shared" si="0"/>
        <v>Retenção OCTP PJCancel Móvel Parcial s TitularManter demais produtos C/ofert</v>
      </c>
      <c r="G32" s="4" t="s">
        <v>100</v>
      </c>
      <c r="H32" s="4" t="s">
        <v>11</v>
      </c>
      <c r="I32" s="4" t="s">
        <v>513</v>
      </c>
      <c r="J32" s="41">
        <v>1</v>
      </c>
      <c r="K32" s="4"/>
      <c r="M32" s="2"/>
      <c r="N32" s="4" t="s">
        <v>199</v>
      </c>
      <c r="O32" s="4" t="s">
        <v>171</v>
      </c>
      <c r="P32" s="4" t="str">
        <f t="shared" si="1"/>
        <v>COBRANCA - SIMULADOR MOVELOFERTA 1</v>
      </c>
      <c r="Q32" s="4" t="s">
        <v>198</v>
      </c>
      <c r="R32" s="32" t="s">
        <v>506</v>
      </c>
      <c r="S32" s="40" t="s">
        <v>512</v>
      </c>
      <c r="T32" s="41">
        <v>2</v>
      </c>
      <c r="U32" s="41"/>
      <c r="V32" s="2"/>
    </row>
    <row r="33" spans="3:22" x14ac:dyDescent="0.25">
      <c r="C33" s="4" t="s">
        <v>52</v>
      </c>
      <c r="D33" s="4" t="s">
        <v>61</v>
      </c>
      <c r="E33" s="4" t="s">
        <v>57</v>
      </c>
      <c r="F33" s="4" t="str">
        <f t="shared" si="0"/>
        <v>Retenção OCTP PJCancelar Móvel Parcial / VeloxManter demais produtos C/ofert</v>
      </c>
      <c r="G33" s="4" t="s">
        <v>100</v>
      </c>
      <c r="H33" s="4" t="s">
        <v>11</v>
      </c>
      <c r="I33" s="4" t="s">
        <v>513</v>
      </c>
      <c r="J33" s="41">
        <v>1</v>
      </c>
      <c r="K33" s="4"/>
      <c r="M33" s="2"/>
      <c r="N33" s="4" t="s">
        <v>199</v>
      </c>
      <c r="O33" s="4" t="s">
        <v>172</v>
      </c>
      <c r="P33" s="4" t="str">
        <f t="shared" si="1"/>
        <v>COBRANCA - SIMULADOR MOVELOFERTA 2</v>
      </c>
      <c r="Q33" s="4" t="s">
        <v>198</v>
      </c>
      <c r="R33" s="32" t="s">
        <v>506</v>
      </c>
      <c r="S33" s="40" t="s">
        <v>512</v>
      </c>
      <c r="T33" s="41">
        <v>2</v>
      </c>
      <c r="U33" s="41"/>
      <c r="V33" s="2"/>
    </row>
    <row r="34" spans="3:22" x14ac:dyDescent="0.25">
      <c r="C34" s="4" t="s">
        <v>52</v>
      </c>
      <c r="D34" s="4" t="s">
        <v>62</v>
      </c>
      <c r="E34" s="4" t="s">
        <v>57</v>
      </c>
      <c r="F34" s="4" t="str">
        <f t="shared" si="0"/>
        <v>Retenção OCTP PJCancel Móvel Parcial c TitularManter demais produtos C/ofert</v>
      </c>
      <c r="G34" s="4" t="s">
        <v>100</v>
      </c>
      <c r="H34" s="4" t="s">
        <v>11</v>
      </c>
      <c r="I34" s="4" t="s">
        <v>513</v>
      </c>
      <c r="J34" s="41">
        <v>1</v>
      </c>
      <c r="K34" s="4"/>
      <c r="M34" s="2"/>
      <c r="N34" s="4" t="s">
        <v>202</v>
      </c>
      <c r="O34" s="4" t="s">
        <v>203</v>
      </c>
      <c r="P34" s="4" t="str">
        <f t="shared" si="1"/>
        <v>Retenção Fibra EMPMigração Cobre Fibra</v>
      </c>
      <c r="Q34" s="4" t="s">
        <v>204</v>
      </c>
      <c r="R34" s="32" t="s">
        <v>201</v>
      </c>
      <c r="S34" s="40" t="s">
        <v>513</v>
      </c>
      <c r="T34" s="41">
        <v>5</v>
      </c>
      <c r="U34" s="41"/>
      <c r="V34" s="2"/>
    </row>
    <row r="35" spans="3:22" x14ac:dyDescent="0.25">
      <c r="C35" s="4" t="s">
        <v>52</v>
      </c>
      <c r="D35" s="4" t="s">
        <v>62</v>
      </c>
      <c r="E35" s="4" t="s">
        <v>63</v>
      </c>
      <c r="F35" s="4" t="str">
        <f t="shared" si="0"/>
        <v>Retenção OCTP PJCancel Móvel Parcial c TitularManter demais produtos S/ofert</v>
      </c>
      <c r="G35" s="4" t="s">
        <v>100</v>
      </c>
      <c r="H35" s="4" t="s">
        <v>11</v>
      </c>
      <c r="I35" s="4" t="s">
        <v>513</v>
      </c>
      <c r="J35" s="41">
        <v>1</v>
      </c>
      <c r="K35" s="4"/>
      <c r="M35" s="2"/>
      <c r="N35" s="4" t="s">
        <v>138</v>
      </c>
      <c r="O35" s="4" t="s">
        <v>139</v>
      </c>
      <c r="P35" s="4" t="str">
        <f t="shared" si="1"/>
        <v>Ouvidoria EMPCancelamento Fixo/Velox</v>
      </c>
      <c r="Q35" s="4" t="s">
        <v>195</v>
      </c>
      <c r="R35" s="32" t="s">
        <v>140</v>
      </c>
      <c r="S35" s="40" t="s">
        <v>513</v>
      </c>
      <c r="T35" s="41">
        <v>1</v>
      </c>
      <c r="U35" s="41"/>
      <c r="V35" s="2"/>
    </row>
    <row r="36" spans="3:22" x14ac:dyDescent="0.25">
      <c r="C36" s="4" t="s">
        <v>52</v>
      </c>
      <c r="D36" s="4" t="s">
        <v>64</v>
      </c>
      <c r="E36" s="4" t="s">
        <v>63</v>
      </c>
      <c r="F36" s="4" t="str">
        <f t="shared" si="0"/>
        <v>Retenção OCTP PJCancelar Oi VeloxManter demais produtos S/ofert</v>
      </c>
      <c r="G36" s="4" t="s">
        <v>100</v>
      </c>
      <c r="H36" s="4" t="s">
        <v>11</v>
      </c>
      <c r="I36" s="4" t="s">
        <v>513</v>
      </c>
      <c r="J36" s="41">
        <v>1</v>
      </c>
      <c r="K36" s="4"/>
      <c r="M36" s="2"/>
      <c r="N36" s="4" t="s">
        <v>138</v>
      </c>
      <c r="O36" s="4" t="s">
        <v>141</v>
      </c>
      <c r="P36" s="4" t="str">
        <f t="shared" si="1"/>
        <v>Ouvidoria EMPCancelamento Móvel</v>
      </c>
      <c r="Q36" s="4" t="s">
        <v>195</v>
      </c>
      <c r="R36" s="32" t="s">
        <v>140</v>
      </c>
      <c r="S36" s="40" t="s">
        <v>513</v>
      </c>
      <c r="T36" s="41">
        <v>1</v>
      </c>
      <c r="U36" s="41"/>
      <c r="V36" s="2"/>
    </row>
    <row r="37" spans="3:22" x14ac:dyDescent="0.25">
      <c r="C37" s="4" t="s">
        <v>52</v>
      </c>
      <c r="D37" s="4" t="s">
        <v>59</v>
      </c>
      <c r="E37" s="4" t="s">
        <v>63</v>
      </c>
      <c r="F37" s="4" t="str">
        <f t="shared" si="0"/>
        <v>Retenção OCTP PJCancelar Móvel Total / VeloxManter demais produtos S/ofert</v>
      </c>
      <c r="G37" s="4" t="s">
        <v>100</v>
      </c>
      <c r="H37" s="4" t="s">
        <v>11</v>
      </c>
      <c r="I37" s="4" t="s">
        <v>513</v>
      </c>
      <c r="J37" s="41">
        <v>1</v>
      </c>
      <c r="K37" s="4"/>
      <c r="M37" s="2"/>
      <c r="N37" s="4" t="s">
        <v>138</v>
      </c>
      <c r="O37" s="4" t="s">
        <v>142</v>
      </c>
      <c r="P37" s="4" t="str">
        <f t="shared" si="1"/>
        <v>Ouvidoria EMPCancelamento Oi Total</v>
      </c>
      <c r="Q37" s="4" t="s">
        <v>195</v>
      </c>
      <c r="R37" s="32" t="s">
        <v>140</v>
      </c>
      <c r="S37" s="40" t="s">
        <v>513</v>
      </c>
      <c r="T37" s="41">
        <v>1</v>
      </c>
      <c r="U37" s="41"/>
      <c r="V37" s="2"/>
    </row>
    <row r="38" spans="3:22" x14ac:dyDescent="0.25">
      <c r="C38" s="4" t="s">
        <v>52</v>
      </c>
      <c r="D38" s="4" t="s">
        <v>58</v>
      </c>
      <c r="E38" s="4" t="s">
        <v>63</v>
      </c>
      <c r="F38" s="4" t="str">
        <f t="shared" si="0"/>
        <v>Retenção OCTP PJCancelar Fixo / VeloxManter demais produtos S/ofert</v>
      </c>
      <c r="G38" s="4" t="s">
        <v>100</v>
      </c>
      <c r="H38" s="4" t="s">
        <v>11</v>
      </c>
      <c r="I38" s="4" t="s">
        <v>513</v>
      </c>
      <c r="J38" s="41">
        <v>1</v>
      </c>
      <c r="K38" s="4"/>
      <c r="M38" s="2"/>
      <c r="N38" s="4" t="s">
        <v>138</v>
      </c>
      <c r="O38" s="4" t="s">
        <v>143</v>
      </c>
      <c r="P38" s="4" t="str">
        <f t="shared" si="1"/>
        <v>Ouvidoria EMPCancelamento TV</v>
      </c>
      <c r="Q38" s="4" t="s">
        <v>195</v>
      </c>
      <c r="R38" s="32" t="s">
        <v>140</v>
      </c>
      <c r="S38" s="40" t="s">
        <v>513</v>
      </c>
      <c r="T38" s="41">
        <v>1</v>
      </c>
      <c r="U38" s="41"/>
      <c r="V38" s="2"/>
    </row>
    <row r="39" spans="3:22" x14ac:dyDescent="0.25">
      <c r="C39" s="4" t="s">
        <v>52</v>
      </c>
      <c r="D39" s="4" t="s">
        <v>56</v>
      </c>
      <c r="E39" s="4" t="s">
        <v>63</v>
      </c>
      <c r="F39" s="4" t="str">
        <f t="shared" si="0"/>
        <v>Retenção OCTP PJCancelar Móvel TotalManter demais produtos S/ofert</v>
      </c>
      <c r="G39" s="4" t="s">
        <v>100</v>
      </c>
      <c r="H39" s="4" t="s">
        <v>11</v>
      </c>
      <c r="I39" s="4" t="s">
        <v>513</v>
      </c>
      <c r="J39" s="41">
        <v>1</v>
      </c>
      <c r="K39" s="4"/>
      <c r="M39" s="2"/>
      <c r="N39" s="4" t="s">
        <v>149</v>
      </c>
      <c r="O39" s="4" t="s">
        <v>150</v>
      </c>
      <c r="P39" s="4" t="str">
        <f t="shared" si="1"/>
        <v>RET OI TOTAL EMPRESARIALCANCELAMENTO_TOTAL</v>
      </c>
      <c r="Q39" s="4" t="s">
        <v>196</v>
      </c>
      <c r="R39" s="32" t="s">
        <v>151</v>
      </c>
      <c r="S39" s="40" t="s">
        <v>513</v>
      </c>
      <c r="T39" s="41">
        <v>1</v>
      </c>
      <c r="U39" s="41"/>
      <c r="V39" s="2"/>
    </row>
    <row r="40" spans="3:22" x14ac:dyDescent="0.25">
      <c r="C40" s="4" t="s">
        <v>52</v>
      </c>
      <c r="D40" s="4" t="s">
        <v>61</v>
      </c>
      <c r="E40" s="4" t="s">
        <v>63</v>
      </c>
      <c r="F40" s="4" t="str">
        <f t="shared" si="0"/>
        <v>Retenção OCTP PJCancelar Móvel Parcial / VeloxManter demais produtos S/ofert</v>
      </c>
      <c r="G40" s="4" t="s">
        <v>100</v>
      </c>
      <c r="H40" s="4" t="s">
        <v>11</v>
      </c>
      <c r="I40" s="4" t="s">
        <v>513</v>
      </c>
      <c r="J40" s="41">
        <v>1</v>
      </c>
      <c r="K40" s="4"/>
      <c r="M40" s="2"/>
      <c r="N40" s="4" t="s">
        <v>149</v>
      </c>
      <c r="O40" s="4" t="s">
        <v>154</v>
      </c>
      <c r="P40" s="4" t="str">
        <f t="shared" si="1"/>
        <v>RET OI TOTAL EMPRESARIALDESMEMBRAMENTO_CANCELA_UGRS</v>
      </c>
      <c r="Q40" s="4" t="s">
        <v>196</v>
      </c>
      <c r="R40" s="32" t="s">
        <v>151</v>
      </c>
      <c r="S40" s="40" t="s">
        <v>513</v>
      </c>
      <c r="T40" s="41">
        <v>1</v>
      </c>
      <c r="U40" s="41"/>
      <c r="V40" s="2"/>
    </row>
    <row r="41" spans="3:22" x14ac:dyDescent="0.25">
      <c r="C41" s="4" t="s">
        <v>52</v>
      </c>
      <c r="D41" s="4" t="s">
        <v>60</v>
      </c>
      <c r="E41" s="4" t="s">
        <v>63</v>
      </c>
      <c r="F41" s="4" t="str">
        <f t="shared" si="0"/>
        <v>Retenção OCTP PJCancel Móvel Parcial s TitularManter demais produtos S/ofert</v>
      </c>
      <c r="G41" s="4" t="s">
        <v>100</v>
      </c>
      <c r="H41" s="4" t="s">
        <v>11</v>
      </c>
      <c r="I41" s="4" t="s">
        <v>513</v>
      </c>
      <c r="J41" s="41">
        <v>1</v>
      </c>
      <c r="K41" s="4"/>
      <c r="M41" s="2"/>
      <c r="N41" s="4" t="s">
        <v>149</v>
      </c>
      <c r="O41" s="4" t="s">
        <v>156</v>
      </c>
      <c r="P41" s="4" t="str">
        <f t="shared" si="1"/>
        <v>RET OI TOTAL EMPRESARIALMIGRAÇÃO_OITOTAL_CANCELA_UGRS</v>
      </c>
      <c r="Q41" s="4" t="s">
        <v>196</v>
      </c>
      <c r="R41" s="32" t="s">
        <v>151</v>
      </c>
      <c r="S41" s="40" t="s">
        <v>513</v>
      </c>
      <c r="T41" s="41">
        <v>1</v>
      </c>
      <c r="U41" s="41"/>
      <c r="V41" s="2"/>
    </row>
    <row r="42" spans="3:22" x14ac:dyDescent="0.25">
      <c r="C42" s="4" t="s">
        <v>52</v>
      </c>
      <c r="D42" s="4" t="s">
        <v>54</v>
      </c>
      <c r="E42" s="4" t="s">
        <v>65</v>
      </c>
      <c r="F42" s="4" t="str">
        <f t="shared" si="0"/>
        <v>Retenção OCTP PJCancelamento TotalOi Móvel, Oi Fixo e Oi Velox</v>
      </c>
      <c r="G42" s="4" t="s">
        <v>100</v>
      </c>
      <c r="H42" s="4" t="s">
        <v>11</v>
      </c>
      <c r="I42" s="4" t="s">
        <v>513</v>
      </c>
      <c r="J42" s="41">
        <v>1</v>
      </c>
      <c r="K42" s="4"/>
      <c r="M42" s="2"/>
      <c r="N42" s="4" t="s">
        <v>149</v>
      </c>
      <c r="O42" s="4" t="s">
        <v>152</v>
      </c>
      <c r="P42" s="4" t="str">
        <f t="shared" si="1"/>
        <v>RET OI TOTAL EMPRESARIALDESMEMBRAMENTO _MANTEM_UGRS</v>
      </c>
      <c r="Q42" s="4" t="s">
        <v>197</v>
      </c>
      <c r="R42" s="32" t="s">
        <v>153</v>
      </c>
      <c r="S42" s="40" t="s">
        <v>513</v>
      </c>
      <c r="T42" s="41">
        <v>1</v>
      </c>
      <c r="U42" s="41"/>
      <c r="V42" s="2"/>
    </row>
    <row r="43" spans="3:22" x14ac:dyDescent="0.25">
      <c r="C43" s="4" t="s">
        <v>52</v>
      </c>
      <c r="D43" s="4" t="s">
        <v>66</v>
      </c>
      <c r="E43" s="4" t="s">
        <v>67</v>
      </c>
      <c r="F43" s="4" t="str">
        <f t="shared" si="0"/>
        <v>Retenção OCTP PJCancelam MóvelRenovação Fixo</v>
      </c>
      <c r="G43" s="4" t="s">
        <v>100</v>
      </c>
      <c r="H43" s="4" t="s">
        <v>11</v>
      </c>
      <c r="I43" s="4" t="s">
        <v>513</v>
      </c>
      <c r="J43" s="41">
        <v>1</v>
      </c>
      <c r="K43" s="4"/>
      <c r="M43" s="2"/>
      <c r="N43" s="4" t="s">
        <v>149</v>
      </c>
      <c r="O43" s="4" t="s">
        <v>155</v>
      </c>
      <c r="P43" s="4" t="str">
        <f t="shared" si="1"/>
        <v>RET OI TOTAL EMPRESARIALMIGRAÇÃO_OITOTAL_ADIÇÃO_UGRS</v>
      </c>
      <c r="Q43" s="4" t="s">
        <v>197</v>
      </c>
      <c r="R43" s="32" t="s">
        <v>153</v>
      </c>
      <c r="S43" s="40" t="s">
        <v>513</v>
      </c>
      <c r="T43" s="41">
        <v>1</v>
      </c>
      <c r="U43" s="41"/>
      <c r="V43" s="2"/>
    </row>
    <row r="44" spans="3:22" x14ac:dyDescent="0.25">
      <c r="C44" s="4" t="s">
        <v>52</v>
      </c>
      <c r="D44" s="4" t="s">
        <v>68</v>
      </c>
      <c r="E44" s="4" t="s">
        <v>69</v>
      </c>
      <c r="F44" s="4" t="str">
        <f t="shared" si="0"/>
        <v>Retenção OCTP PJCancelam FixoRenovação Móvel</v>
      </c>
      <c r="G44" s="4" t="s">
        <v>100</v>
      </c>
      <c r="H44" s="4" t="s">
        <v>11</v>
      </c>
      <c r="I44" s="4" t="s">
        <v>513</v>
      </c>
      <c r="J44" s="41">
        <v>1</v>
      </c>
      <c r="K44" s="4"/>
      <c r="M44" s="2"/>
      <c r="N44" s="4" t="s">
        <v>149</v>
      </c>
      <c r="O44" s="4" t="s">
        <v>157</v>
      </c>
      <c r="P44" s="4" t="str">
        <f t="shared" si="1"/>
        <v>RET OI TOTAL EMPRESARIALRENOVAÇÃO DE OFERTA OI TOTAL</v>
      </c>
      <c r="Q44" s="4" t="s">
        <v>197</v>
      </c>
      <c r="R44" s="32" t="s">
        <v>153</v>
      </c>
      <c r="S44" s="40" t="s">
        <v>513</v>
      </c>
      <c r="T44" s="41">
        <v>1</v>
      </c>
      <c r="U44" s="41"/>
      <c r="V44" s="2"/>
    </row>
    <row r="45" spans="3:22" x14ac:dyDescent="0.25">
      <c r="C45" s="4" t="s">
        <v>70</v>
      </c>
      <c r="D45" s="4" t="s">
        <v>17</v>
      </c>
      <c r="E45" s="4" t="s">
        <v>19</v>
      </c>
      <c r="F45" s="4" t="str">
        <f t="shared" si="0"/>
        <v>Retenção Oi Total PJRecorrênciaCancelamento não efetivado</v>
      </c>
      <c r="G45" s="4" t="s">
        <v>100</v>
      </c>
      <c r="H45" s="4" t="s">
        <v>11</v>
      </c>
      <c r="I45" s="4" t="s">
        <v>513</v>
      </c>
      <c r="J45" s="41">
        <v>1</v>
      </c>
      <c r="K45" s="4"/>
      <c r="M45" s="2"/>
      <c r="N45" s="4" t="s">
        <v>106</v>
      </c>
      <c r="O45" s="4" t="s">
        <v>114</v>
      </c>
      <c r="P45" s="4" t="str">
        <f t="shared" si="1"/>
        <v>AUDITORIA EMPCANCELAMENTO POS</v>
      </c>
      <c r="Q45" s="4" t="s">
        <v>192</v>
      </c>
      <c r="R45" s="32" t="s">
        <v>115</v>
      </c>
      <c r="S45" s="40" t="s">
        <v>513</v>
      </c>
      <c r="T45" s="41">
        <v>1</v>
      </c>
      <c r="U45" s="41"/>
      <c r="V45" s="2"/>
    </row>
    <row r="46" spans="3:22" x14ac:dyDescent="0.25">
      <c r="C46" s="4" t="s">
        <v>16</v>
      </c>
      <c r="D46" s="4" t="s">
        <v>17</v>
      </c>
      <c r="E46" s="4" t="s">
        <v>18</v>
      </c>
      <c r="F46" s="4" t="str">
        <f t="shared" si="0"/>
        <v>Retenção EmpresarialRecorrênciaCancelamento linha divergente</v>
      </c>
      <c r="G46" s="4" t="s">
        <v>100</v>
      </c>
      <c r="H46" s="4" t="s">
        <v>11</v>
      </c>
      <c r="I46" s="4" t="s">
        <v>513</v>
      </c>
      <c r="J46" s="41">
        <v>1</v>
      </c>
      <c r="K46" s="4"/>
      <c r="M46" s="2"/>
      <c r="N46" s="4" t="s">
        <v>116</v>
      </c>
      <c r="O46" s="4" t="s">
        <v>117</v>
      </c>
      <c r="P46" s="4" t="str">
        <f t="shared" si="1"/>
        <v>INCLUSAO DE SUSPENSAO A PEDIDOFIXO</v>
      </c>
      <c r="Q46" s="4" t="s">
        <v>192</v>
      </c>
      <c r="R46" s="32" t="s">
        <v>115</v>
      </c>
      <c r="S46" s="40" t="s">
        <v>513</v>
      </c>
      <c r="T46" s="41">
        <v>1</v>
      </c>
      <c r="U46" s="41"/>
      <c r="V46" s="2"/>
    </row>
    <row r="47" spans="3:22" x14ac:dyDescent="0.25">
      <c r="C47" s="4" t="s">
        <v>16</v>
      </c>
      <c r="D47" s="4" t="s">
        <v>17</v>
      </c>
      <c r="E47" s="4" t="s">
        <v>19</v>
      </c>
      <c r="F47" s="4" t="str">
        <f t="shared" si="0"/>
        <v>Retenção EmpresarialRecorrênciaCancelamento não efetivado</v>
      </c>
      <c r="G47" s="4" t="s">
        <v>100</v>
      </c>
      <c r="H47" s="4" t="s">
        <v>11</v>
      </c>
      <c r="I47" s="4" t="s">
        <v>513</v>
      </c>
      <c r="J47" s="41">
        <v>1</v>
      </c>
      <c r="K47" s="4"/>
      <c r="M47" s="2"/>
      <c r="N47" s="4" t="s">
        <v>116</v>
      </c>
      <c r="O47" s="4" t="s">
        <v>118</v>
      </c>
      <c r="P47" s="4" t="str">
        <f t="shared" si="1"/>
        <v>INCLUSAO DE SUSPENSAO A PEDIDOFIXO + BANDA LARGA</v>
      </c>
      <c r="Q47" s="4" t="s">
        <v>192</v>
      </c>
      <c r="R47" s="32" t="s">
        <v>115</v>
      </c>
      <c r="S47" s="40" t="s">
        <v>513</v>
      </c>
      <c r="T47" s="41">
        <v>1</v>
      </c>
      <c r="U47" s="41"/>
      <c r="V47" s="2"/>
    </row>
    <row r="48" spans="3:22" x14ac:dyDescent="0.25">
      <c r="C48" s="4" t="s">
        <v>16</v>
      </c>
      <c r="D48" s="4" t="s">
        <v>17</v>
      </c>
      <c r="E48" s="4" t="s">
        <v>20</v>
      </c>
      <c r="F48" s="4" t="str">
        <f t="shared" si="0"/>
        <v>Retenção EmpresarialRecorrênciaMigração de plano divergente</v>
      </c>
      <c r="G48" s="4" t="s">
        <v>100</v>
      </c>
      <c r="H48" s="4" t="s">
        <v>11</v>
      </c>
      <c r="I48" s="4" t="s">
        <v>513</v>
      </c>
      <c r="J48" s="41">
        <v>1</v>
      </c>
      <c r="K48" s="4"/>
      <c r="M48" s="2"/>
      <c r="N48" s="4" t="s">
        <v>158</v>
      </c>
      <c r="O48" s="4" t="s">
        <v>159</v>
      </c>
      <c r="P48" s="4" t="str">
        <f t="shared" si="1"/>
        <v>RET RII - FIXO/VELOXCANCELAMENTO FORA HORÁRIO RET</v>
      </c>
      <c r="Q48" s="4" t="s">
        <v>192</v>
      </c>
      <c r="R48" s="32" t="s">
        <v>115</v>
      </c>
      <c r="S48" s="40" t="s">
        <v>513</v>
      </c>
      <c r="T48" s="41">
        <v>1</v>
      </c>
      <c r="U48" s="41"/>
      <c r="V48" s="2"/>
    </row>
    <row r="49" spans="3:22" x14ac:dyDescent="0.25">
      <c r="C49" s="4" t="s">
        <v>16</v>
      </c>
      <c r="D49" s="4" t="s">
        <v>17</v>
      </c>
      <c r="E49" s="4" t="s">
        <v>21</v>
      </c>
      <c r="F49" s="4" t="str">
        <f t="shared" si="0"/>
        <v>Retenção EmpresarialRecorrênciaMigração de plano não efetuada</v>
      </c>
      <c r="G49" s="4" t="s">
        <v>100</v>
      </c>
      <c r="H49" s="4" t="s">
        <v>11</v>
      </c>
      <c r="I49" s="4" t="s">
        <v>513</v>
      </c>
      <c r="J49" s="41">
        <v>1</v>
      </c>
      <c r="K49" s="4"/>
      <c r="M49" s="2"/>
      <c r="N49" s="4" t="s">
        <v>158</v>
      </c>
      <c r="O49" s="4" t="s">
        <v>160</v>
      </c>
      <c r="P49" s="4" t="str">
        <f t="shared" si="1"/>
        <v>RET RII - FIXO/VELOXERRO BLOQUEIO</v>
      </c>
      <c r="Q49" s="4" t="s">
        <v>192</v>
      </c>
      <c r="R49" s="32" t="s">
        <v>115</v>
      </c>
      <c r="S49" s="40" t="s">
        <v>513</v>
      </c>
      <c r="T49" s="41">
        <v>1</v>
      </c>
      <c r="U49" s="41"/>
      <c r="V49" s="2"/>
    </row>
    <row r="50" spans="3:22" x14ac:dyDescent="0.25">
      <c r="C50" s="4" t="s">
        <v>16</v>
      </c>
      <c r="D50" s="4" t="s">
        <v>17</v>
      </c>
      <c r="E50" s="4" t="s">
        <v>22</v>
      </c>
      <c r="F50" s="4" t="str">
        <f t="shared" si="0"/>
        <v>Retenção EmpresarialRecorrênciaOferta cadastrada divergente</v>
      </c>
      <c r="G50" s="4" t="s">
        <v>100</v>
      </c>
      <c r="H50" s="4" t="s">
        <v>11</v>
      </c>
      <c r="I50" s="4" t="s">
        <v>513</v>
      </c>
      <c r="J50" s="41">
        <v>1</v>
      </c>
      <c r="K50" s="4"/>
      <c r="M50" s="2"/>
      <c r="N50" s="4" t="s">
        <v>158</v>
      </c>
      <c r="O50" s="4" t="s">
        <v>161</v>
      </c>
      <c r="P50" s="4" t="str">
        <f t="shared" si="1"/>
        <v>RET RII - FIXO/VELOXISENÇÃO DE MULTA RESCISÃO.</v>
      </c>
      <c r="Q50" s="4" t="s">
        <v>192</v>
      </c>
      <c r="R50" s="32" t="s">
        <v>115</v>
      </c>
      <c r="S50" s="40" t="s">
        <v>513</v>
      </c>
      <c r="T50" s="41">
        <v>1</v>
      </c>
      <c r="U50" s="41"/>
      <c r="V50" s="2"/>
    </row>
    <row r="51" spans="3:22" x14ac:dyDescent="0.25">
      <c r="C51" s="4" t="s">
        <v>16</v>
      </c>
      <c r="D51" s="4" t="s">
        <v>72</v>
      </c>
      <c r="E51" s="4" t="s">
        <v>73</v>
      </c>
      <c r="F51" s="4" t="str">
        <f t="shared" si="0"/>
        <v>Retenção EmpresarialCancelamento ProvisorioPortabilidade</v>
      </c>
      <c r="G51" s="4" t="s">
        <v>101</v>
      </c>
      <c r="H51" s="4" t="s">
        <v>71</v>
      </c>
      <c r="I51" s="4" t="s">
        <v>536</v>
      </c>
      <c r="J51" s="41">
        <v>1</v>
      </c>
      <c r="K51" s="4"/>
      <c r="M51" s="2"/>
      <c r="N51" s="4" t="s">
        <v>158</v>
      </c>
      <c r="O51" s="4" t="s">
        <v>162</v>
      </c>
      <c r="P51" s="4" t="str">
        <f t="shared" si="1"/>
        <v>RET RII - FIXO/VELOXMUDEND INCONSISTÊNCIA SISTÊMIC</v>
      </c>
      <c r="Q51" s="4" t="s">
        <v>192</v>
      </c>
      <c r="R51" s="32" t="s">
        <v>115</v>
      </c>
      <c r="S51" s="40" t="s">
        <v>513</v>
      </c>
      <c r="T51" s="41">
        <v>1</v>
      </c>
      <c r="U51" s="41"/>
      <c r="V51" s="2"/>
    </row>
    <row r="52" spans="3:22" x14ac:dyDescent="0.25">
      <c r="C52" s="4" t="s">
        <v>75</v>
      </c>
      <c r="D52" s="4" t="s">
        <v>76</v>
      </c>
      <c r="E52" s="4" t="s">
        <v>77</v>
      </c>
      <c r="F52" s="4" t="str">
        <f t="shared" si="0"/>
        <v>RetençãoDesmembramento Fraudedesmembramento Oi Total</v>
      </c>
      <c r="G52" s="4" t="s">
        <v>102</v>
      </c>
      <c r="H52" s="4" t="s">
        <v>74</v>
      </c>
      <c r="I52" s="4" t="s">
        <v>536</v>
      </c>
      <c r="J52" s="41">
        <v>3</v>
      </c>
      <c r="K52" s="4"/>
      <c r="M52" s="2"/>
      <c r="N52" s="4" t="s">
        <v>158</v>
      </c>
      <c r="O52" s="4" t="s">
        <v>163</v>
      </c>
      <c r="P52" s="4" t="str">
        <f t="shared" si="1"/>
        <v>RET RII - FIXO/VELOXPORTABILIDADE DOADORA</v>
      </c>
      <c r="Q52" s="4" t="s">
        <v>192</v>
      </c>
      <c r="R52" s="32" t="s">
        <v>115</v>
      </c>
      <c r="S52" s="40" t="s">
        <v>513</v>
      </c>
      <c r="T52" s="41">
        <v>1</v>
      </c>
      <c r="U52" s="41"/>
      <c r="V52" s="2"/>
    </row>
    <row r="53" spans="3:22" x14ac:dyDescent="0.25">
      <c r="C53" s="4" t="s">
        <v>16</v>
      </c>
      <c r="D53" s="4" t="s">
        <v>79</v>
      </c>
      <c r="E53" s="4" t="s">
        <v>80</v>
      </c>
      <c r="F53" s="4" t="str">
        <f t="shared" si="0"/>
        <v>Retenção EmpresarialFalta de CoberturaAcompanhar Reparo</v>
      </c>
      <c r="G53" s="4" t="s">
        <v>103</v>
      </c>
      <c r="H53" s="4" t="s">
        <v>78</v>
      </c>
      <c r="I53" s="4" t="s">
        <v>536</v>
      </c>
      <c r="J53" s="41">
        <v>5</v>
      </c>
      <c r="K53" s="4"/>
      <c r="M53" s="2"/>
      <c r="N53" s="4" t="s">
        <v>158</v>
      </c>
      <c r="O53" s="4" t="s">
        <v>164</v>
      </c>
      <c r="P53" s="4" t="str">
        <f t="shared" si="1"/>
        <v>RET RII - FIXO/VELOXQUALITY CALL</v>
      </c>
      <c r="Q53" s="4" t="s">
        <v>192</v>
      </c>
      <c r="R53" s="32" t="s">
        <v>115</v>
      </c>
      <c r="S53" s="40" t="s">
        <v>513</v>
      </c>
      <c r="T53" s="41">
        <v>1</v>
      </c>
      <c r="U53" s="41"/>
      <c r="V53" s="2"/>
    </row>
    <row r="54" spans="3:22" x14ac:dyDescent="0.25">
      <c r="C54" s="4" t="s">
        <v>16</v>
      </c>
      <c r="D54" s="4" t="s">
        <v>17</v>
      </c>
      <c r="E54" s="4" t="s">
        <v>82</v>
      </c>
      <c r="F54" s="4" t="str">
        <f t="shared" si="0"/>
        <v>Retenção EmpresarialRecorrênciaTroca de Titul. não efetivada</v>
      </c>
      <c r="G54" s="4" t="s">
        <v>104</v>
      </c>
      <c r="H54" s="4" t="s">
        <v>81</v>
      </c>
      <c r="I54" s="4" t="s">
        <v>536</v>
      </c>
      <c r="J54" s="41">
        <v>5</v>
      </c>
      <c r="K54" s="4"/>
      <c r="M54" s="2"/>
      <c r="N54" s="4" t="s">
        <v>158</v>
      </c>
      <c r="O54" s="4" t="s">
        <v>165</v>
      </c>
      <c r="P54" s="4" t="str">
        <f t="shared" si="1"/>
        <v>RET RII - FIXO/VELOXREINSTALAÇÃO FIXA/VELOX</v>
      </c>
      <c r="Q54" s="4" t="s">
        <v>192</v>
      </c>
      <c r="R54" s="32" t="s">
        <v>115</v>
      </c>
      <c r="S54" s="40" t="s">
        <v>513</v>
      </c>
      <c r="T54" s="41">
        <v>1</v>
      </c>
      <c r="U54" s="41"/>
      <c r="V54" s="2"/>
    </row>
    <row r="55" spans="3:22" x14ac:dyDescent="0.25">
      <c r="C55" s="4" t="s">
        <v>16</v>
      </c>
      <c r="D55" s="4" t="s">
        <v>83</v>
      </c>
      <c r="E55" s="4" t="s">
        <v>84</v>
      </c>
      <c r="F55" s="4" t="str">
        <f t="shared" si="0"/>
        <v>Retenção EmpresarialTransferência de TitularidadePJ para PF</v>
      </c>
      <c r="G55" s="4" t="s">
        <v>104</v>
      </c>
      <c r="H55" s="4" t="s">
        <v>81</v>
      </c>
      <c r="I55" s="4" t="s">
        <v>536</v>
      </c>
      <c r="J55" s="41">
        <v>5</v>
      </c>
      <c r="K55" s="4"/>
      <c r="M55" s="2"/>
      <c r="N55" s="4" t="s">
        <v>166</v>
      </c>
      <c r="O55" s="4" t="s">
        <v>167</v>
      </c>
      <c r="P55" s="4" t="str">
        <f t="shared" si="1"/>
        <v>RET RII - MÓVELCANCELAMENTO FORA HORÁRIO RET.</v>
      </c>
      <c r="Q55" s="4" t="s">
        <v>492</v>
      </c>
      <c r="R55" s="32" t="s">
        <v>493</v>
      </c>
      <c r="S55" s="40" t="s">
        <v>513</v>
      </c>
      <c r="T55" s="41">
        <v>1</v>
      </c>
      <c r="U55" s="41"/>
      <c r="V55" s="2"/>
    </row>
    <row r="56" spans="3:22" x14ac:dyDescent="0.25">
      <c r="C56" s="4" t="s">
        <v>16</v>
      </c>
      <c r="D56" s="4" t="s">
        <v>83</v>
      </c>
      <c r="E56" s="4" t="s">
        <v>85</v>
      </c>
      <c r="F56" s="4" t="str">
        <f t="shared" si="0"/>
        <v>Retenção EmpresarialTransferência de TitularidadeRetido com multa</v>
      </c>
      <c r="G56" s="4" t="s">
        <v>104</v>
      </c>
      <c r="H56" s="4" t="s">
        <v>81</v>
      </c>
      <c r="I56" s="4" t="s">
        <v>536</v>
      </c>
      <c r="J56" s="41">
        <v>5</v>
      </c>
      <c r="K56" s="4"/>
      <c r="M56" s="2"/>
      <c r="N56" s="4" t="s">
        <v>175</v>
      </c>
      <c r="O56" s="4" t="s">
        <v>174</v>
      </c>
      <c r="P56" s="4" t="str">
        <f t="shared" si="1"/>
        <v>RETENÇÃO R1OFERTA 4</v>
      </c>
      <c r="Q56" s="4" t="s">
        <v>190</v>
      </c>
      <c r="R56" s="32" t="s">
        <v>111</v>
      </c>
      <c r="S56" s="40" t="s">
        <v>522</v>
      </c>
      <c r="T56" s="41">
        <v>5</v>
      </c>
      <c r="U56" s="41"/>
      <c r="V56" s="2"/>
    </row>
    <row r="57" spans="3:22" x14ac:dyDescent="0.25">
      <c r="C57" s="4" t="s">
        <v>52</v>
      </c>
      <c r="D57" s="4" t="s">
        <v>83</v>
      </c>
      <c r="E57" s="4" t="s">
        <v>84</v>
      </c>
      <c r="F57" s="4" t="str">
        <f t="shared" si="0"/>
        <v>Retenção OCTP PJTransferência de TitularidadePJ para PF</v>
      </c>
      <c r="G57" s="4" t="s">
        <v>104</v>
      </c>
      <c r="H57" s="4" t="s">
        <v>81</v>
      </c>
      <c r="I57" s="4" t="s">
        <v>536</v>
      </c>
      <c r="J57" s="41">
        <v>5</v>
      </c>
      <c r="K57" s="4"/>
      <c r="M57" s="2"/>
      <c r="N57" s="4" t="s">
        <v>176</v>
      </c>
      <c r="O57" s="4" t="s">
        <v>174</v>
      </c>
      <c r="P57" s="4" t="str">
        <f t="shared" si="1"/>
        <v>RETENÇÃO R2OFERTA 4</v>
      </c>
      <c r="Q57" s="4" t="s">
        <v>190</v>
      </c>
      <c r="R57" s="32" t="s">
        <v>111</v>
      </c>
      <c r="S57" s="40" t="s">
        <v>522</v>
      </c>
      <c r="T57" s="41">
        <v>5</v>
      </c>
      <c r="U57" s="41"/>
      <c r="V57" s="2"/>
    </row>
    <row r="58" spans="3:22" x14ac:dyDescent="0.25">
      <c r="C58" s="4" t="s">
        <v>87</v>
      </c>
      <c r="D58" s="4" t="s">
        <v>24</v>
      </c>
      <c r="E58" s="4" t="s">
        <v>88</v>
      </c>
      <c r="F58" s="4" t="str">
        <f t="shared" si="0"/>
        <v>CobrançaCancelamentoVenda Indevida</v>
      </c>
      <c r="G58" s="4" t="s">
        <v>105</v>
      </c>
      <c r="H58" s="4" t="s">
        <v>86</v>
      </c>
      <c r="I58" s="4" t="s">
        <v>536</v>
      </c>
      <c r="J58" s="41">
        <v>7</v>
      </c>
      <c r="K58" s="4"/>
      <c r="M58" s="2"/>
      <c r="N58" s="4" t="s">
        <v>177</v>
      </c>
      <c r="O58" s="4" t="s">
        <v>117</v>
      </c>
      <c r="P58" s="4" t="str">
        <f t="shared" si="1"/>
        <v>RETIRADA DE SUSPENSAO A PEDIDOFIXO</v>
      </c>
      <c r="Q58" s="4" t="s">
        <v>192</v>
      </c>
      <c r="R58" s="32" t="s">
        <v>115</v>
      </c>
      <c r="S58" s="40" t="s">
        <v>513</v>
      </c>
      <c r="T58" s="41">
        <v>1</v>
      </c>
      <c r="U58" s="41"/>
      <c r="V58" s="2"/>
    </row>
    <row r="59" spans="3:22" x14ac:dyDescent="0.25">
      <c r="C59" s="4" t="s">
        <v>16</v>
      </c>
      <c r="D59" s="4" t="s">
        <v>24</v>
      </c>
      <c r="E59" s="4" t="s">
        <v>89</v>
      </c>
      <c r="F59" s="4" t="str">
        <f t="shared" si="0"/>
        <v>Retenção EmpresarialCancelamentoAnálise Venda Indevida</v>
      </c>
      <c r="G59" s="4" t="s">
        <v>105</v>
      </c>
      <c r="H59" s="4" t="s">
        <v>86</v>
      </c>
      <c r="I59" s="4" t="s">
        <v>536</v>
      </c>
      <c r="J59" s="41">
        <v>7</v>
      </c>
      <c r="K59" s="4"/>
      <c r="M59" s="2"/>
      <c r="N59" s="4" t="s">
        <v>177</v>
      </c>
      <c r="O59" s="4" t="s">
        <v>118</v>
      </c>
      <c r="P59" s="4" t="str">
        <f t="shared" si="1"/>
        <v>RETIRADA DE SUSPENSAO A PEDIDOFIXO + BANDA LARGA</v>
      </c>
      <c r="Q59" s="4" t="s">
        <v>192</v>
      </c>
      <c r="R59" s="32" t="s">
        <v>115</v>
      </c>
      <c r="S59" s="40" t="s">
        <v>513</v>
      </c>
      <c r="T59" s="41">
        <v>1</v>
      </c>
      <c r="U59" s="41"/>
      <c r="V59" s="2"/>
    </row>
    <row r="60" spans="3:22" x14ac:dyDescent="0.25">
      <c r="C60" s="4" t="s">
        <v>16</v>
      </c>
      <c r="D60" s="4" t="s">
        <v>24</v>
      </c>
      <c r="E60" s="4" t="s">
        <v>90</v>
      </c>
      <c r="F60" s="4" t="str">
        <f t="shared" si="0"/>
        <v>Retenção EmpresarialCancelamentoSAC - Análise Venda Indevida</v>
      </c>
      <c r="G60" s="4" t="s">
        <v>105</v>
      </c>
      <c r="H60" s="4" t="s">
        <v>86</v>
      </c>
      <c r="I60" s="4" t="s">
        <v>536</v>
      </c>
      <c r="J60" s="41">
        <v>7</v>
      </c>
      <c r="K60" s="4"/>
      <c r="M60" s="2"/>
      <c r="N60" s="4" t="s">
        <v>158</v>
      </c>
      <c r="O60" s="4" t="s">
        <v>181</v>
      </c>
      <c r="P60" s="4" t="str">
        <f t="shared" si="1"/>
        <v>RET RII - FIXO/VELOXFIXO INVIABILIDADE VELOX</v>
      </c>
      <c r="Q60" s="4" t="s">
        <v>192</v>
      </c>
      <c r="R60" s="32" t="s">
        <v>115</v>
      </c>
      <c r="S60" s="40" t="s">
        <v>513</v>
      </c>
      <c r="T60" s="41">
        <v>1</v>
      </c>
      <c r="U60" s="41"/>
      <c r="V60" s="2"/>
    </row>
    <row r="61" spans="3:22" x14ac:dyDescent="0.25">
      <c r="C61" s="4" t="s">
        <v>70</v>
      </c>
      <c r="D61" s="4" t="s">
        <v>24</v>
      </c>
      <c r="E61" s="4" t="s">
        <v>91</v>
      </c>
      <c r="F61" s="4" t="str">
        <f t="shared" si="0"/>
        <v>Retenção Oi Total PJCancelamentoVenda Indevida Oi Total PJ</v>
      </c>
      <c r="G61" s="4" t="s">
        <v>105</v>
      </c>
      <c r="H61" s="4" t="s">
        <v>86</v>
      </c>
      <c r="I61" s="4" t="s">
        <v>536</v>
      </c>
      <c r="J61" s="41">
        <v>7</v>
      </c>
      <c r="K61" s="4"/>
      <c r="M61" s="2"/>
      <c r="N61" s="4" t="s">
        <v>235</v>
      </c>
      <c r="O61" s="4" t="s">
        <v>236</v>
      </c>
      <c r="P61" s="4" t="str">
        <f t="shared" si="1"/>
        <v>Abrir OS FTTHMigração Reversa</v>
      </c>
      <c r="Q61" s="4" t="s">
        <v>490</v>
      </c>
      <c r="R61" s="32" t="s">
        <v>234</v>
      </c>
      <c r="S61" s="40" t="s">
        <v>513</v>
      </c>
      <c r="T61" s="41">
        <v>2</v>
      </c>
      <c r="U61" s="41"/>
      <c r="V61" s="2"/>
    </row>
    <row r="62" spans="3:22" x14ac:dyDescent="0.25">
      <c r="C62" s="4" t="s">
        <v>92</v>
      </c>
      <c r="D62" s="4" t="s">
        <v>93</v>
      </c>
      <c r="E62" s="4" t="s">
        <v>94</v>
      </c>
      <c r="F62" s="4" t="str">
        <f t="shared" si="0"/>
        <v>Auditoria EmpresarialVenda Errada CanceladaCancelamento Parcial</v>
      </c>
      <c r="G62" s="4" t="s">
        <v>106</v>
      </c>
      <c r="H62" s="4" t="s">
        <v>10</v>
      </c>
      <c r="I62" s="4" t="s">
        <v>536</v>
      </c>
      <c r="J62" s="41">
        <v>3</v>
      </c>
      <c r="K62" s="4"/>
      <c r="M62" s="2"/>
      <c r="N62" s="4" t="s">
        <v>439</v>
      </c>
      <c r="O62" s="4" t="s">
        <v>172</v>
      </c>
      <c r="P62" s="4" t="str">
        <f t="shared" si="1"/>
        <v>RETENÇÃO R1 TADOFERTA 2</v>
      </c>
      <c r="Q62" s="4" t="s">
        <v>190</v>
      </c>
      <c r="R62" s="32" t="s">
        <v>111</v>
      </c>
      <c r="S62" s="40" t="s">
        <v>522</v>
      </c>
      <c r="T62" s="41">
        <v>5</v>
      </c>
      <c r="U62" s="41"/>
      <c r="V62" s="2"/>
    </row>
    <row r="63" spans="3:22" x14ac:dyDescent="0.25">
      <c r="C63" s="4" t="s">
        <v>92</v>
      </c>
      <c r="D63" s="4" t="s">
        <v>93</v>
      </c>
      <c r="E63" s="4" t="s">
        <v>54</v>
      </c>
      <c r="F63" s="4" t="str">
        <f t="shared" si="0"/>
        <v>Auditoria EmpresarialVenda Errada CanceladaCancelamento Total</v>
      </c>
      <c r="G63" s="4" t="s">
        <v>106</v>
      </c>
      <c r="H63" s="4" t="s">
        <v>10</v>
      </c>
      <c r="I63" s="4" t="s">
        <v>536</v>
      </c>
      <c r="J63" s="41">
        <v>3</v>
      </c>
      <c r="K63" s="4"/>
      <c r="M63" s="2"/>
      <c r="N63" s="4" t="s">
        <v>439</v>
      </c>
      <c r="O63" s="4" t="s">
        <v>174</v>
      </c>
      <c r="P63" s="4" t="str">
        <f t="shared" si="1"/>
        <v>RETENÇÃO R1 TADOFERTA 4</v>
      </c>
      <c r="Q63" s="4" t="s">
        <v>190</v>
      </c>
      <c r="R63" s="32" t="s">
        <v>111</v>
      </c>
      <c r="S63" s="40" t="s">
        <v>522</v>
      </c>
      <c r="T63" s="41">
        <v>5</v>
      </c>
      <c r="U63" s="41"/>
      <c r="V63" s="2"/>
    </row>
    <row r="64" spans="3:22" x14ac:dyDescent="0.25">
      <c r="C64" s="4" t="s">
        <v>96</v>
      </c>
      <c r="D64" s="4" t="s">
        <v>97</v>
      </c>
      <c r="E64" s="4" t="s">
        <v>98</v>
      </c>
      <c r="F64" s="4" t="str">
        <f t="shared" si="0"/>
        <v>BO Retenção EmpresarialAcompanhamento liberação chipPós para pré-pago</v>
      </c>
      <c r="G64" s="4" t="s">
        <v>107</v>
      </c>
      <c r="H64" s="4" t="s">
        <v>95</v>
      </c>
      <c r="I64" s="4" t="s">
        <v>536</v>
      </c>
      <c r="J64" s="41">
        <v>5</v>
      </c>
      <c r="K64" s="4"/>
      <c r="M64" s="2"/>
      <c r="N64" s="4" t="s">
        <v>439</v>
      </c>
      <c r="O64" s="4" t="s">
        <v>440</v>
      </c>
      <c r="P64" s="4" t="str">
        <f t="shared" si="1"/>
        <v>RETENÇÃO R1 TADOFERTA SITE</v>
      </c>
      <c r="Q64" s="4" t="s">
        <v>190</v>
      </c>
      <c r="R64" s="32" t="s">
        <v>111</v>
      </c>
      <c r="S64" s="40" t="s">
        <v>522</v>
      </c>
      <c r="T64" s="41">
        <v>5</v>
      </c>
      <c r="U64" s="41"/>
      <c r="V64" s="2"/>
    </row>
    <row r="65" spans="3:22" x14ac:dyDescent="0.25">
      <c r="C65" s="4" t="s">
        <v>16</v>
      </c>
      <c r="D65" s="4" t="s">
        <v>24</v>
      </c>
      <c r="E65" s="4" t="s">
        <v>424</v>
      </c>
      <c r="F65" s="4" t="str">
        <f t="shared" si="0"/>
        <v>Retenção EmpresarialCancelamentoHot Line - Venda Indevida</v>
      </c>
      <c r="G65" s="4" t="s">
        <v>105</v>
      </c>
      <c r="H65" s="4" t="s">
        <v>86</v>
      </c>
      <c r="I65" s="4" t="s">
        <v>536</v>
      </c>
      <c r="J65" s="41">
        <v>7</v>
      </c>
      <c r="K65" s="4"/>
      <c r="M65" s="2"/>
      <c r="N65" s="4" t="s">
        <v>441</v>
      </c>
      <c r="O65" s="4" t="s">
        <v>440</v>
      </c>
      <c r="P65" s="4" t="str">
        <f t="shared" si="1"/>
        <v>RETENÇÃO R2 TADOFERTA SITE</v>
      </c>
      <c r="Q65" s="4" t="s">
        <v>190</v>
      </c>
      <c r="R65" s="32" t="s">
        <v>111</v>
      </c>
      <c r="S65" s="40" t="s">
        <v>522</v>
      </c>
      <c r="T65" s="41">
        <v>5</v>
      </c>
      <c r="U65" s="41"/>
      <c r="V65" s="2"/>
    </row>
    <row r="66" spans="3:22" x14ac:dyDescent="0.25">
      <c r="C66" s="4" t="s">
        <v>16</v>
      </c>
      <c r="D66" s="4" t="s">
        <v>24</v>
      </c>
      <c r="E66" s="4" t="s">
        <v>425</v>
      </c>
      <c r="F66" s="4" t="str">
        <f t="shared" si="0"/>
        <v>Retenção EmpresarialCancelamentoRenovação Indevida</v>
      </c>
      <c r="G66" s="4" t="s">
        <v>105</v>
      </c>
      <c r="H66" s="4" t="s">
        <v>86</v>
      </c>
      <c r="I66" s="4" t="s">
        <v>536</v>
      </c>
      <c r="J66" s="41">
        <v>7</v>
      </c>
      <c r="K66" s="4"/>
      <c r="M66" s="2"/>
      <c r="N66" s="4" t="s">
        <v>442</v>
      </c>
      <c r="O66" s="4" t="s">
        <v>180</v>
      </c>
      <c r="P66" s="4" t="str">
        <f t="shared" si="1"/>
        <v>RETENÇÃO ESPECIALIZADA R2VELOX</v>
      </c>
      <c r="Q66" s="4" t="s">
        <v>190</v>
      </c>
      <c r="R66" s="32" t="s">
        <v>111</v>
      </c>
      <c r="S66" s="40" t="s">
        <v>522</v>
      </c>
      <c r="T66" s="41">
        <v>5</v>
      </c>
      <c r="U66" s="41"/>
      <c r="V66" s="2"/>
    </row>
    <row r="67" spans="3:22" x14ac:dyDescent="0.25">
      <c r="C67" s="4" t="s">
        <v>16</v>
      </c>
      <c r="D67" s="4" t="s">
        <v>24</v>
      </c>
      <c r="E67" s="4" t="s">
        <v>426</v>
      </c>
      <c r="F67" s="4" t="str">
        <f t="shared" si="0"/>
        <v>Retenção EmpresarialCancelamentoCobrança - Venda Indevida</v>
      </c>
      <c r="G67" s="4" t="s">
        <v>105</v>
      </c>
      <c r="H67" s="4" t="s">
        <v>86</v>
      </c>
      <c r="I67" s="4" t="s">
        <v>536</v>
      </c>
      <c r="J67" s="41">
        <v>7</v>
      </c>
      <c r="K67" s="4"/>
      <c r="M67" s="2"/>
      <c r="N67" s="4" t="s">
        <v>442</v>
      </c>
      <c r="O67" s="4" t="s">
        <v>171</v>
      </c>
      <c r="P67" s="4" t="str">
        <f t="shared" si="1"/>
        <v>RETENÇÃO ESPECIALIZADA R2OFERTA 1</v>
      </c>
      <c r="Q67" s="4" t="s">
        <v>190</v>
      </c>
      <c r="R67" s="32" t="s">
        <v>111</v>
      </c>
      <c r="S67" s="40" t="s">
        <v>522</v>
      </c>
      <c r="T67" s="41">
        <v>5</v>
      </c>
      <c r="U67" s="41"/>
      <c r="V67" s="2"/>
    </row>
    <row r="68" spans="3:22" x14ac:dyDescent="0.25">
      <c r="C68" s="4" t="s">
        <v>16</v>
      </c>
      <c r="D68" s="4" t="s">
        <v>24</v>
      </c>
      <c r="E68" s="4" t="s">
        <v>427</v>
      </c>
      <c r="F68" s="4" t="str">
        <f t="shared" si="0"/>
        <v>Retenção EmpresarialCancelamentoAnálise Venda Indevida OCTPJ</v>
      </c>
      <c r="G68" s="4" t="s">
        <v>105</v>
      </c>
      <c r="H68" s="4" t="s">
        <v>86</v>
      </c>
      <c r="I68" s="4" t="s">
        <v>536</v>
      </c>
      <c r="J68" s="41">
        <v>7</v>
      </c>
      <c r="K68" s="4"/>
      <c r="M68" s="2"/>
      <c r="N68" s="4" t="s">
        <v>442</v>
      </c>
      <c r="O68" s="4" t="s">
        <v>174</v>
      </c>
      <c r="P68" s="4" t="str">
        <f t="shared" si="1"/>
        <v>RETENÇÃO ESPECIALIZADA R2OFERTA 4</v>
      </c>
      <c r="Q68" s="4" t="s">
        <v>190</v>
      </c>
      <c r="R68" s="32" t="s">
        <v>111</v>
      </c>
      <c r="S68" s="40" t="s">
        <v>522</v>
      </c>
      <c r="T68" s="41">
        <v>5</v>
      </c>
      <c r="U68" s="41"/>
      <c r="V68" s="2"/>
    </row>
    <row r="69" spans="3:22" x14ac:dyDescent="0.25">
      <c r="C69" s="4" t="s">
        <v>16</v>
      </c>
      <c r="D69" s="4" t="s">
        <v>24</v>
      </c>
      <c r="E69" s="4" t="s">
        <v>428</v>
      </c>
      <c r="F69" s="4" t="str">
        <f t="shared" ref="F69:F78" si="3">C69&amp;D69&amp;E69</f>
        <v>Retenção EmpresarialCancelamentoCSE - Análise Venda Indevida</v>
      </c>
      <c r="G69" s="4" t="s">
        <v>105</v>
      </c>
      <c r="H69" s="4" t="s">
        <v>86</v>
      </c>
      <c r="I69" s="4" t="s">
        <v>536</v>
      </c>
      <c r="J69" s="41">
        <v>7</v>
      </c>
      <c r="K69" s="4"/>
      <c r="M69" s="2"/>
      <c r="N69" s="4" t="s">
        <v>442</v>
      </c>
      <c r="O69" s="4" t="s">
        <v>173</v>
      </c>
      <c r="P69" s="4" t="str">
        <f t="shared" ref="P69:P132" si="4">N69&amp;O69</f>
        <v>RETENÇÃO ESPECIALIZADA R2OFERTA 3</v>
      </c>
      <c r="Q69" s="4" t="s">
        <v>190</v>
      </c>
      <c r="R69" s="32" t="s">
        <v>111</v>
      </c>
      <c r="S69" s="40" t="s">
        <v>522</v>
      </c>
      <c r="T69" s="41">
        <v>5</v>
      </c>
      <c r="U69" s="41"/>
      <c r="V69" s="2"/>
    </row>
    <row r="70" spans="3:22" x14ac:dyDescent="0.25">
      <c r="C70" s="4" t="s">
        <v>16</v>
      </c>
      <c r="D70" s="4" t="s">
        <v>24</v>
      </c>
      <c r="E70" s="4" t="s">
        <v>429</v>
      </c>
      <c r="F70" s="4" t="str">
        <f t="shared" si="3"/>
        <v>Retenção EmpresarialCancelamentoContestação - Venda Indevida</v>
      </c>
      <c r="G70" s="4" t="s">
        <v>105</v>
      </c>
      <c r="H70" s="4" t="s">
        <v>86</v>
      </c>
      <c r="I70" s="4" t="s">
        <v>536</v>
      </c>
      <c r="J70" s="41">
        <v>7</v>
      </c>
      <c r="K70" s="4"/>
      <c r="M70" s="2"/>
      <c r="N70" s="4" t="s">
        <v>442</v>
      </c>
      <c r="O70" s="4" t="s">
        <v>172</v>
      </c>
      <c r="P70" s="4" t="str">
        <f t="shared" si="4"/>
        <v>RETENÇÃO ESPECIALIZADA R2OFERTA 2</v>
      </c>
      <c r="Q70" s="4" t="s">
        <v>190</v>
      </c>
      <c r="R70" s="32" t="s">
        <v>111</v>
      </c>
      <c r="S70" s="40" t="s">
        <v>522</v>
      </c>
      <c r="T70" s="41">
        <v>5</v>
      </c>
      <c r="U70" s="41"/>
      <c r="V70" s="2"/>
    </row>
    <row r="71" spans="3:22" x14ac:dyDescent="0.25">
      <c r="C71" s="4" t="s">
        <v>16</v>
      </c>
      <c r="D71" s="4" t="s">
        <v>24</v>
      </c>
      <c r="E71" s="4" t="s">
        <v>430</v>
      </c>
      <c r="F71" s="4" t="str">
        <f t="shared" si="3"/>
        <v>Retenção EmpresarialCancelamentoAnálise Migração Indevida</v>
      </c>
      <c r="G71" s="4" t="s">
        <v>105</v>
      </c>
      <c r="H71" s="4" t="s">
        <v>86</v>
      </c>
      <c r="I71" s="4" t="s">
        <v>536</v>
      </c>
      <c r="J71" s="41">
        <v>7</v>
      </c>
      <c r="K71" s="4"/>
      <c r="M71" s="2"/>
      <c r="N71" s="4" t="s">
        <v>442</v>
      </c>
      <c r="O71" s="4" t="s">
        <v>440</v>
      </c>
      <c r="P71" s="4" t="str">
        <f t="shared" si="4"/>
        <v>RETENÇÃO ESPECIALIZADA R2OFERTA SITE</v>
      </c>
      <c r="Q71" s="4" t="s">
        <v>190</v>
      </c>
      <c r="R71" s="32" t="s">
        <v>111</v>
      </c>
      <c r="S71" s="40" t="s">
        <v>522</v>
      </c>
      <c r="T71" s="41">
        <v>5</v>
      </c>
      <c r="U71" s="41"/>
      <c r="V71" s="2"/>
    </row>
    <row r="72" spans="3:22" x14ac:dyDescent="0.25">
      <c r="C72" s="37" t="s">
        <v>16</v>
      </c>
      <c r="D72" s="37" t="s">
        <v>431</v>
      </c>
      <c r="E72" s="37" t="s">
        <v>432</v>
      </c>
      <c r="F72" s="37" t="str">
        <f t="shared" si="3"/>
        <v>Retenção EmpresarialCliente GovernoTratar</v>
      </c>
      <c r="G72" s="37" t="s">
        <v>433</v>
      </c>
      <c r="H72" s="37" t="s">
        <v>434</v>
      </c>
      <c r="I72" s="4" t="s">
        <v>537</v>
      </c>
      <c r="J72" s="41" t="s">
        <v>537</v>
      </c>
      <c r="K72" s="4"/>
      <c r="M72" s="2"/>
      <c r="N72" s="4" t="s">
        <v>443</v>
      </c>
      <c r="O72" s="4" t="s">
        <v>171</v>
      </c>
      <c r="P72" s="4" t="str">
        <f t="shared" si="4"/>
        <v>RETENÇÃO ESPECIALIZADA R1OFERTA 1</v>
      </c>
      <c r="Q72" s="4" t="s">
        <v>190</v>
      </c>
      <c r="R72" s="32" t="s">
        <v>111</v>
      </c>
      <c r="S72" s="40" t="s">
        <v>522</v>
      </c>
      <c r="T72" s="41">
        <v>5</v>
      </c>
      <c r="U72" s="41"/>
      <c r="V72" s="2"/>
    </row>
    <row r="73" spans="3:22" x14ac:dyDescent="0.25">
      <c r="C73" s="37" t="s">
        <v>16</v>
      </c>
      <c r="D73" s="37" t="s">
        <v>435</v>
      </c>
      <c r="E73" s="37" t="s">
        <v>432</v>
      </c>
      <c r="F73" s="37" t="str">
        <f t="shared" si="3"/>
        <v>Retenção EmpresarialCliente MédiasTratar</v>
      </c>
      <c r="G73" s="37" t="s">
        <v>433</v>
      </c>
      <c r="H73" s="37" t="s">
        <v>434</v>
      </c>
      <c r="I73" s="4" t="s">
        <v>537</v>
      </c>
      <c r="J73" s="41" t="s">
        <v>537</v>
      </c>
      <c r="K73" s="4"/>
      <c r="M73" s="2"/>
      <c r="N73" s="4" t="s">
        <v>443</v>
      </c>
      <c r="O73" s="4" t="s">
        <v>172</v>
      </c>
      <c r="P73" s="4" t="str">
        <f t="shared" si="4"/>
        <v>RETENÇÃO ESPECIALIZADA R1OFERTA 2</v>
      </c>
      <c r="Q73" s="4" t="s">
        <v>190</v>
      </c>
      <c r="R73" s="32" t="s">
        <v>111</v>
      </c>
      <c r="S73" s="40" t="s">
        <v>522</v>
      </c>
      <c r="T73" s="41">
        <v>5</v>
      </c>
      <c r="U73" s="41"/>
      <c r="V73" s="2"/>
    </row>
    <row r="74" spans="3:22" x14ac:dyDescent="0.25">
      <c r="C74" s="4" t="s">
        <v>16</v>
      </c>
      <c r="D74" s="4" t="s">
        <v>436</v>
      </c>
      <c r="E74" s="4" t="s">
        <v>437</v>
      </c>
      <c r="F74" s="4" t="str">
        <f t="shared" si="3"/>
        <v>Retenção EmpresarialRetorno Plano AnteriorMigração Indevida</v>
      </c>
      <c r="G74" s="4" t="s">
        <v>105</v>
      </c>
      <c r="H74" s="4" t="s">
        <v>86</v>
      </c>
      <c r="I74" s="4" t="s">
        <v>536</v>
      </c>
      <c r="J74" s="41">
        <v>7</v>
      </c>
      <c r="K74" s="4"/>
      <c r="M74" s="2"/>
      <c r="N74" s="4" t="s">
        <v>443</v>
      </c>
      <c r="O74" s="4" t="s">
        <v>173</v>
      </c>
      <c r="P74" s="4" t="str">
        <f t="shared" si="4"/>
        <v>RETENÇÃO ESPECIALIZADA R1OFERTA 3</v>
      </c>
      <c r="Q74" s="4" t="s">
        <v>190</v>
      </c>
      <c r="R74" s="32" t="s">
        <v>111</v>
      </c>
      <c r="S74" s="40" t="s">
        <v>522</v>
      </c>
      <c r="T74" s="41">
        <v>5</v>
      </c>
      <c r="U74" s="41"/>
      <c r="V74" s="2"/>
    </row>
    <row r="75" spans="3:22" x14ac:dyDescent="0.25">
      <c r="C75" s="4" t="s">
        <v>438</v>
      </c>
      <c r="D75" s="4" t="s">
        <v>24</v>
      </c>
      <c r="E75" s="4" t="s">
        <v>89</v>
      </c>
      <c r="F75" s="4" t="str">
        <f t="shared" si="3"/>
        <v>Bo Contestação EmpresarialCancelamentoAnálise Venda Indevida</v>
      </c>
      <c r="G75" s="4" t="s">
        <v>105</v>
      </c>
      <c r="H75" s="4" t="s">
        <v>86</v>
      </c>
      <c r="I75" s="4" t="s">
        <v>536</v>
      </c>
      <c r="J75" s="41">
        <v>7</v>
      </c>
      <c r="K75" s="4"/>
      <c r="M75" s="2"/>
      <c r="N75" s="4" t="s">
        <v>443</v>
      </c>
      <c r="O75" s="4" t="s">
        <v>174</v>
      </c>
      <c r="P75" s="4" t="str">
        <f t="shared" si="4"/>
        <v>RETENÇÃO ESPECIALIZADA R1OFERTA 4</v>
      </c>
      <c r="Q75" s="4" t="s">
        <v>190</v>
      </c>
      <c r="R75" s="32" t="s">
        <v>111</v>
      </c>
      <c r="S75" s="40" t="s">
        <v>522</v>
      </c>
      <c r="T75" s="41">
        <v>5</v>
      </c>
      <c r="U75" s="41"/>
      <c r="V75" s="2"/>
    </row>
    <row r="76" spans="3:22" x14ac:dyDescent="0.25">
      <c r="C76" s="4" t="s">
        <v>500</v>
      </c>
      <c r="D76" s="4" t="s">
        <v>501</v>
      </c>
      <c r="E76" s="4" t="s">
        <v>502</v>
      </c>
      <c r="F76" s="4" t="str">
        <f t="shared" si="3"/>
        <v>Desmontagem de kitChip BloqueadoCancelar</v>
      </c>
      <c r="G76" s="4" t="s">
        <v>100</v>
      </c>
      <c r="H76" s="4" t="s">
        <v>11</v>
      </c>
      <c r="I76" s="4" t="s">
        <v>513</v>
      </c>
      <c r="J76" s="41">
        <v>1</v>
      </c>
      <c r="K76" s="4"/>
      <c r="M76" s="2"/>
      <c r="N76" s="4" t="s">
        <v>443</v>
      </c>
      <c r="O76" s="4" t="s">
        <v>440</v>
      </c>
      <c r="P76" s="4" t="str">
        <f t="shared" si="4"/>
        <v>RETENÇÃO ESPECIALIZADA R1OFERTA SITE</v>
      </c>
      <c r="Q76" s="4" t="s">
        <v>190</v>
      </c>
      <c r="R76" s="32" t="s">
        <v>111</v>
      </c>
      <c r="S76" s="40" t="s">
        <v>522</v>
      </c>
      <c r="T76" s="41">
        <v>5</v>
      </c>
      <c r="U76" s="41"/>
      <c r="V76" s="2"/>
    </row>
    <row r="77" spans="3:22" x14ac:dyDescent="0.25">
      <c r="C77" s="4" t="s">
        <v>500</v>
      </c>
      <c r="D77" s="4" t="s">
        <v>503</v>
      </c>
      <c r="E77" s="4" t="s">
        <v>504</v>
      </c>
      <c r="F77" s="4" t="str">
        <f t="shared" si="3"/>
        <v xml:space="preserve">Desmontagem de kitOi TotalReposicionar </v>
      </c>
      <c r="G77" s="4" t="s">
        <v>100</v>
      </c>
      <c r="H77" s="4" t="s">
        <v>11</v>
      </c>
      <c r="I77" s="4" t="s">
        <v>513</v>
      </c>
      <c r="J77" s="41">
        <v>1</v>
      </c>
      <c r="K77" s="4"/>
      <c r="M77" s="2"/>
      <c r="N77" s="4" t="s">
        <v>443</v>
      </c>
      <c r="O77" s="4" t="s">
        <v>180</v>
      </c>
      <c r="P77" s="4" t="str">
        <f t="shared" si="4"/>
        <v>RETENÇÃO ESPECIALIZADA R1VELOX</v>
      </c>
      <c r="Q77" s="4" t="s">
        <v>190</v>
      </c>
      <c r="R77" s="32" t="s">
        <v>111</v>
      </c>
      <c r="S77" s="40" t="s">
        <v>522</v>
      </c>
      <c r="T77" s="41">
        <v>5</v>
      </c>
      <c r="U77" s="41"/>
      <c r="V77" s="2"/>
    </row>
    <row r="78" spans="3:22" x14ac:dyDescent="0.25">
      <c r="C78" s="4" t="s">
        <v>500</v>
      </c>
      <c r="D78" s="4" t="s">
        <v>503</v>
      </c>
      <c r="E78" s="4" t="s">
        <v>502</v>
      </c>
      <c r="F78" s="4" t="str">
        <f t="shared" si="3"/>
        <v>Desmontagem de kitOi TotalCancelar</v>
      </c>
      <c r="G78" s="4" t="s">
        <v>100</v>
      </c>
      <c r="H78" s="4" t="s">
        <v>11</v>
      </c>
      <c r="I78" s="4" t="s">
        <v>513</v>
      </c>
      <c r="J78" s="41">
        <v>1</v>
      </c>
      <c r="K78" s="4"/>
      <c r="M78" s="2"/>
      <c r="N78" s="4" t="s">
        <v>444</v>
      </c>
      <c r="O78" s="4" t="s">
        <v>171</v>
      </c>
      <c r="P78" s="4" t="str">
        <f t="shared" si="4"/>
        <v>MIGRAÇÃO R1OFERTA 1</v>
      </c>
      <c r="Q78" s="4" t="s">
        <v>190</v>
      </c>
      <c r="R78" s="32" t="s">
        <v>111</v>
      </c>
      <c r="S78" s="40" t="s">
        <v>522</v>
      </c>
      <c r="T78" s="41">
        <v>5</v>
      </c>
      <c r="U78" s="41"/>
      <c r="V78" s="2"/>
    </row>
    <row r="79" spans="3:22" x14ac:dyDescent="0.25">
      <c r="C79" s="2"/>
      <c r="D79" s="2"/>
      <c r="E79" s="2"/>
      <c r="F79" s="2"/>
      <c r="G79" s="2"/>
      <c r="H79" s="2"/>
      <c r="I79" s="2"/>
      <c r="J79" s="50"/>
      <c r="K79" s="2"/>
      <c r="M79" s="2"/>
      <c r="N79" s="4" t="s">
        <v>444</v>
      </c>
      <c r="O79" s="4" t="s">
        <v>172</v>
      </c>
      <c r="P79" s="4" t="str">
        <f t="shared" si="4"/>
        <v>MIGRAÇÃO R1OFERTA 2</v>
      </c>
      <c r="Q79" s="4" t="s">
        <v>190</v>
      </c>
      <c r="R79" s="32" t="s">
        <v>111</v>
      </c>
      <c r="S79" s="40" t="s">
        <v>522</v>
      </c>
      <c r="T79" s="41">
        <v>5</v>
      </c>
      <c r="U79" s="41"/>
      <c r="V79" s="2"/>
    </row>
    <row r="80" spans="3:22" x14ac:dyDescent="0.25">
      <c r="C80" s="2"/>
      <c r="D80" s="2"/>
      <c r="E80" s="2"/>
      <c r="F80" s="2"/>
      <c r="G80" s="2"/>
      <c r="H80" s="2"/>
      <c r="I80" s="2"/>
      <c r="J80" s="50"/>
      <c r="K80" s="2"/>
      <c r="M80" s="2"/>
      <c r="N80" s="4" t="s">
        <v>444</v>
      </c>
      <c r="O80" s="4" t="s">
        <v>173</v>
      </c>
      <c r="P80" s="4" t="str">
        <f t="shared" si="4"/>
        <v>MIGRAÇÃO R1OFERTA 3</v>
      </c>
      <c r="Q80" s="4" t="s">
        <v>190</v>
      </c>
      <c r="R80" s="32" t="s">
        <v>111</v>
      </c>
      <c r="S80" s="40" t="s">
        <v>522</v>
      </c>
      <c r="T80" s="41">
        <v>5</v>
      </c>
      <c r="U80" s="41"/>
      <c r="V80" s="2"/>
    </row>
    <row r="81" spans="3:22" x14ac:dyDescent="0.25">
      <c r="C81" s="2"/>
      <c r="D81" s="2"/>
      <c r="E81" s="2"/>
      <c r="F81" s="2"/>
      <c r="G81" s="2"/>
      <c r="H81" s="2"/>
      <c r="I81" s="2"/>
      <c r="J81" s="50"/>
      <c r="K81" s="2"/>
      <c r="M81" s="2"/>
      <c r="N81" s="4" t="s">
        <v>444</v>
      </c>
      <c r="O81" s="4" t="s">
        <v>174</v>
      </c>
      <c r="P81" s="4" t="str">
        <f t="shared" si="4"/>
        <v>MIGRAÇÃO R1OFERTA 4</v>
      </c>
      <c r="Q81" s="4" t="s">
        <v>190</v>
      </c>
      <c r="R81" s="32" t="s">
        <v>111</v>
      </c>
      <c r="S81" s="40" t="s">
        <v>522</v>
      </c>
      <c r="T81" s="41">
        <v>5</v>
      </c>
      <c r="U81" s="41"/>
      <c r="V81" s="2"/>
    </row>
    <row r="82" spans="3:22" x14ac:dyDescent="0.25">
      <c r="C82" s="2"/>
      <c r="D82" s="2"/>
      <c r="E82" s="2"/>
      <c r="F82" s="2"/>
      <c r="G82" s="2"/>
      <c r="H82" s="2"/>
      <c r="I82" s="2"/>
      <c r="J82" s="50"/>
      <c r="K82" s="2"/>
      <c r="M82" s="2"/>
      <c r="N82" s="4" t="s">
        <v>444</v>
      </c>
      <c r="O82" s="4" t="s">
        <v>440</v>
      </c>
      <c r="P82" s="4" t="str">
        <f t="shared" si="4"/>
        <v>MIGRAÇÃO R1OFERTA SITE</v>
      </c>
      <c r="Q82" s="4" t="s">
        <v>190</v>
      </c>
      <c r="R82" s="32" t="s">
        <v>111</v>
      </c>
      <c r="S82" s="40" t="s">
        <v>522</v>
      </c>
      <c r="T82" s="41">
        <v>5</v>
      </c>
      <c r="U82" s="41"/>
      <c r="V82" s="2"/>
    </row>
    <row r="83" spans="3:22" x14ac:dyDescent="0.25">
      <c r="C83" s="2"/>
      <c r="D83" s="2"/>
      <c r="E83" s="2"/>
      <c r="F83" s="2"/>
      <c r="G83" s="2"/>
      <c r="H83" s="2"/>
      <c r="I83" s="2"/>
      <c r="J83" s="50"/>
      <c r="K83" s="2"/>
      <c r="M83" s="2"/>
      <c r="N83" s="4" t="s">
        <v>445</v>
      </c>
      <c r="O83" s="4" t="s">
        <v>171</v>
      </c>
      <c r="P83" s="4" t="str">
        <f t="shared" si="4"/>
        <v>MIGRAÇÃO R2OFERTA 1</v>
      </c>
      <c r="Q83" s="4" t="s">
        <v>190</v>
      </c>
      <c r="R83" s="32" t="s">
        <v>111</v>
      </c>
      <c r="S83" s="40" t="s">
        <v>522</v>
      </c>
      <c r="T83" s="41">
        <v>5</v>
      </c>
      <c r="U83" s="41"/>
      <c r="V83" s="2"/>
    </row>
    <row r="84" spans="3:22" x14ac:dyDescent="0.25">
      <c r="C84" s="2"/>
      <c r="D84" s="2"/>
      <c r="E84" s="2"/>
      <c r="F84" s="2"/>
      <c r="G84" s="2"/>
      <c r="H84" s="2"/>
      <c r="I84" s="2"/>
      <c r="J84" s="50"/>
      <c r="K84" s="2"/>
      <c r="M84" s="2"/>
      <c r="N84" s="4" t="s">
        <v>445</v>
      </c>
      <c r="O84" s="4" t="s">
        <v>172</v>
      </c>
      <c r="P84" s="4" t="str">
        <f t="shared" si="4"/>
        <v>MIGRAÇÃO R2OFERTA 2</v>
      </c>
      <c r="Q84" s="4" t="s">
        <v>190</v>
      </c>
      <c r="R84" s="32" t="s">
        <v>111</v>
      </c>
      <c r="S84" s="40" t="s">
        <v>522</v>
      </c>
      <c r="T84" s="41">
        <v>5</v>
      </c>
      <c r="U84" s="41"/>
      <c r="V84" s="2"/>
    </row>
    <row r="85" spans="3:22" x14ac:dyDescent="0.25">
      <c r="C85" s="2"/>
      <c r="D85" s="2"/>
      <c r="E85" s="2"/>
      <c r="F85" s="2"/>
      <c r="G85" s="2"/>
      <c r="H85" s="2"/>
      <c r="I85" s="2"/>
      <c r="J85" s="50"/>
      <c r="K85" s="2"/>
      <c r="M85" s="2"/>
      <c r="N85" s="4" t="s">
        <v>445</v>
      </c>
      <c r="O85" s="4" t="s">
        <v>173</v>
      </c>
      <c r="P85" s="4" t="str">
        <f t="shared" si="4"/>
        <v>MIGRAÇÃO R2OFERTA 3</v>
      </c>
      <c r="Q85" s="4" t="s">
        <v>190</v>
      </c>
      <c r="R85" s="32" t="s">
        <v>111</v>
      </c>
      <c r="S85" s="40" t="s">
        <v>522</v>
      </c>
      <c r="T85" s="41">
        <v>5</v>
      </c>
      <c r="U85" s="41"/>
      <c r="V85" s="2"/>
    </row>
    <row r="86" spans="3:22" x14ac:dyDescent="0.25">
      <c r="C86" s="2"/>
      <c r="D86" s="2"/>
      <c r="E86" s="2"/>
      <c r="F86" s="2"/>
      <c r="G86" s="2"/>
      <c r="H86" s="2"/>
      <c r="I86" s="2"/>
      <c r="J86" s="50"/>
      <c r="K86" s="2"/>
      <c r="M86" s="2"/>
      <c r="N86" s="4" t="s">
        <v>445</v>
      </c>
      <c r="O86" s="4" t="s">
        <v>174</v>
      </c>
      <c r="P86" s="4" t="str">
        <f t="shared" si="4"/>
        <v>MIGRAÇÃO R2OFERTA 4</v>
      </c>
      <c r="Q86" s="4" t="s">
        <v>190</v>
      </c>
      <c r="R86" s="32" t="s">
        <v>111</v>
      </c>
      <c r="S86" s="40" t="s">
        <v>522</v>
      </c>
      <c r="T86" s="41">
        <v>5</v>
      </c>
      <c r="U86" s="41"/>
      <c r="V86" s="2"/>
    </row>
    <row r="87" spans="3:22" x14ac:dyDescent="0.25">
      <c r="C87" s="2"/>
      <c r="D87" s="2"/>
      <c r="E87" s="2"/>
      <c r="F87" s="2"/>
      <c r="G87" s="2"/>
      <c r="H87" s="2"/>
      <c r="I87" s="2"/>
      <c r="J87" s="50"/>
      <c r="K87" s="2"/>
      <c r="M87" s="2"/>
      <c r="N87" s="4" t="s">
        <v>445</v>
      </c>
      <c r="O87" s="4" t="s">
        <v>440</v>
      </c>
      <c r="P87" s="4" t="str">
        <f t="shared" si="4"/>
        <v>MIGRAÇÃO R2OFERTA SITE</v>
      </c>
      <c r="Q87" s="4" t="s">
        <v>190</v>
      </c>
      <c r="R87" s="32" t="s">
        <v>111</v>
      </c>
      <c r="S87" s="40" t="s">
        <v>522</v>
      </c>
      <c r="T87" s="41">
        <v>5</v>
      </c>
      <c r="U87" s="41"/>
      <c r="V87" s="2"/>
    </row>
    <row r="88" spans="3:22" x14ac:dyDescent="0.25">
      <c r="C88" s="2"/>
      <c r="D88" s="2"/>
      <c r="E88" s="2"/>
      <c r="F88" s="2"/>
      <c r="G88" s="2"/>
      <c r="H88" s="2"/>
      <c r="I88" s="2"/>
      <c r="J88" s="50"/>
      <c r="K88" s="2"/>
      <c r="M88" s="2"/>
      <c r="N88" s="4" t="s">
        <v>446</v>
      </c>
      <c r="O88" s="4" t="s">
        <v>171</v>
      </c>
      <c r="P88" s="4" t="str">
        <f t="shared" si="4"/>
        <v>PORTABILIDADE RIOFERTA 1</v>
      </c>
      <c r="Q88" s="4" t="s">
        <v>190</v>
      </c>
      <c r="R88" s="32" t="s">
        <v>111</v>
      </c>
      <c r="S88" s="40" t="s">
        <v>522</v>
      </c>
      <c r="T88" s="41">
        <v>5</v>
      </c>
      <c r="U88" s="41"/>
      <c r="V88" s="2"/>
    </row>
    <row r="89" spans="3:22" x14ac:dyDescent="0.25">
      <c r="C89" s="2"/>
      <c r="D89" s="2"/>
      <c r="E89" s="2"/>
      <c r="F89" s="2"/>
      <c r="G89" s="2"/>
      <c r="H89" s="2"/>
      <c r="I89" s="2"/>
      <c r="J89" s="50"/>
      <c r="K89" s="2"/>
      <c r="M89" s="2"/>
      <c r="N89" s="4" t="s">
        <v>446</v>
      </c>
      <c r="O89" s="4" t="s">
        <v>172</v>
      </c>
      <c r="P89" s="4" t="str">
        <f t="shared" si="4"/>
        <v>PORTABILIDADE RIOFERTA 2</v>
      </c>
      <c r="Q89" s="4" t="s">
        <v>190</v>
      </c>
      <c r="R89" s="32" t="s">
        <v>111</v>
      </c>
      <c r="S89" s="40" t="s">
        <v>522</v>
      </c>
      <c r="T89" s="41">
        <v>5</v>
      </c>
      <c r="U89" s="41"/>
      <c r="V89" s="2"/>
    </row>
    <row r="90" spans="3:22" x14ac:dyDescent="0.25">
      <c r="C90" s="2"/>
      <c r="D90" s="2"/>
      <c r="E90" s="2"/>
      <c r="F90" s="2"/>
      <c r="G90" s="2"/>
      <c r="H90" s="2"/>
      <c r="I90" s="2"/>
      <c r="J90" s="50"/>
      <c r="K90" s="2"/>
      <c r="M90" s="2"/>
      <c r="N90" s="4" t="s">
        <v>446</v>
      </c>
      <c r="O90" s="4" t="s">
        <v>173</v>
      </c>
      <c r="P90" s="4" t="str">
        <f t="shared" si="4"/>
        <v>PORTABILIDADE RIOFERTA 3</v>
      </c>
      <c r="Q90" s="4" t="s">
        <v>190</v>
      </c>
      <c r="R90" s="32" t="s">
        <v>111</v>
      </c>
      <c r="S90" s="40" t="s">
        <v>522</v>
      </c>
      <c r="T90" s="41">
        <v>5</v>
      </c>
      <c r="U90" s="41"/>
      <c r="V90" s="2"/>
    </row>
    <row r="91" spans="3:22" x14ac:dyDescent="0.25">
      <c r="C91" s="2"/>
      <c r="D91" s="2"/>
      <c r="E91" s="2"/>
      <c r="F91" s="2"/>
      <c r="G91" s="2"/>
      <c r="H91" s="2"/>
      <c r="I91" s="2"/>
      <c r="J91" s="50"/>
      <c r="K91" s="2"/>
      <c r="M91" s="2"/>
      <c r="N91" s="4" t="s">
        <v>446</v>
      </c>
      <c r="O91" s="4" t="s">
        <v>174</v>
      </c>
      <c r="P91" s="4" t="str">
        <f t="shared" si="4"/>
        <v>PORTABILIDADE RIOFERTA 4</v>
      </c>
      <c r="Q91" s="4" t="s">
        <v>190</v>
      </c>
      <c r="R91" s="32" t="s">
        <v>111</v>
      </c>
      <c r="S91" s="40" t="s">
        <v>522</v>
      </c>
      <c r="T91" s="41">
        <v>5</v>
      </c>
      <c r="U91" s="41"/>
      <c r="V91" s="2"/>
    </row>
    <row r="92" spans="3:22" x14ac:dyDescent="0.25">
      <c r="C92" s="2"/>
      <c r="D92" s="2"/>
      <c r="E92" s="2"/>
      <c r="F92" s="2"/>
      <c r="G92" s="2"/>
      <c r="H92" s="2"/>
      <c r="I92" s="2"/>
      <c r="J92" s="50"/>
      <c r="K92" s="2"/>
      <c r="M92" s="2"/>
      <c r="N92" s="4" t="s">
        <v>446</v>
      </c>
      <c r="O92" s="4" t="s">
        <v>180</v>
      </c>
      <c r="P92" s="4" t="str">
        <f t="shared" si="4"/>
        <v>PORTABILIDADE RIVELOX</v>
      </c>
      <c r="Q92" s="4" t="s">
        <v>190</v>
      </c>
      <c r="R92" s="32" t="s">
        <v>111</v>
      </c>
      <c r="S92" s="40" t="s">
        <v>522</v>
      </c>
      <c r="T92" s="41">
        <v>5</v>
      </c>
      <c r="U92" s="41"/>
      <c r="V92" s="2"/>
    </row>
    <row r="93" spans="3:22" x14ac:dyDescent="0.25">
      <c r="C93" s="2"/>
      <c r="D93" s="2"/>
      <c r="E93" s="2"/>
      <c r="F93" s="2"/>
      <c r="G93" s="2"/>
      <c r="H93" s="2"/>
      <c r="I93" s="2"/>
      <c r="J93" s="50"/>
      <c r="K93" s="2"/>
      <c r="M93" s="2"/>
      <c r="N93" s="4" t="s">
        <v>447</v>
      </c>
      <c r="O93" s="4" t="s">
        <v>171</v>
      </c>
      <c r="P93" s="4" t="str">
        <f t="shared" si="4"/>
        <v>PORTABILIDADE RIIOFERTA 1</v>
      </c>
      <c r="Q93" s="4" t="s">
        <v>190</v>
      </c>
      <c r="R93" s="32" t="s">
        <v>111</v>
      </c>
      <c r="S93" s="40" t="s">
        <v>522</v>
      </c>
      <c r="T93" s="41">
        <v>5</v>
      </c>
      <c r="U93" s="41"/>
      <c r="V93" s="2"/>
    </row>
    <row r="94" spans="3:22" x14ac:dyDescent="0.25">
      <c r="C94" s="2"/>
      <c r="D94" s="2"/>
      <c r="E94" s="2"/>
      <c r="F94" s="2"/>
      <c r="G94" s="2"/>
      <c r="H94" s="2"/>
      <c r="I94" s="2"/>
      <c r="J94" s="50"/>
      <c r="K94" s="2"/>
      <c r="M94" s="2"/>
      <c r="N94" s="4" t="s">
        <v>447</v>
      </c>
      <c r="O94" s="4" t="s">
        <v>172</v>
      </c>
      <c r="P94" s="4" t="str">
        <f t="shared" si="4"/>
        <v>PORTABILIDADE RIIOFERTA 2</v>
      </c>
      <c r="Q94" s="4" t="s">
        <v>190</v>
      </c>
      <c r="R94" s="32" t="s">
        <v>111</v>
      </c>
      <c r="S94" s="40" t="s">
        <v>522</v>
      </c>
      <c r="T94" s="41">
        <v>5</v>
      </c>
      <c r="U94" s="41"/>
      <c r="V94" s="2"/>
    </row>
    <row r="95" spans="3:22" x14ac:dyDescent="0.25">
      <c r="C95" s="2"/>
      <c r="D95" s="2"/>
      <c r="E95" s="2"/>
      <c r="F95" s="2"/>
      <c r="G95" s="2"/>
      <c r="H95" s="2"/>
      <c r="I95" s="2"/>
      <c r="J95" s="50"/>
      <c r="K95" s="2"/>
      <c r="M95" s="2"/>
      <c r="N95" s="4" t="s">
        <v>447</v>
      </c>
      <c r="O95" s="4" t="s">
        <v>173</v>
      </c>
      <c r="P95" s="4" t="str">
        <f t="shared" si="4"/>
        <v>PORTABILIDADE RIIOFERTA 3</v>
      </c>
      <c r="Q95" s="4" t="s">
        <v>190</v>
      </c>
      <c r="R95" s="32" t="s">
        <v>111</v>
      </c>
      <c r="S95" s="40" t="s">
        <v>522</v>
      </c>
      <c r="T95" s="41">
        <v>5</v>
      </c>
      <c r="U95" s="41"/>
      <c r="V95" s="2"/>
    </row>
    <row r="96" spans="3:22" x14ac:dyDescent="0.25">
      <c r="C96" s="2"/>
      <c r="D96" s="2"/>
      <c r="E96" s="2"/>
      <c r="F96" s="2"/>
      <c r="G96" s="2"/>
      <c r="H96" s="2"/>
      <c r="I96" s="2"/>
      <c r="J96" s="50"/>
      <c r="K96" s="2"/>
      <c r="M96" s="2"/>
      <c r="N96" s="4" t="s">
        <v>447</v>
      </c>
      <c r="O96" s="4" t="s">
        <v>174</v>
      </c>
      <c r="P96" s="4" t="str">
        <f t="shared" si="4"/>
        <v>PORTABILIDADE RIIOFERTA 4</v>
      </c>
      <c r="Q96" s="4" t="s">
        <v>190</v>
      </c>
      <c r="R96" s="32" t="s">
        <v>111</v>
      </c>
      <c r="S96" s="40" t="s">
        <v>522</v>
      </c>
      <c r="T96" s="41">
        <v>5</v>
      </c>
      <c r="U96" s="41"/>
      <c r="V96" s="2"/>
    </row>
    <row r="97" spans="3:22" x14ac:dyDescent="0.25">
      <c r="C97" s="2"/>
      <c r="D97" s="2"/>
      <c r="E97" s="2"/>
      <c r="F97" s="2"/>
      <c r="G97" s="2"/>
      <c r="H97" s="2"/>
      <c r="I97" s="2"/>
      <c r="J97" s="50"/>
      <c r="K97" s="2"/>
      <c r="M97" s="2"/>
      <c r="N97" s="4" t="s">
        <v>448</v>
      </c>
      <c r="O97" s="4" t="s">
        <v>139</v>
      </c>
      <c r="P97" s="4" t="str">
        <f t="shared" si="4"/>
        <v>CANCELAMENTO MEDIASCancelamento Fixo/Velox</v>
      </c>
      <c r="Q97" s="4" t="s">
        <v>192</v>
      </c>
      <c r="R97" s="32" t="s">
        <v>115</v>
      </c>
      <c r="S97" s="40" t="s">
        <v>513</v>
      </c>
      <c r="T97" s="41">
        <v>1</v>
      </c>
      <c r="U97" s="41"/>
      <c r="V97" s="2"/>
    </row>
    <row r="98" spans="3:22" x14ac:dyDescent="0.25">
      <c r="C98" s="2"/>
      <c r="D98" s="2"/>
      <c r="E98" s="2"/>
      <c r="F98" s="2"/>
      <c r="G98" s="2"/>
      <c r="H98" s="2"/>
      <c r="I98" s="2"/>
      <c r="J98" s="50"/>
      <c r="K98" s="2"/>
      <c r="M98" s="2"/>
      <c r="N98" s="4" t="s">
        <v>448</v>
      </c>
      <c r="O98" s="4" t="s">
        <v>141</v>
      </c>
      <c r="P98" s="4" t="str">
        <f t="shared" si="4"/>
        <v>CANCELAMENTO MEDIASCancelamento Móvel</v>
      </c>
      <c r="Q98" s="4" t="s">
        <v>192</v>
      </c>
      <c r="R98" s="32" t="s">
        <v>115</v>
      </c>
      <c r="S98" s="40" t="s">
        <v>513</v>
      </c>
      <c r="T98" s="41">
        <v>1</v>
      </c>
      <c r="U98" s="41"/>
      <c r="V98" s="2"/>
    </row>
    <row r="99" spans="3:22" x14ac:dyDescent="0.25">
      <c r="C99" s="2"/>
      <c r="D99" s="2"/>
      <c r="E99" s="2"/>
      <c r="F99" s="2"/>
      <c r="G99" s="2"/>
      <c r="H99" s="2"/>
      <c r="I99" s="2"/>
      <c r="J99" s="50"/>
      <c r="K99" s="2"/>
      <c r="M99" s="2"/>
      <c r="N99" s="4" t="s">
        <v>158</v>
      </c>
      <c r="O99" s="4" t="s">
        <v>449</v>
      </c>
      <c r="P99" s="4" t="str">
        <f t="shared" si="4"/>
        <v>RET RII - FIXO/VELOXATIVO CANCELAMENTO</v>
      </c>
      <c r="Q99" s="4" t="s">
        <v>192</v>
      </c>
      <c r="R99" s="32" t="s">
        <v>115</v>
      </c>
      <c r="S99" s="40" t="s">
        <v>513</v>
      </c>
      <c r="T99" s="41">
        <v>1</v>
      </c>
      <c r="U99" s="41"/>
      <c r="V99" s="2"/>
    </row>
    <row r="100" spans="3:22" x14ac:dyDescent="0.25">
      <c r="C100" s="2"/>
      <c r="D100" s="2"/>
      <c r="E100" s="2"/>
      <c r="F100" s="2"/>
      <c r="G100" s="2"/>
      <c r="H100" s="2"/>
      <c r="I100" s="2"/>
      <c r="J100" s="50"/>
      <c r="K100" s="2"/>
      <c r="M100" s="2"/>
      <c r="N100" s="4" t="s">
        <v>158</v>
      </c>
      <c r="O100" s="4" t="s">
        <v>450</v>
      </c>
      <c r="P100" s="4" t="str">
        <f t="shared" si="4"/>
        <v>RET RII - FIXO/VELOXCANC MEDIAS FIXO/VELOX</v>
      </c>
      <c r="Q100" s="4" t="s">
        <v>192</v>
      </c>
      <c r="R100" s="32" t="s">
        <v>115</v>
      </c>
      <c r="S100" s="40" t="s">
        <v>513</v>
      </c>
      <c r="T100" s="41">
        <v>1</v>
      </c>
      <c r="U100" s="41"/>
      <c r="V100" s="2"/>
    </row>
    <row r="101" spans="3:22" x14ac:dyDescent="0.25">
      <c r="C101" s="2"/>
      <c r="D101" s="2"/>
      <c r="E101" s="2"/>
      <c r="F101" s="2"/>
      <c r="G101" s="2"/>
      <c r="H101" s="2"/>
      <c r="I101" s="2"/>
      <c r="J101" s="50"/>
      <c r="K101" s="2"/>
      <c r="M101" s="2"/>
      <c r="N101" s="4" t="s">
        <v>158</v>
      </c>
      <c r="O101" s="4" t="s">
        <v>451</v>
      </c>
      <c r="P101" s="4" t="str">
        <f t="shared" si="4"/>
        <v>RET RII - FIXO/VELOXERRO UP VELOX</v>
      </c>
      <c r="Q101" s="4" t="s">
        <v>192</v>
      </c>
      <c r="R101" s="32" t="s">
        <v>115</v>
      </c>
      <c r="S101" s="40" t="s">
        <v>513</v>
      </c>
      <c r="T101" s="41">
        <v>1</v>
      </c>
      <c r="U101" s="41"/>
      <c r="V101" s="2"/>
    </row>
    <row r="102" spans="3:22" x14ac:dyDescent="0.25">
      <c r="C102" s="2"/>
      <c r="D102" s="2"/>
      <c r="E102" s="2"/>
      <c r="F102" s="2"/>
      <c r="G102" s="2"/>
      <c r="H102" s="2"/>
      <c r="I102" s="2"/>
      <c r="J102" s="50"/>
      <c r="K102" s="2"/>
      <c r="M102" s="2"/>
      <c r="N102" s="4" t="s">
        <v>158</v>
      </c>
      <c r="O102" s="4" t="s">
        <v>452</v>
      </c>
      <c r="P102" s="4" t="str">
        <f t="shared" si="4"/>
        <v>RET RII - FIXO/VELOXGERAR OS CLIENTES COM BLO 56</v>
      </c>
      <c r="Q102" s="4" t="s">
        <v>192</v>
      </c>
      <c r="R102" s="32" t="s">
        <v>115</v>
      </c>
      <c r="S102" s="40" t="s">
        <v>513</v>
      </c>
      <c r="T102" s="41">
        <v>1</v>
      </c>
      <c r="U102" s="41"/>
      <c r="V102" s="2"/>
    </row>
    <row r="103" spans="3:22" x14ac:dyDescent="0.25">
      <c r="C103" s="2"/>
      <c r="D103" s="2"/>
      <c r="E103" s="2"/>
      <c r="F103" s="2"/>
      <c r="G103" s="2"/>
      <c r="H103" s="2"/>
      <c r="I103" s="2"/>
      <c r="J103" s="50"/>
      <c r="K103" s="2"/>
      <c r="M103" s="2"/>
      <c r="N103" s="4" t="s">
        <v>158</v>
      </c>
      <c r="O103" s="4" t="s">
        <v>453</v>
      </c>
      <c r="P103" s="4" t="str">
        <f t="shared" si="4"/>
        <v>RET RII - FIXO/VELOXINST/ALTERAÇÃO VELOX ALONE</v>
      </c>
      <c r="Q103" s="4" t="s">
        <v>192</v>
      </c>
      <c r="R103" s="32" t="s">
        <v>115</v>
      </c>
      <c r="S103" s="40" t="s">
        <v>513</v>
      </c>
      <c r="T103" s="41">
        <v>1</v>
      </c>
      <c r="U103" s="41"/>
      <c r="V103" s="2"/>
    </row>
    <row r="104" spans="3:22" x14ac:dyDescent="0.25">
      <c r="C104" s="2"/>
      <c r="D104" s="2"/>
      <c r="E104" s="2"/>
      <c r="F104" s="2"/>
      <c r="G104" s="2"/>
      <c r="H104" s="2"/>
      <c r="I104" s="2"/>
      <c r="J104" s="50"/>
      <c r="K104" s="2"/>
      <c r="M104" s="2"/>
      <c r="N104" s="4" t="s">
        <v>158</v>
      </c>
      <c r="O104" s="4" t="s">
        <v>454</v>
      </c>
      <c r="P104" s="4" t="str">
        <f t="shared" si="4"/>
        <v>RET RII - FIXO/VELOXINVIABILIDADE PORT RECEP</v>
      </c>
      <c r="Q104" s="4" t="s">
        <v>192</v>
      </c>
      <c r="R104" s="32" t="s">
        <v>115</v>
      </c>
      <c r="S104" s="40" t="s">
        <v>513</v>
      </c>
      <c r="T104" s="41">
        <v>1</v>
      </c>
      <c r="U104" s="41"/>
      <c r="V104" s="2"/>
    </row>
    <row r="105" spans="3:22" x14ac:dyDescent="0.25">
      <c r="C105" s="2"/>
      <c r="D105" s="2"/>
      <c r="E105" s="2"/>
      <c r="F105" s="2"/>
      <c r="G105" s="2"/>
      <c r="H105" s="2"/>
      <c r="I105" s="2"/>
      <c r="J105" s="50"/>
      <c r="K105" s="2"/>
      <c r="M105" s="2"/>
      <c r="N105" s="4" t="s">
        <v>158</v>
      </c>
      <c r="O105" s="4" t="s">
        <v>455</v>
      </c>
      <c r="P105" s="4" t="str">
        <f t="shared" si="4"/>
        <v>RET RII - FIXO/VELOXISENTAR COBRANCA MULTA FIXO</v>
      </c>
      <c r="Q105" s="4" t="s">
        <v>192</v>
      </c>
      <c r="R105" s="32" t="s">
        <v>115</v>
      </c>
      <c r="S105" s="40" t="s">
        <v>513</v>
      </c>
      <c r="T105" s="41">
        <v>1</v>
      </c>
      <c r="U105" s="41"/>
      <c r="V105" s="2"/>
    </row>
    <row r="106" spans="3:22" x14ac:dyDescent="0.25">
      <c r="C106" s="2"/>
      <c r="D106" s="2"/>
      <c r="E106" s="2"/>
      <c r="F106" s="2"/>
      <c r="G106" s="2"/>
      <c r="H106" s="2"/>
      <c r="I106" s="2"/>
      <c r="J106" s="50"/>
      <c r="K106" s="2"/>
      <c r="M106" s="2"/>
      <c r="N106" s="4" t="s">
        <v>158</v>
      </c>
      <c r="O106" s="4" t="s">
        <v>456</v>
      </c>
      <c r="P106" s="4" t="str">
        <f t="shared" si="4"/>
        <v>RET RII - FIXO/VELOXNÃO CADASTRADO PORTAL</v>
      </c>
      <c r="Q106" s="4" t="s">
        <v>192</v>
      </c>
      <c r="R106" s="32" t="s">
        <v>115</v>
      </c>
      <c r="S106" s="40" t="s">
        <v>513</v>
      </c>
      <c r="T106" s="41">
        <v>1</v>
      </c>
      <c r="U106" s="41"/>
      <c r="V106" s="2"/>
    </row>
    <row r="107" spans="3:22" x14ac:dyDescent="0.25">
      <c r="C107" s="2"/>
      <c r="D107" s="2"/>
      <c r="E107" s="2"/>
      <c r="F107" s="2"/>
      <c r="G107" s="2"/>
      <c r="H107" s="2"/>
      <c r="I107" s="2"/>
      <c r="J107" s="50"/>
      <c r="K107" s="2"/>
      <c r="M107" s="2"/>
      <c r="N107" s="4" t="s">
        <v>158</v>
      </c>
      <c r="O107" s="4" t="s">
        <v>457</v>
      </c>
      <c r="P107" s="4" t="str">
        <f t="shared" si="4"/>
        <v>RET RII - FIXO/VELOXOFERTA CLIENTE TRAAS</v>
      </c>
      <c r="Q107" s="4" t="s">
        <v>192</v>
      </c>
      <c r="R107" s="32" t="s">
        <v>115</v>
      </c>
      <c r="S107" s="40" t="s">
        <v>513</v>
      </c>
      <c r="T107" s="41">
        <v>1</v>
      </c>
      <c r="U107" s="41"/>
      <c r="V107" s="2"/>
    </row>
    <row r="108" spans="3:22" x14ac:dyDescent="0.25">
      <c r="C108" s="2"/>
      <c r="D108" s="2"/>
      <c r="E108" s="2"/>
      <c r="F108" s="2"/>
      <c r="G108" s="2"/>
      <c r="H108" s="2"/>
      <c r="I108" s="2"/>
      <c r="J108" s="50"/>
      <c r="K108" s="2"/>
      <c r="M108" s="2"/>
      <c r="N108" s="4" t="s">
        <v>158</v>
      </c>
      <c r="O108" s="4" t="s">
        <v>458</v>
      </c>
      <c r="P108" s="4" t="str">
        <f t="shared" si="4"/>
        <v>RET RII - FIXO/VELOXRETIRADA ADSL (AQ FTTH)</v>
      </c>
      <c r="Q108" s="4" t="s">
        <v>192</v>
      </c>
      <c r="R108" s="32" t="s">
        <v>115</v>
      </c>
      <c r="S108" s="40" t="s">
        <v>513</v>
      </c>
      <c r="T108" s="41">
        <v>1</v>
      </c>
      <c r="U108" s="41"/>
      <c r="V108" s="2"/>
    </row>
    <row r="109" spans="3:22" x14ac:dyDescent="0.25">
      <c r="C109" s="2"/>
      <c r="D109" s="2"/>
      <c r="E109" s="2"/>
      <c r="F109" s="2"/>
      <c r="G109" s="2"/>
      <c r="H109" s="2"/>
      <c r="I109" s="2"/>
      <c r="J109" s="50"/>
      <c r="K109" s="2"/>
      <c r="M109" s="2"/>
      <c r="N109" s="4" t="s">
        <v>158</v>
      </c>
      <c r="O109" s="4" t="s">
        <v>459</v>
      </c>
      <c r="P109" s="4" t="str">
        <f t="shared" si="4"/>
        <v>RET RII - FIXO/VELOXREVERSÃO OFERTA CLIENTE INADIM</v>
      </c>
      <c r="Q109" s="4" t="s">
        <v>192</v>
      </c>
      <c r="R109" s="32" t="s">
        <v>115</v>
      </c>
      <c r="S109" s="40" t="s">
        <v>513</v>
      </c>
      <c r="T109" s="41">
        <v>1</v>
      </c>
      <c r="U109" s="41"/>
      <c r="V109" s="2"/>
    </row>
    <row r="110" spans="3:22" x14ac:dyDescent="0.25">
      <c r="C110" s="2"/>
      <c r="D110" s="2"/>
      <c r="E110" s="2"/>
      <c r="F110" s="2"/>
      <c r="G110" s="2"/>
      <c r="H110" s="2"/>
      <c r="I110" s="2"/>
      <c r="J110" s="50"/>
      <c r="K110" s="2"/>
      <c r="M110" s="2"/>
      <c r="N110" s="4" t="s">
        <v>158</v>
      </c>
      <c r="O110" s="4" t="s">
        <v>460</v>
      </c>
      <c r="P110" s="4" t="str">
        <f t="shared" si="4"/>
        <v>RET RII - FIXO/VELOXTRATAMENTO EXCEÇÃO POR EMAIL.</v>
      </c>
      <c r="Q110" s="4" t="s">
        <v>192</v>
      </c>
      <c r="R110" s="32" t="s">
        <v>115</v>
      </c>
      <c r="S110" s="40" t="s">
        <v>513</v>
      </c>
      <c r="T110" s="41">
        <v>1</v>
      </c>
      <c r="U110" s="41"/>
      <c r="V110" s="2"/>
    </row>
    <row r="111" spans="3:22" x14ac:dyDescent="0.25">
      <c r="C111" s="2"/>
      <c r="D111" s="2"/>
      <c r="E111" s="2"/>
      <c r="F111" s="2"/>
      <c r="G111" s="2"/>
      <c r="H111" s="2"/>
      <c r="I111" s="2"/>
      <c r="J111" s="50"/>
      <c r="K111" s="2"/>
      <c r="M111" s="2"/>
      <c r="N111" s="4" t="s">
        <v>166</v>
      </c>
      <c r="O111" s="4" t="s">
        <v>461</v>
      </c>
      <c r="P111" s="4" t="str">
        <f t="shared" si="4"/>
        <v>RET RII - MÓVELACOMP. DO PEDIDO DE MIGRAÇÃO</v>
      </c>
      <c r="Q111" s="4" t="s">
        <v>492</v>
      </c>
      <c r="R111" s="32" t="s">
        <v>493</v>
      </c>
      <c r="S111" s="40" t="s">
        <v>513</v>
      </c>
      <c r="T111" s="41">
        <v>1</v>
      </c>
      <c r="U111" s="41"/>
      <c r="V111" s="2"/>
    </row>
    <row r="112" spans="3:22" x14ac:dyDescent="0.25">
      <c r="C112" s="2"/>
      <c r="D112" s="2"/>
      <c r="E112" s="2"/>
      <c r="F112" s="2"/>
      <c r="G112" s="2"/>
      <c r="H112" s="2"/>
      <c r="I112" s="2"/>
      <c r="J112" s="50"/>
      <c r="K112" s="2"/>
      <c r="M112" s="2"/>
      <c r="N112" s="4" t="s">
        <v>166</v>
      </c>
      <c r="O112" s="4" t="s">
        <v>462</v>
      </c>
      <c r="P112" s="4" t="str">
        <f t="shared" si="4"/>
        <v>RET RII - MÓVELCANCELAMENTO ACIMA 10 ACESSOS</v>
      </c>
      <c r="Q112" s="4" t="s">
        <v>492</v>
      </c>
      <c r="R112" s="32" t="s">
        <v>493</v>
      </c>
      <c r="S112" s="40" t="s">
        <v>513</v>
      </c>
      <c r="T112" s="41">
        <v>1</v>
      </c>
      <c r="U112" s="41"/>
      <c r="V112" s="2"/>
    </row>
    <row r="113" spans="3:22" x14ac:dyDescent="0.25">
      <c r="C113" s="2"/>
      <c r="D113" s="2"/>
      <c r="E113" s="2"/>
      <c r="F113" s="2"/>
      <c r="G113" s="2"/>
      <c r="H113" s="2"/>
      <c r="I113" s="2"/>
      <c r="J113" s="50"/>
      <c r="K113" s="2"/>
      <c r="M113" s="2"/>
      <c r="N113" s="4" t="s">
        <v>166</v>
      </c>
      <c r="O113" s="4" t="s">
        <v>463</v>
      </c>
      <c r="P113" s="4" t="str">
        <f t="shared" si="4"/>
        <v>RET RII - MÓVELERRO GERAÇÃO OS CANCELAMENTO</v>
      </c>
      <c r="Q113" s="4" t="s">
        <v>492</v>
      </c>
      <c r="R113" s="32" t="s">
        <v>493</v>
      </c>
      <c r="S113" s="40" t="s">
        <v>513</v>
      </c>
      <c r="T113" s="41">
        <v>1</v>
      </c>
      <c r="U113" s="41"/>
      <c r="V113" s="2"/>
    </row>
    <row r="114" spans="3:22" x14ac:dyDescent="0.25">
      <c r="C114" s="2"/>
      <c r="D114" s="2"/>
      <c r="E114" s="2"/>
      <c r="F114" s="2"/>
      <c r="G114" s="2"/>
      <c r="H114" s="2"/>
      <c r="I114" s="2"/>
      <c r="J114" s="50"/>
      <c r="K114" s="2"/>
      <c r="M114" s="2"/>
      <c r="N114" s="4" t="s">
        <v>166</v>
      </c>
      <c r="O114" s="4" t="s">
        <v>464</v>
      </c>
      <c r="P114" s="4" t="str">
        <f t="shared" si="4"/>
        <v>RET RII - MÓVELISENÇÃO DE MULTA RESCISÃO</v>
      </c>
      <c r="Q114" s="4" t="s">
        <v>492</v>
      </c>
      <c r="R114" s="32" t="s">
        <v>493</v>
      </c>
      <c r="S114" s="40" t="s">
        <v>513</v>
      </c>
      <c r="T114" s="41">
        <v>1</v>
      </c>
      <c r="U114" s="41"/>
      <c r="V114" s="2"/>
    </row>
    <row r="115" spans="3:22" x14ac:dyDescent="0.25">
      <c r="C115" s="2"/>
      <c r="D115" s="2"/>
      <c r="E115" s="2"/>
      <c r="F115" s="2"/>
      <c r="G115" s="2"/>
      <c r="H115" s="2"/>
      <c r="I115" s="2"/>
      <c r="J115" s="50"/>
      <c r="K115" s="2"/>
      <c r="M115" s="2"/>
      <c r="N115" s="4" t="s">
        <v>166</v>
      </c>
      <c r="O115" s="4" t="s">
        <v>465</v>
      </c>
      <c r="P115" s="4" t="str">
        <f t="shared" si="4"/>
        <v>RET RII - MÓVELSOLICITAÇÃO CANC. SAC ON LINE</v>
      </c>
      <c r="Q115" s="4" t="s">
        <v>492</v>
      </c>
      <c r="R115" s="32" t="s">
        <v>493</v>
      </c>
      <c r="S115" s="40" t="s">
        <v>513</v>
      </c>
      <c r="T115" s="41">
        <v>1</v>
      </c>
      <c r="U115" s="41"/>
      <c r="V115" s="2"/>
    </row>
    <row r="116" spans="3:22" x14ac:dyDescent="0.25">
      <c r="C116" s="2"/>
      <c r="D116" s="2"/>
      <c r="E116" s="2"/>
      <c r="F116" s="2"/>
      <c r="G116" s="2"/>
      <c r="H116" s="2"/>
      <c r="I116" s="2"/>
      <c r="J116" s="50"/>
      <c r="K116" s="2"/>
      <c r="M116" s="2"/>
      <c r="N116" s="4" t="s">
        <v>166</v>
      </c>
      <c r="O116" s="4" t="s">
        <v>466</v>
      </c>
      <c r="P116" s="4" t="str">
        <f t="shared" si="4"/>
        <v>RET RII - MÓVELTRAASS BASE LEGADA</v>
      </c>
      <c r="Q116" s="4" t="s">
        <v>492</v>
      </c>
      <c r="R116" s="32" t="s">
        <v>493</v>
      </c>
      <c r="S116" s="40" t="s">
        <v>513</v>
      </c>
      <c r="T116" s="41">
        <v>1</v>
      </c>
      <c r="U116" s="41"/>
      <c r="V116" s="2"/>
    </row>
    <row r="117" spans="3:22" x14ac:dyDescent="0.25">
      <c r="C117" s="2"/>
      <c r="D117" s="2"/>
      <c r="E117" s="2"/>
      <c r="F117" s="2"/>
      <c r="G117" s="2"/>
      <c r="H117" s="2"/>
      <c r="I117" s="2"/>
      <c r="J117" s="50"/>
      <c r="K117" s="2"/>
      <c r="M117" s="2"/>
      <c r="N117" s="4" t="s">
        <v>166</v>
      </c>
      <c r="O117" s="4" t="s">
        <v>467</v>
      </c>
      <c r="P117" s="4" t="str">
        <f t="shared" si="4"/>
        <v>RET RII - MÓVELTRATAMENTO EXCEÇÃO POR EMAIL</v>
      </c>
      <c r="Q117" s="4" t="s">
        <v>492</v>
      </c>
      <c r="R117" s="32" t="s">
        <v>493</v>
      </c>
      <c r="S117" s="40" t="s">
        <v>513</v>
      </c>
      <c r="T117" s="41">
        <v>1</v>
      </c>
      <c r="U117" s="41"/>
      <c r="V117" s="2"/>
    </row>
    <row r="118" spans="3:22" x14ac:dyDescent="0.25">
      <c r="C118" s="2"/>
      <c r="D118" s="2"/>
      <c r="E118" s="2"/>
      <c r="F118" s="2"/>
      <c r="G118" s="2"/>
      <c r="H118" s="2"/>
      <c r="I118" s="2"/>
      <c r="J118" s="50"/>
      <c r="K118" s="2"/>
      <c r="M118" s="2"/>
      <c r="N118" s="4" t="s">
        <v>175</v>
      </c>
      <c r="O118" s="4" t="s">
        <v>440</v>
      </c>
      <c r="P118" s="4" t="str">
        <f t="shared" si="4"/>
        <v>RETENÇÃO R1OFERTA SITE</v>
      </c>
      <c r="Q118" s="4" t="s">
        <v>192</v>
      </c>
      <c r="R118" s="32" t="s">
        <v>115</v>
      </c>
      <c r="S118" s="40" t="s">
        <v>513</v>
      </c>
      <c r="T118" s="41">
        <v>1</v>
      </c>
      <c r="U118" s="41"/>
      <c r="V118" s="2"/>
    </row>
    <row r="119" spans="3:22" x14ac:dyDescent="0.25">
      <c r="C119" s="2"/>
      <c r="D119" s="2"/>
      <c r="E119" s="2"/>
      <c r="F119" s="2"/>
      <c r="G119" s="2"/>
      <c r="H119" s="2"/>
      <c r="I119" s="2"/>
      <c r="J119" s="50"/>
      <c r="K119" s="2"/>
      <c r="M119" s="2"/>
      <c r="N119" s="4" t="s">
        <v>468</v>
      </c>
      <c r="O119" s="4" t="s">
        <v>469</v>
      </c>
      <c r="P119" s="4" t="str">
        <f t="shared" si="4"/>
        <v>RetiradaRetirada - RI e RIII</v>
      </c>
      <c r="Q119" s="4" t="s">
        <v>192</v>
      </c>
      <c r="R119" s="32" t="s">
        <v>115</v>
      </c>
      <c r="S119" s="40" t="s">
        <v>513</v>
      </c>
      <c r="T119" s="41">
        <v>1</v>
      </c>
      <c r="U119" s="41"/>
      <c r="V119" s="2"/>
    </row>
    <row r="120" spans="3:22" x14ac:dyDescent="0.25">
      <c r="C120" s="2"/>
      <c r="D120" s="2"/>
      <c r="E120" s="2"/>
      <c r="F120" s="2"/>
      <c r="G120" s="2"/>
      <c r="H120" s="2"/>
      <c r="I120" s="2"/>
      <c r="J120" s="50"/>
      <c r="K120" s="2"/>
      <c r="M120" s="2"/>
      <c r="N120" s="4" t="s">
        <v>470</v>
      </c>
      <c r="O120" s="4" t="s">
        <v>471</v>
      </c>
      <c r="P120" s="4" t="str">
        <f t="shared" si="4"/>
        <v>RETIRADA OI TVCANC DE CONTRATO OI TV</v>
      </c>
      <c r="Q120" s="4" t="s">
        <v>192</v>
      </c>
      <c r="R120" s="32" t="s">
        <v>115</v>
      </c>
      <c r="S120" s="40" t="s">
        <v>513</v>
      </c>
      <c r="T120" s="41">
        <v>1</v>
      </c>
      <c r="U120" s="41"/>
      <c r="V120" s="2"/>
    </row>
    <row r="121" spans="3:22" x14ac:dyDescent="0.25">
      <c r="C121" s="2"/>
      <c r="D121" s="2"/>
      <c r="E121" s="2"/>
      <c r="F121" s="2"/>
      <c r="G121" s="2"/>
      <c r="H121" s="2"/>
      <c r="I121" s="2"/>
      <c r="J121" s="50"/>
      <c r="K121" s="2"/>
      <c r="M121" s="2"/>
      <c r="N121" s="4" t="s">
        <v>176</v>
      </c>
      <c r="O121" s="4" t="s">
        <v>440</v>
      </c>
      <c r="P121" s="4" t="str">
        <f t="shared" si="4"/>
        <v>RETENÇÃO R2OFERTA SITE</v>
      </c>
      <c r="Q121" s="4" t="s">
        <v>192</v>
      </c>
      <c r="R121" s="32" t="s">
        <v>115</v>
      </c>
      <c r="S121" s="40" t="s">
        <v>513</v>
      </c>
      <c r="T121" s="41">
        <v>1</v>
      </c>
      <c r="U121" s="41"/>
      <c r="V121" s="2"/>
    </row>
    <row r="122" spans="3:22" x14ac:dyDescent="0.25">
      <c r="C122" s="2"/>
      <c r="D122" s="2"/>
      <c r="E122" s="2"/>
      <c r="F122" s="2"/>
      <c r="G122" s="2"/>
      <c r="H122" s="2"/>
      <c r="I122" s="2"/>
      <c r="J122" s="50"/>
      <c r="K122" s="2"/>
      <c r="M122" s="2"/>
      <c r="N122" s="4" t="s">
        <v>177</v>
      </c>
      <c r="O122" s="4" t="s">
        <v>472</v>
      </c>
      <c r="P122" s="4" t="str">
        <f t="shared" si="4"/>
        <v>RETIRADA DE SUSPENSAO A PEDIDOBANDA LARGA</v>
      </c>
      <c r="Q122" s="4" t="s">
        <v>192</v>
      </c>
      <c r="R122" s="32" t="s">
        <v>115</v>
      </c>
      <c r="S122" s="40" t="s">
        <v>513</v>
      </c>
      <c r="T122" s="41">
        <v>1</v>
      </c>
      <c r="U122" s="41"/>
      <c r="V122" s="2"/>
    </row>
    <row r="123" spans="3:22" x14ac:dyDescent="0.25">
      <c r="C123" s="2"/>
      <c r="D123" s="2"/>
      <c r="E123" s="2"/>
      <c r="F123" s="2"/>
      <c r="G123" s="2"/>
      <c r="H123" s="2"/>
      <c r="I123" s="2"/>
      <c r="J123" s="50"/>
      <c r="K123" s="2"/>
      <c r="M123" s="2"/>
      <c r="N123" s="4" t="s">
        <v>489</v>
      </c>
      <c r="O123" s="4" t="s">
        <v>171</v>
      </c>
      <c r="P123" s="4" t="str">
        <f t="shared" si="4"/>
        <v>R1 - FIXOOFERTA 1</v>
      </c>
      <c r="Q123" s="4" t="s">
        <v>190</v>
      </c>
      <c r="R123" s="32" t="s">
        <v>111</v>
      </c>
      <c r="S123" s="40" t="s">
        <v>522</v>
      </c>
      <c r="T123" s="41">
        <v>5</v>
      </c>
      <c r="U123" s="41"/>
      <c r="V123" s="2"/>
    </row>
    <row r="124" spans="3:22" x14ac:dyDescent="0.25">
      <c r="C124" s="2"/>
      <c r="D124" s="2"/>
      <c r="E124" s="2"/>
      <c r="F124" s="2"/>
      <c r="G124" s="2"/>
      <c r="H124" s="2"/>
      <c r="I124" s="2"/>
      <c r="J124" s="50"/>
      <c r="K124" s="2"/>
      <c r="M124" s="2"/>
      <c r="N124" s="4" t="s">
        <v>489</v>
      </c>
      <c r="O124" s="4" t="s">
        <v>172</v>
      </c>
      <c r="P124" s="4" t="str">
        <f t="shared" si="4"/>
        <v>R1 - FIXOOFERTA 2</v>
      </c>
      <c r="Q124" s="4" t="s">
        <v>190</v>
      </c>
      <c r="R124" s="32" t="s">
        <v>111</v>
      </c>
      <c r="S124" s="40" t="s">
        <v>522</v>
      </c>
      <c r="T124" s="41">
        <v>5</v>
      </c>
      <c r="U124" s="41"/>
      <c r="V124" s="2"/>
    </row>
    <row r="125" spans="3:22" x14ac:dyDescent="0.25">
      <c r="C125" s="2"/>
      <c r="D125" s="2"/>
      <c r="E125" s="2"/>
      <c r="F125" s="2"/>
      <c r="G125" s="2"/>
      <c r="H125" s="2"/>
      <c r="I125" s="2"/>
      <c r="J125" s="50"/>
      <c r="K125" s="2"/>
      <c r="M125" s="2"/>
      <c r="N125" s="4" t="s">
        <v>489</v>
      </c>
      <c r="O125" s="4" t="s">
        <v>173</v>
      </c>
      <c r="P125" s="4" t="str">
        <f t="shared" si="4"/>
        <v>R1 - FIXOOFERTA 3</v>
      </c>
      <c r="Q125" s="4" t="s">
        <v>190</v>
      </c>
      <c r="R125" s="32" t="s">
        <v>111</v>
      </c>
      <c r="S125" s="40" t="s">
        <v>522</v>
      </c>
      <c r="T125" s="41">
        <v>5</v>
      </c>
      <c r="U125" s="41"/>
      <c r="V125" s="2"/>
    </row>
    <row r="126" spans="3:22" x14ac:dyDescent="0.25">
      <c r="C126" s="2"/>
      <c r="D126" s="2"/>
      <c r="E126" s="2"/>
      <c r="F126" s="2"/>
      <c r="G126" s="2"/>
      <c r="H126" s="2"/>
      <c r="I126" s="2"/>
      <c r="J126" s="50"/>
      <c r="K126" s="2"/>
      <c r="M126" s="2"/>
      <c r="N126" s="4" t="s">
        <v>491</v>
      </c>
      <c r="O126" s="4" t="s">
        <v>171</v>
      </c>
      <c r="P126" s="4" t="str">
        <f t="shared" si="4"/>
        <v>R2 - FIXOOFERTA 1</v>
      </c>
      <c r="Q126" s="4" t="s">
        <v>190</v>
      </c>
      <c r="R126" s="32" t="s">
        <v>111</v>
      </c>
      <c r="S126" s="40" t="s">
        <v>522</v>
      </c>
      <c r="T126" s="41">
        <v>5</v>
      </c>
      <c r="U126" s="41"/>
      <c r="V126" s="2"/>
    </row>
    <row r="127" spans="3:22" x14ac:dyDescent="0.25">
      <c r="C127" s="2"/>
      <c r="D127" s="2"/>
      <c r="E127" s="2"/>
      <c r="F127" s="2"/>
      <c r="G127" s="2"/>
      <c r="H127" s="2"/>
      <c r="I127" s="2"/>
      <c r="J127" s="50"/>
      <c r="K127" s="2"/>
      <c r="M127" s="2"/>
      <c r="N127" s="4" t="s">
        <v>491</v>
      </c>
      <c r="O127" s="4" t="s">
        <v>172</v>
      </c>
      <c r="P127" s="4" t="str">
        <f t="shared" si="4"/>
        <v>R2 - FIXOOFERTA 2</v>
      </c>
      <c r="Q127" s="4" t="s">
        <v>190</v>
      </c>
      <c r="R127" s="32" t="s">
        <v>111</v>
      </c>
      <c r="S127" s="40" t="s">
        <v>522</v>
      </c>
      <c r="T127" s="41">
        <v>5</v>
      </c>
      <c r="U127" s="41"/>
      <c r="V127" s="2"/>
    </row>
    <row r="128" spans="3:22" x14ac:dyDescent="0.25">
      <c r="C128" s="2"/>
      <c r="D128" s="2"/>
      <c r="E128" s="2"/>
      <c r="F128" s="2"/>
      <c r="G128" s="2"/>
      <c r="H128" s="2"/>
      <c r="I128" s="2"/>
      <c r="J128" s="50"/>
      <c r="K128" s="2"/>
      <c r="M128" s="2"/>
      <c r="N128" s="4" t="s">
        <v>491</v>
      </c>
      <c r="O128" s="4" t="s">
        <v>173</v>
      </c>
      <c r="P128" s="4" t="str">
        <f t="shared" si="4"/>
        <v>R2 - FIXOOFERTA 3</v>
      </c>
      <c r="Q128" s="4" t="s">
        <v>190</v>
      </c>
      <c r="R128" s="32" t="s">
        <v>111</v>
      </c>
      <c r="S128" s="40" t="s">
        <v>522</v>
      </c>
      <c r="T128" s="41">
        <v>5</v>
      </c>
      <c r="U128" s="41"/>
      <c r="V128" s="2"/>
    </row>
    <row r="129" spans="3:22" x14ac:dyDescent="0.25">
      <c r="C129" s="2"/>
      <c r="D129" s="2"/>
      <c r="E129" s="2"/>
      <c r="F129" s="2"/>
      <c r="G129" s="2"/>
      <c r="H129" s="2"/>
      <c r="I129" s="2"/>
      <c r="J129" s="50"/>
      <c r="K129" s="2"/>
      <c r="M129" s="2"/>
      <c r="N129" s="4" t="s">
        <v>170</v>
      </c>
      <c r="O129" s="4" t="s">
        <v>171</v>
      </c>
      <c r="P129" s="4" t="str">
        <f t="shared" si="4"/>
        <v>RETENÇÃO MÓVEL - SIMULADOROFERTA 1</v>
      </c>
      <c r="Q129" s="4" t="s">
        <v>191</v>
      </c>
      <c r="R129" s="32" t="s">
        <v>113</v>
      </c>
      <c r="S129" s="40" t="s">
        <v>522</v>
      </c>
      <c r="T129" s="41">
        <v>5</v>
      </c>
      <c r="U129" s="41"/>
      <c r="V129" s="2"/>
    </row>
    <row r="130" spans="3:22" x14ac:dyDescent="0.25">
      <c r="C130" s="2"/>
      <c r="D130" s="2"/>
      <c r="E130" s="2"/>
      <c r="F130" s="2"/>
      <c r="G130" s="2"/>
      <c r="H130" s="2"/>
      <c r="I130" s="2"/>
      <c r="J130" s="50"/>
      <c r="K130" s="2"/>
      <c r="M130" s="2"/>
      <c r="N130" s="4" t="s">
        <v>170</v>
      </c>
      <c r="O130" s="4" t="s">
        <v>172</v>
      </c>
      <c r="P130" s="4" t="str">
        <f t="shared" si="4"/>
        <v>RETENÇÃO MÓVEL - SIMULADOROFERTA 2</v>
      </c>
      <c r="Q130" s="4" t="s">
        <v>191</v>
      </c>
      <c r="R130" s="32" t="s">
        <v>113</v>
      </c>
      <c r="S130" s="40" t="s">
        <v>522</v>
      </c>
      <c r="T130" s="41">
        <v>5</v>
      </c>
      <c r="U130" s="41"/>
      <c r="V130" s="2"/>
    </row>
    <row r="131" spans="3:22" x14ac:dyDescent="0.25">
      <c r="C131" s="2"/>
      <c r="D131" s="2"/>
      <c r="E131" s="2"/>
      <c r="F131" s="2"/>
      <c r="G131" s="2"/>
      <c r="H131" s="2"/>
      <c r="I131" s="2"/>
      <c r="J131" s="50"/>
      <c r="K131" s="2"/>
      <c r="M131" s="2"/>
      <c r="N131" s="4" t="s">
        <v>170</v>
      </c>
      <c r="O131" s="4" t="s">
        <v>173</v>
      </c>
      <c r="P131" s="4" t="str">
        <f t="shared" si="4"/>
        <v>RETENÇÃO MÓVEL - SIMULADOROFERTA 3</v>
      </c>
      <c r="Q131" s="4" t="s">
        <v>191</v>
      </c>
      <c r="R131" s="32" t="s">
        <v>113</v>
      </c>
      <c r="S131" s="40" t="s">
        <v>522</v>
      </c>
      <c r="T131" s="41">
        <v>5</v>
      </c>
      <c r="U131" s="41"/>
      <c r="V131" s="2"/>
    </row>
    <row r="132" spans="3:22" x14ac:dyDescent="0.25">
      <c r="C132" s="2"/>
      <c r="D132" s="2"/>
      <c r="E132" s="2"/>
      <c r="F132" s="2"/>
      <c r="G132" s="2"/>
      <c r="H132" s="2"/>
      <c r="I132" s="2"/>
      <c r="J132" s="50"/>
      <c r="K132" s="2"/>
      <c r="M132" s="2"/>
      <c r="N132" s="4" t="s">
        <v>170</v>
      </c>
      <c r="O132" s="4" t="s">
        <v>174</v>
      </c>
      <c r="P132" s="4" t="str">
        <f t="shared" si="4"/>
        <v>RETENÇÃO MÓVEL - SIMULADOROFERTA 4</v>
      </c>
      <c r="Q132" s="4" t="s">
        <v>191</v>
      </c>
      <c r="R132" s="32" t="s">
        <v>113</v>
      </c>
      <c r="S132" s="40" t="s">
        <v>522</v>
      </c>
      <c r="T132" s="41">
        <v>5</v>
      </c>
      <c r="U132" s="41"/>
      <c r="V132" s="2"/>
    </row>
    <row r="133" spans="3:22" x14ac:dyDescent="0.25">
      <c r="C133" s="2"/>
      <c r="D133" s="2"/>
      <c r="E133" s="2"/>
      <c r="F133" s="2"/>
      <c r="G133" s="2"/>
      <c r="H133" s="2"/>
      <c r="I133" s="2"/>
      <c r="J133" s="50"/>
      <c r="K133" s="2"/>
      <c r="M133" s="2"/>
      <c r="N133" s="4" t="s">
        <v>168</v>
      </c>
      <c r="O133" s="4" t="s">
        <v>169</v>
      </c>
      <c r="P133" s="4" t="str">
        <f t="shared" ref="P133:P155" si="5">N133&amp;O133</f>
        <v>RETENCAO CONVERGENTEOFERTA FIXO + MOVEL OCT</v>
      </c>
      <c r="Q133" s="4" t="s">
        <v>191</v>
      </c>
      <c r="R133" s="32" t="s">
        <v>113</v>
      </c>
      <c r="S133" s="40" t="s">
        <v>522</v>
      </c>
      <c r="T133" s="41">
        <v>5</v>
      </c>
      <c r="U133" s="41"/>
      <c r="V133" s="2"/>
    </row>
    <row r="134" spans="3:22" x14ac:dyDescent="0.25">
      <c r="C134" s="2"/>
      <c r="D134" s="2"/>
      <c r="E134" s="2"/>
      <c r="F134" s="2"/>
      <c r="G134" s="2"/>
      <c r="H134" s="2"/>
      <c r="I134" s="2"/>
      <c r="J134" s="50"/>
      <c r="K134" s="2"/>
      <c r="M134" s="2"/>
      <c r="N134" s="4" t="s">
        <v>109</v>
      </c>
      <c r="O134" s="4" t="s">
        <v>112</v>
      </c>
      <c r="P134" s="4" t="str">
        <f t="shared" si="5"/>
        <v>Abrir OS MobilidadeMobilidade Renovação</v>
      </c>
      <c r="Q134" s="4" t="s">
        <v>191</v>
      </c>
      <c r="R134" s="32" t="s">
        <v>113</v>
      </c>
      <c r="S134" s="40" t="s">
        <v>522</v>
      </c>
      <c r="T134" s="41">
        <v>5</v>
      </c>
      <c r="U134" s="41"/>
      <c r="V134" s="2"/>
    </row>
    <row r="135" spans="3:22" x14ac:dyDescent="0.25">
      <c r="C135" s="2"/>
      <c r="D135" s="2"/>
      <c r="E135" s="2"/>
      <c r="F135" s="2"/>
      <c r="G135" s="2"/>
      <c r="H135" s="2"/>
      <c r="I135" s="2"/>
      <c r="J135" s="50"/>
      <c r="K135" s="2"/>
      <c r="M135" s="2"/>
      <c r="N135" s="4" t="s">
        <v>109</v>
      </c>
      <c r="O135" s="4" t="s">
        <v>110</v>
      </c>
      <c r="P135" s="4" t="str">
        <f t="shared" si="5"/>
        <v>Abrir OS MobilidadeMigração SAC</v>
      </c>
      <c r="Q135" s="4" t="s">
        <v>191</v>
      </c>
      <c r="R135" s="32" t="s">
        <v>113</v>
      </c>
      <c r="S135" s="40" t="s">
        <v>522</v>
      </c>
      <c r="T135" s="41">
        <v>5</v>
      </c>
      <c r="U135" s="41"/>
      <c r="V135" s="2"/>
    </row>
    <row r="136" spans="3:22" x14ac:dyDescent="0.25">
      <c r="C136" s="2"/>
      <c r="D136" s="2"/>
      <c r="E136" s="2"/>
      <c r="F136" s="2"/>
      <c r="G136" s="2"/>
      <c r="H136" s="2"/>
      <c r="I136" s="2"/>
      <c r="J136" s="50"/>
      <c r="K136" s="2"/>
      <c r="M136" s="2"/>
      <c r="N136" s="4" t="s">
        <v>109</v>
      </c>
      <c r="O136" s="4" t="s">
        <v>494</v>
      </c>
      <c r="P136" s="4" t="str">
        <f t="shared" si="5"/>
        <v>Abrir OS MobilidadeMobilidade Retenção</v>
      </c>
      <c r="Q136" s="4" t="s">
        <v>191</v>
      </c>
      <c r="R136" s="32" t="s">
        <v>113</v>
      </c>
      <c r="S136" s="40" t="s">
        <v>522</v>
      </c>
      <c r="T136" s="41">
        <v>5</v>
      </c>
      <c r="U136" s="41"/>
      <c r="V136" s="2"/>
    </row>
    <row r="137" spans="3:22" x14ac:dyDescent="0.25">
      <c r="C137" s="2"/>
      <c r="D137" s="2"/>
      <c r="E137" s="2"/>
      <c r="F137" s="2"/>
      <c r="G137" s="2"/>
      <c r="H137" s="2"/>
      <c r="I137" s="2"/>
      <c r="J137" s="50"/>
      <c r="K137" s="2"/>
      <c r="M137" s="2"/>
      <c r="N137" s="4" t="s">
        <v>178</v>
      </c>
      <c r="O137" s="4" t="s">
        <v>173</v>
      </c>
      <c r="P137" s="4" t="str">
        <f t="shared" si="5"/>
        <v>REVERSÃO R1OFERTA 3</v>
      </c>
      <c r="Q137" s="4" t="s">
        <v>190</v>
      </c>
      <c r="R137" s="32" t="s">
        <v>111</v>
      </c>
      <c r="S137" s="40" t="s">
        <v>522</v>
      </c>
      <c r="T137" s="41">
        <v>5</v>
      </c>
      <c r="U137" s="41"/>
      <c r="V137" s="2"/>
    </row>
    <row r="138" spans="3:22" x14ac:dyDescent="0.25">
      <c r="C138" s="2"/>
      <c r="D138" s="2"/>
      <c r="E138" s="2"/>
      <c r="F138" s="2"/>
      <c r="G138" s="2"/>
      <c r="H138" s="2"/>
      <c r="I138" s="2"/>
      <c r="J138" s="50"/>
      <c r="K138" s="2"/>
      <c r="M138" s="2"/>
      <c r="N138" s="4" t="s">
        <v>179</v>
      </c>
      <c r="O138" s="4" t="s">
        <v>173</v>
      </c>
      <c r="P138" s="4" t="str">
        <f t="shared" si="5"/>
        <v>REVERSÃO R2OFERTA 3</v>
      </c>
      <c r="Q138" s="4" t="s">
        <v>190</v>
      </c>
      <c r="R138" s="32" t="s">
        <v>111</v>
      </c>
      <c r="S138" s="40" t="s">
        <v>522</v>
      </c>
      <c r="T138" s="41">
        <v>5</v>
      </c>
      <c r="U138" s="41"/>
      <c r="V138" s="2"/>
    </row>
    <row r="139" spans="3:22" x14ac:dyDescent="0.25">
      <c r="C139" s="2"/>
      <c r="D139" s="2"/>
      <c r="E139" s="2"/>
      <c r="F139" s="2"/>
      <c r="G139" s="2"/>
      <c r="H139" s="2"/>
      <c r="I139" s="2"/>
      <c r="J139" s="50"/>
      <c r="K139" s="2"/>
      <c r="M139" s="2"/>
      <c r="N139" s="4" t="s">
        <v>116</v>
      </c>
      <c r="O139" s="4" t="s">
        <v>472</v>
      </c>
      <c r="P139" s="4" t="str">
        <f>N139&amp;O139</f>
        <v>INCLUSAO DE SUSPENSAO A PEDIDOBANDA LARGA</v>
      </c>
      <c r="Q139" s="4" t="s">
        <v>192</v>
      </c>
      <c r="R139" s="32" t="s">
        <v>115</v>
      </c>
      <c r="S139" s="40" t="s">
        <v>513</v>
      </c>
      <c r="T139" s="41">
        <v>1</v>
      </c>
      <c r="U139" s="41"/>
      <c r="V139" s="2"/>
    </row>
    <row r="140" spans="3:22" x14ac:dyDescent="0.25">
      <c r="C140" s="2"/>
      <c r="D140" s="2"/>
      <c r="E140" s="2"/>
      <c r="F140" s="2"/>
      <c r="G140" s="2"/>
      <c r="H140" s="2"/>
      <c r="I140" s="2"/>
      <c r="J140" s="50"/>
      <c r="K140" s="2"/>
      <c r="M140" s="2"/>
      <c r="N140" s="4" t="s">
        <v>495</v>
      </c>
      <c r="O140" s="4" t="s">
        <v>496</v>
      </c>
      <c r="P140" s="4" t="str">
        <f t="shared" si="5"/>
        <v>RETENÇÃO EMPRESARIALANEXO ACIMA DE 10 ACESSOS</v>
      </c>
      <c r="Q140" s="4" t="s">
        <v>492</v>
      </c>
      <c r="R140" s="32" t="s">
        <v>493</v>
      </c>
      <c r="S140" s="40" t="s">
        <v>513</v>
      </c>
      <c r="T140" s="41">
        <v>1</v>
      </c>
      <c r="U140" s="41"/>
      <c r="V140" s="2"/>
    </row>
    <row r="141" spans="3:22" x14ac:dyDescent="0.25">
      <c r="C141" s="2"/>
      <c r="D141" s="2"/>
      <c r="E141" s="2"/>
      <c r="F141" s="2"/>
      <c r="G141" s="2"/>
      <c r="H141" s="2"/>
      <c r="I141" s="2"/>
      <c r="J141" s="50"/>
      <c r="K141" s="2"/>
      <c r="M141" s="2"/>
      <c r="N141" s="4" t="s">
        <v>209</v>
      </c>
      <c r="O141" s="4" t="s">
        <v>171</v>
      </c>
      <c r="P141" s="4" t="str">
        <f t="shared" si="5"/>
        <v>ILHA DE MIGRAÇÃO MOVEL - SIMULOFERTA 1</v>
      </c>
      <c r="Q141" s="4" t="s">
        <v>191</v>
      </c>
      <c r="R141" s="32" t="s">
        <v>113</v>
      </c>
      <c r="S141" s="40" t="s">
        <v>522</v>
      </c>
      <c r="T141" s="41">
        <v>5</v>
      </c>
      <c r="U141" s="41"/>
      <c r="V141" s="2"/>
    </row>
    <row r="142" spans="3:22" x14ac:dyDescent="0.25">
      <c r="C142" s="2"/>
      <c r="D142" s="2"/>
      <c r="E142" s="2"/>
      <c r="F142" s="2"/>
      <c r="G142" s="2"/>
      <c r="H142" s="2"/>
      <c r="I142" s="2"/>
      <c r="J142" s="50"/>
      <c r="K142" s="2"/>
      <c r="M142" s="2"/>
      <c r="N142" s="4" t="s">
        <v>209</v>
      </c>
      <c r="O142" s="4" t="s">
        <v>173</v>
      </c>
      <c r="P142" s="4" t="str">
        <f t="shared" si="5"/>
        <v>ILHA DE MIGRAÇÃO MOVEL - SIMULOFERTA 3</v>
      </c>
      <c r="Q142" s="4" t="s">
        <v>191</v>
      </c>
      <c r="R142" s="32" t="s">
        <v>113</v>
      </c>
      <c r="S142" s="40" t="s">
        <v>522</v>
      </c>
      <c r="T142" s="41">
        <v>5</v>
      </c>
      <c r="U142" s="41"/>
      <c r="V142" s="2"/>
    </row>
    <row r="143" spans="3:22" x14ac:dyDescent="0.25">
      <c r="C143" s="2"/>
      <c r="D143" s="2"/>
      <c r="E143" s="2"/>
      <c r="F143" s="2"/>
      <c r="G143" s="2"/>
      <c r="H143" s="2"/>
      <c r="I143" s="2"/>
      <c r="J143" s="50"/>
      <c r="K143" s="2"/>
      <c r="M143" s="2"/>
      <c r="N143" s="4" t="s">
        <v>209</v>
      </c>
      <c r="O143" s="4" t="s">
        <v>172</v>
      </c>
      <c r="P143" s="4" t="str">
        <f t="shared" si="5"/>
        <v>ILHA DE MIGRAÇÃO MOVEL - SIMULOFERTA 2</v>
      </c>
      <c r="Q143" s="4" t="s">
        <v>191</v>
      </c>
      <c r="R143" s="32" t="s">
        <v>113</v>
      </c>
      <c r="S143" s="40" t="s">
        <v>522</v>
      </c>
      <c r="T143" s="41">
        <v>5</v>
      </c>
      <c r="U143" s="41"/>
      <c r="V143" s="2"/>
    </row>
    <row r="144" spans="3:22" x14ac:dyDescent="0.25">
      <c r="C144" s="2"/>
      <c r="D144" s="2"/>
      <c r="E144" s="2"/>
      <c r="F144" s="2"/>
      <c r="G144" s="2"/>
      <c r="H144" s="2"/>
      <c r="I144" s="2"/>
      <c r="J144" s="50"/>
      <c r="K144" s="2"/>
      <c r="M144" s="2"/>
      <c r="N144" s="4" t="s">
        <v>209</v>
      </c>
      <c r="O144" s="4" t="s">
        <v>174</v>
      </c>
      <c r="P144" s="4" t="str">
        <f t="shared" si="5"/>
        <v>ILHA DE MIGRAÇÃO MOVEL - SIMULOFERTA 4</v>
      </c>
      <c r="Q144" s="4" t="s">
        <v>191</v>
      </c>
      <c r="R144" s="32" t="s">
        <v>113</v>
      </c>
      <c r="S144" s="40" t="s">
        <v>522</v>
      </c>
      <c r="T144" s="41">
        <v>5</v>
      </c>
      <c r="U144" s="41"/>
      <c r="V144" s="2"/>
    </row>
    <row r="145" spans="3:22" x14ac:dyDescent="0.25">
      <c r="C145" s="2"/>
      <c r="D145" s="2"/>
      <c r="E145" s="2"/>
      <c r="F145" s="2"/>
      <c r="G145" s="2"/>
      <c r="H145" s="2"/>
      <c r="I145" s="2"/>
      <c r="J145" s="50"/>
      <c r="K145" s="2"/>
      <c r="M145" s="2"/>
      <c r="N145" s="30" t="s">
        <v>497</v>
      </c>
      <c r="O145" s="30" t="s">
        <v>498</v>
      </c>
      <c r="P145" s="30" t="str">
        <f t="shared" si="5"/>
        <v>MóvelInc Suspensão Pedido 60 dias</v>
      </c>
      <c r="Q145" s="30" t="s">
        <v>514</v>
      </c>
      <c r="R145" s="33" t="s">
        <v>510</v>
      </c>
      <c r="S145" s="40" t="s">
        <v>522</v>
      </c>
      <c r="T145" s="41">
        <v>1</v>
      </c>
      <c r="U145" s="41"/>
      <c r="V145" s="2"/>
    </row>
    <row r="146" spans="3:22" x14ac:dyDescent="0.25">
      <c r="C146" s="2"/>
      <c r="D146" s="2"/>
      <c r="E146" s="2"/>
      <c r="F146" s="2"/>
      <c r="G146" s="2"/>
      <c r="H146" s="2"/>
      <c r="I146" s="2"/>
      <c r="J146" s="50"/>
      <c r="K146" s="2"/>
      <c r="M146" s="2"/>
      <c r="N146" s="30" t="s">
        <v>497</v>
      </c>
      <c r="O146" s="30" t="s">
        <v>499</v>
      </c>
      <c r="P146" s="30" t="str">
        <f t="shared" si="5"/>
        <v>MóvelInc Suspensão Pedido 120 dias</v>
      </c>
      <c r="Q146" s="30" t="s">
        <v>514</v>
      </c>
      <c r="R146" s="33" t="s">
        <v>510</v>
      </c>
      <c r="S146" s="40" t="s">
        <v>522</v>
      </c>
      <c r="T146" s="41">
        <v>1</v>
      </c>
      <c r="U146" s="41"/>
      <c r="V146" s="2"/>
    </row>
    <row r="147" spans="3:22" x14ac:dyDescent="0.25">
      <c r="C147" s="2"/>
      <c r="D147" s="2"/>
      <c r="E147" s="2"/>
      <c r="F147" s="2"/>
      <c r="G147" s="2"/>
      <c r="H147" s="2"/>
      <c r="I147" s="2"/>
      <c r="J147" s="50"/>
      <c r="K147" s="2"/>
      <c r="M147" s="2"/>
      <c r="N147" s="30" t="s">
        <v>177</v>
      </c>
      <c r="O147" s="30" t="s">
        <v>119</v>
      </c>
      <c r="P147" s="30" t="str">
        <f>N147&amp;O147</f>
        <v>RETIRADA DE SUSPENSAO A PEDIDOMOVEL</v>
      </c>
      <c r="Q147" s="30" t="s">
        <v>514</v>
      </c>
      <c r="R147" s="33" t="s">
        <v>510</v>
      </c>
      <c r="S147" s="40" t="s">
        <v>522</v>
      </c>
      <c r="T147" s="41">
        <v>1</v>
      </c>
      <c r="U147" s="41"/>
      <c r="V147" s="2"/>
    </row>
    <row r="148" spans="3:22" x14ac:dyDescent="0.25">
      <c r="C148" s="2"/>
      <c r="D148" s="2"/>
      <c r="E148" s="2"/>
      <c r="F148" s="2"/>
      <c r="G148" s="2"/>
      <c r="H148" s="2"/>
      <c r="I148" s="2"/>
      <c r="J148" s="50"/>
      <c r="K148" s="2"/>
      <c r="M148" s="2"/>
      <c r="N148" s="30" t="s">
        <v>116</v>
      </c>
      <c r="O148" s="30" t="s">
        <v>119</v>
      </c>
      <c r="P148" s="30" t="str">
        <f t="shared" si="5"/>
        <v>INCLUSAO DE SUSPENSAO A PEDIDOMOVEL</v>
      </c>
      <c r="Q148" s="30" t="s">
        <v>514</v>
      </c>
      <c r="R148" s="33" t="s">
        <v>510</v>
      </c>
      <c r="S148" s="40" t="s">
        <v>522</v>
      </c>
      <c r="T148" s="41">
        <v>1</v>
      </c>
      <c r="U148" s="41"/>
      <c r="V148" s="2"/>
    </row>
    <row r="149" spans="3:22" x14ac:dyDescent="0.25">
      <c r="C149" s="2"/>
      <c r="D149" s="2"/>
      <c r="E149" s="2"/>
      <c r="F149" s="2"/>
      <c r="G149" s="2"/>
      <c r="H149" s="2"/>
      <c r="I149" s="2"/>
      <c r="J149" s="50"/>
      <c r="K149" s="2"/>
      <c r="M149" s="2"/>
      <c r="N149" s="4" t="s">
        <v>507</v>
      </c>
      <c r="O149" s="4" t="s">
        <v>508</v>
      </c>
      <c r="P149" s="4" t="str">
        <f t="shared" si="5"/>
        <v>DE AVERAGE EMP - CANCELAMENTOOI TOTAL/OCT - ISENCAO MULTA</v>
      </c>
      <c r="Q149" s="4" t="s">
        <v>515</v>
      </c>
      <c r="R149" s="32" t="s">
        <v>505</v>
      </c>
      <c r="S149" s="40" t="s">
        <v>522</v>
      </c>
      <c r="T149" s="41">
        <v>1</v>
      </c>
      <c r="U149" s="41" t="s">
        <v>524</v>
      </c>
      <c r="V149" s="2"/>
    </row>
    <row r="150" spans="3:22" x14ac:dyDescent="0.25">
      <c r="C150" s="2"/>
      <c r="D150" s="2"/>
      <c r="E150" s="2"/>
      <c r="F150" s="2"/>
      <c r="G150" s="2"/>
      <c r="H150" s="2"/>
      <c r="I150" s="2"/>
      <c r="J150" s="50"/>
      <c r="K150" s="2"/>
      <c r="M150" s="2"/>
      <c r="N150" s="4" t="s">
        <v>507</v>
      </c>
      <c r="O150" s="4" t="s">
        <v>509</v>
      </c>
      <c r="P150" s="4" t="str">
        <f t="shared" si="5"/>
        <v>DE AVERAGE EMP - CANCELAMENTOFIXO/VELOX - ISENCAO MULTA</v>
      </c>
      <c r="Q150" s="4" t="s">
        <v>515</v>
      </c>
      <c r="R150" s="32" t="s">
        <v>505</v>
      </c>
      <c r="S150" s="40" t="s">
        <v>522</v>
      </c>
      <c r="T150" s="41">
        <v>1</v>
      </c>
      <c r="U150" s="41" t="s">
        <v>524</v>
      </c>
      <c r="V150" s="2"/>
    </row>
    <row r="151" spans="3:22" x14ac:dyDescent="0.25">
      <c r="C151" s="2"/>
      <c r="D151" s="2"/>
      <c r="E151" s="2"/>
      <c r="F151" s="2"/>
      <c r="G151" s="2"/>
      <c r="H151" s="2"/>
      <c r="I151" s="2"/>
      <c r="J151" s="50"/>
      <c r="K151" s="2"/>
      <c r="M151" s="2"/>
      <c r="N151" s="4" t="s">
        <v>149</v>
      </c>
      <c r="O151" s="4" t="s">
        <v>516</v>
      </c>
      <c r="P151" s="4" t="str">
        <f t="shared" si="5"/>
        <v>RET OI TOTAL EMPRESARIALMIGRAÇÃO_OITOTAL_FTTH</v>
      </c>
      <c r="Q151" s="4" t="s">
        <v>207</v>
      </c>
      <c r="R151" s="32" t="s">
        <v>200</v>
      </c>
      <c r="S151" s="40" t="s">
        <v>522</v>
      </c>
      <c r="T151" s="41">
        <v>5</v>
      </c>
      <c r="U151" s="41" t="s">
        <v>523</v>
      </c>
      <c r="V151" s="2"/>
    </row>
    <row r="152" spans="3:22" x14ac:dyDescent="0.25">
      <c r="C152" s="2"/>
      <c r="D152" s="2"/>
      <c r="E152" s="2"/>
      <c r="F152" s="2"/>
      <c r="G152" s="2"/>
      <c r="H152" s="2"/>
      <c r="I152" s="2"/>
      <c r="J152" s="50"/>
      <c r="K152" s="2"/>
      <c r="M152" s="2"/>
      <c r="N152" s="4" t="s">
        <v>527</v>
      </c>
      <c r="O152" s="4" t="s">
        <v>203</v>
      </c>
      <c r="P152" s="4" t="str">
        <f t="shared" si="5"/>
        <v>Cobrança Fibra EMPMigração Cobre Fibra</v>
      </c>
      <c r="Q152" s="37" t="s">
        <v>530</v>
      </c>
      <c r="R152" s="42" t="s">
        <v>532</v>
      </c>
      <c r="S152" s="43" t="s">
        <v>531</v>
      </c>
      <c r="T152" s="44" t="s">
        <v>344</v>
      </c>
      <c r="U152" s="44" t="s">
        <v>344</v>
      </c>
      <c r="V152" s="2"/>
    </row>
    <row r="153" spans="3:22" x14ac:dyDescent="0.25">
      <c r="C153" s="2"/>
      <c r="D153" s="2"/>
      <c r="E153" s="2"/>
      <c r="F153" s="2"/>
      <c r="G153" s="2"/>
      <c r="H153" s="2"/>
      <c r="I153" s="2"/>
      <c r="J153" s="50"/>
      <c r="K153" s="2"/>
      <c r="M153" s="2"/>
      <c r="N153" s="4" t="s">
        <v>527</v>
      </c>
      <c r="O153" s="4" t="s">
        <v>528</v>
      </c>
      <c r="P153" s="4" t="str">
        <f t="shared" si="5"/>
        <v>Cobrança Fibra EMPMigração Cobre Fibra OIT</v>
      </c>
      <c r="Q153" s="37" t="s">
        <v>530</v>
      </c>
      <c r="R153" s="42" t="s">
        <v>532</v>
      </c>
      <c r="S153" s="43" t="s">
        <v>531</v>
      </c>
      <c r="T153" s="44" t="s">
        <v>344</v>
      </c>
      <c r="U153" s="44" t="s">
        <v>344</v>
      </c>
      <c r="V153" s="2"/>
    </row>
    <row r="154" spans="3:22" x14ac:dyDescent="0.25">
      <c r="C154" s="2"/>
      <c r="D154" s="2"/>
      <c r="E154" s="2"/>
      <c r="F154" s="2"/>
      <c r="G154" s="2"/>
      <c r="H154" s="2"/>
      <c r="I154" s="2"/>
      <c r="J154" s="50"/>
      <c r="K154" s="2"/>
      <c r="M154" s="2"/>
      <c r="N154" s="4" t="s">
        <v>527</v>
      </c>
      <c r="O154" s="4" t="s">
        <v>206</v>
      </c>
      <c r="P154" s="4" t="str">
        <f t="shared" si="5"/>
        <v>Cobrança Fibra EMPMigração Fibra Fibra</v>
      </c>
      <c r="Q154" s="37" t="s">
        <v>530</v>
      </c>
      <c r="R154" s="42" t="s">
        <v>532</v>
      </c>
      <c r="S154" s="43" t="s">
        <v>531</v>
      </c>
      <c r="T154" s="44" t="s">
        <v>344</v>
      </c>
      <c r="U154" s="44" t="s">
        <v>344</v>
      </c>
      <c r="V154" s="2"/>
    </row>
    <row r="155" spans="3:22" x14ac:dyDescent="0.25">
      <c r="C155" s="2"/>
      <c r="D155" s="2"/>
      <c r="E155" s="2"/>
      <c r="F155" s="2"/>
      <c r="G155" s="2"/>
      <c r="H155" s="2"/>
      <c r="I155" s="2"/>
      <c r="J155" s="50"/>
      <c r="K155" s="2"/>
      <c r="M155" s="2"/>
      <c r="N155" s="4" t="s">
        <v>527</v>
      </c>
      <c r="O155" s="4" t="s">
        <v>529</v>
      </c>
      <c r="P155" s="4" t="str">
        <f t="shared" si="5"/>
        <v>Cobrança Fibra EMPMigração Fibra Fibra OIT</v>
      </c>
      <c r="Q155" s="37" t="s">
        <v>530</v>
      </c>
      <c r="R155" s="42" t="s">
        <v>532</v>
      </c>
      <c r="S155" s="43" t="s">
        <v>531</v>
      </c>
      <c r="T155" s="44" t="s">
        <v>344</v>
      </c>
      <c r="U155" s="44" t="s">
        <v>344</v>
      </c>
      <c r="V155" s="2"/>
    </row>
    <row r="156" spans="3:22" x14ac:dyDescent="0.25">
      <c r="C156" s="2"/>
      <c r="D156" s="2"/>
      <c r="E156" s="2"/>
      <c r="F156" s="2"/>
      <c r="G156" s="2"/>
      <c r="H156" s="2"/>
      <c r="I156" s="2"/>
      <c r="J156" s="50"/>
      <c r="K156" s="2"/>
      <c r="M156" s="2"/>
      <c r="N156" s="2"/>
      <c r="O156" s="2"/>
      <c r="P156" s="2"/>
      <c r="Q156" s="2"/>
      <c r="R156" s="2"/>
      <c r="T156" s="39"/>
      <c r="U156" s="39"/>
      <c r="V156" s="2"/>
    </row>
  </sheetData>
  <conditionalFormatting sqref="P4:P147">
    <cfRule type="duplicateValues" dxfId="14" priority="3"/>
  </conditionalFormatting>
  <conditionalFormatting sqref="P148">
    <cfRule type="duplicateValues" dxfId="13" priority="2"/>
  </conditionalFormatting>
  <conditionalFormatting sqref="P149:P155">
    <cfRule type="duplicateValues" dxfId="12" priority="1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40"/>
  <sheetViews>
    <sheetView workbookViewId="0">
      <selection activeCell="O2" sqref="O2"/>
    </sheetView>
  </sheetViews>
  <sheetFormatPr defaultRowHeight="15" x14ac:dyDescent="0.25"/>
  <cols>
    <col min="7" max="7" width="18.85546875" bestFit="1" customWidth="1"/>
    <col min="8" max="8" width="54.85546875" bestFit="1" customWidth="1"/>
    <col min="10" max="10" width="19.42578125" customWidth="1"/>
    <col min="11" max="11" width="65.5703125" customWidth="1"/>
    <col min="12" max="12" width="37" customWidth="1"/>
    <col min="14" max="14" width="11.7109375" customWidth="1"/>
    <col min="15" max="15" width="10.85546875" customWidth="1"/>
  </cols>
  <sheetData>
    <row r="1" spans="3:15" x14ac:dyDescent="0.25">
      <c r="C1" s="60" t="s">
        <v>1</v>
      </c>
      <c r="D1" s="61"/>
      <c r="E1" s="61"/>
      <c r="F1" s="2"/>
      <c r="G1" s="58" t="s">
        <v>270</v>
      </c>
      <c r="H1" s="58"/>
      <c r="I1" s="2"/>
      <c r="J1" s="8" t="s">
        <v>282</v>
      </c>
      <c r="K1" s="8" t="s">
        <v>281</v>
      </c>
      <c r="L1" s="8" t="s">
        <v>280</v>
      </c>
      <c r="N1" s="29" t="s">
        <v>481</v>
      </c>
      <c r="O1" s="29" t="s">
        <v>488</v>
      </c>
    </row>
    <row r="2" spans="3:15" x14ac:dyDescent="0.25">
      <c r="C2" s="62" t="e">
        <f>Gerador!#REF!</f>
        <v>#REF!</v>
      </c>
      <c r="D2" s="63"/>
      <c r="E2" s="63"/>
      <c r="F2" s="2"/>
      <c r="G2" s="2" t="s">
        <v>271</v>
      </c>
      <c r="H2" s="2" t="str">
        <f>$H$5</f>
        <v>\\naspc31\bo_oct$\02_Staff\BO_MACRO\Empresarial\</v>
      </c>
      <c r="I2" s="2"/>
      <c r="J2" s="3" t="s">
        <v>237</v>
      </c>
      <c r="K2" s="1" t="s">
        <v>0</v>
      </c>
      <c r="L2" t="s">
        <v>240</v>
      </c>
    </row>
    <row r="3" spans="3:15" x14ac:dyDescent="0.25">
      <c r="C3" s="60" t="s">
        <v>2</v>
      </c>
      <c r="D3" s="61"/>
      <c r="E3" s="61"/>
      <c r="F3" s="2"/>
      <c r="G3" s="2" t="s">
        <v>272</v>
      </c>
      <c r="H3" s="2" t="str">
        <f>$H$5&amp;"Extração\"</f>
        <v>\\naspc31\bo_oct$\02_Staff\BO_MACRO\Empresarial\Extração\</v>
      </c>
      <c r="I3" s="2"/>
      <c r="J3" s="3" t="s">
        <v>238</v>
      </c>
      <c r="K3" s="9" t="s">
        <v>269</v>
      </c>
      <c r="L3" t="s">
        <v>241</v>
      </c>
    </row>
    <row r="4" spans="3:15" x14ac:dyDescent="0.25">
      <c r="C4" s="2"/>
      <c r="D4" s="2"/>
      <c r="E4" s="2"/>
      <c r="F4" s="2"/>
      <c r="G4" s="2" t="s">
        <v>273</v>
      </c>
      <c r="H4" s="2" t="str">
        <f>$H$5&amp;"Distribuição\"</f>
        <v>\\naspc31\bo_oct$\02_Staff\BO_MACRO\Empresarial\Distribuição\</v>
      </c>
      <c r="I4" s="2"/>
      <c r="J4" s="7" t="s">
        <v>258</v>
      </c>
      <c r="K4" s="1" t="s">
        <v>217</v>
      </c>
      <c r="L4" t="s">
        <v>242</v>
      </c>
    </row>
    <row r="5" spans="3:15" x14ac:dyDescent="0.25">
      <c r="C5" s="2"/>
      <c r="D5" s="2"/>
      <c r="E5" s="2"/>
      <c r="F5" s="2"/>
      <c r="G5" s="21" t="s">
        <v>421</v>
      </c>
      <c r="H5" s="22" t="s">
        <v>422</v>
      </c>
      <c r="I5" s="2"/>
      <c r="J5" s="7" t="s">
        <v>259</v>
      </c>
      <c r="K5" s="1" t="s">
        <v>225</v>
      </c>
      <c r="L5" t="s">
        <v>243</v>
      </c>
    </row>
    <row r="6" spans="3:15" x14ac:dyDescent="0.25">
      <c r="C6" s="2"/>
      <c r="D6" s="2"/>
      <c r="E6" s="2"/>
      <c r="F6" s="2"/>
      <c r="G6" s="2"/>
      <c r="H6" s="2"/>
      <c r="I6" s="2"/>
      <c r="J6" s="7" t="s">
        <v>263</v>
      </c>
      <c r="K6" s="1" t="s">
        <v>213</v>
      </c>
      <c r="L6" t="s">
        <v>244</v>
      </c>
    </row>
    <row r="7" spans="3:15" x14ac:dyDescent="0.25">
      <c r="C7" s="2"/>
      <c r="D7" s="2"/>
      <c r="E7" s="2"/>
      <c r="F7" s="2"/>
      <c r="G7" s="2"/>
      <c r="H7" s="2"/>
      <c r="I7" s="2"/>
      <c r="J7" s="7" t="s">
        <v>264</v>
      </c>
      <c r="K7" s="1" t="s">
        <v>221</v>
      </c>
      <c r="L7" t="s">
        <v>245</v>
      </c>
    </row>
    <row r="8" spans="3:15" x14ac:dyDescent="0.25">
      <c r="C8" s="2"/>
      <c r="D8" s="2"/>
      <c r="E8" s="2"/>
      <c r="F8" s="2"/>
      <c r="G8" s="2"/>
      <c r="H8" s="2"/>
      <c r="I8" s="2"/>
      <c r="J8" s="7" t="s">
        <v>265</v>
      </c>
      <c r="K8" s="1" t="s">
        <v>212</v>
      </c>
      <c r="L8" t="s">
        <v>246</v>
      </c>
    </row>
    <row r="9" spans="3:15" x14ac:dyDescent="0.25">
      <c r="C9" s="2"/>
      <c r="D9" s="2"/>
      <c r="E9" s="2"/>
      <c r="F9" s="2"/>
      <c r="G9" s="58" t="s">
        <v>274</v>
      </c>
      <c r="H9" s="58"/>
      <c r="I9" s="2"/>
      <c r="J9" s="7" t="s">
        <v>266</v>
      </c>
      <c r="K9" s="1" t="s">
        <v>220</v>
      </c>
      <c r="L9" t="s">
        <v>247</v>
      </c>
    </row>
    <row r="10" spans="3:15" x14ac:dyDescent="0.25">
      <c r="C10" s="2"/>
      <c r="D10" s="2"/>
      <c r="E10" s="2"/>
      <c r="F10" s="2"/>
      <c r="G10" s="2" t="s">
        <v>275</v>
      </c>
      <c r="H10" s="2" t="str">
        <f>"Visão de Backlog - Empresarial"&amp;$O$1&amp;".xlsb"</f>
        <v>Visão de Backlog - EmpresarialAuto.xlsb</v>
      </c>
      <c r="I10" s="2"/>
      <c r="J10" s="3" t="s">
        <v>6</v>
      </c>
      <c r="K10" s="1" t="s">
        <v>7</v>
      </c>
      <c r="L10" t="s">
        <v>248</v>
      </c>
    </row>
    <row r="11" spans="3:15" x14ac:dyDescent="0.25">
      <c r="C11" s="2"/>
      <c r="D11" s="2"/>
      <c r="E11" s="2"/>
      <c r="F11" s="2"/>
      <c r="G11" s="2" t="s">
        <v>486</v>
      </c>
      <c r="H11" s="2" t="s">
        <v>487</v>
      </c>
      <c r="I11" s="2"/>
      <c r="J11" s="3" t="s">
        <v>231</v>
      </c>
      <c r="K11" s="1" t="s">
        <v>233</v>
      </c>
      <c r="L11" t="s">
        <v>249</v>
      </c>
    </row>
    <row r="12" spans="3:15" x14ac:dyDescent="0.25">
      <c r="C12" s="2"/>
      <c r="D12" s="2"/>
      <c r="E12" s="2"/>
      <c r="F12" s="2"/>
      <c r="G12" s="2"/>
      <c r="H12" s="2"/>
      <c r="I12" s="2"/>
      <c r="J12" s="3" t="s">
        <v>239</v>
      </c>
      <c r="K12" s="9" t="s">
        <v>3</v>
      </c>
      <c r="L12" t="s">
        <v>250</v>
      </c>
    </row>
    <row r="13" spans="3:15" x14ac:dyDescent="0.25">
      <c r="C13" s="2"/>
      <c r="D13" s="2"/>
      <c r="E13" s="2"/>
      <c r="F13" s="2"/>
      <c r="G13" s="2"/>
      <c r="H13" s="2"/>
      <c r="I13" s="2"/>
      <c r="J13" s="3" t="s">
        <v>4</v>
      </c>
      <c r="K13" s="1" t="s">
        <v>5</v>
      </c>
      <c r="L13" t="s">
        <v>251</v>
      </c>
    </row>
    <row r="14" spans="3:15" x14ac:dyDescent="0.25">
      <c r="C14" s="2"/>
      <c r="D14" s="2"/>
      <c r="E14" s="2"/>
      <c r="F14" s="2"/>
      <c r="G14" s="2"/>
      <c r="H14" s="2"/>
      <c r="I14" s="2"/>
      <c r="J14" s="3" t="s">
        <v>272</v>
      </c>
      <c r="K14" s="1" t="s">
        <v>232</v>
      </c>
      <c r="L14" t="s">
        <v>252</v>
      </c>
    </row>
    <row r="15" spans="3:15" x14ac:dyDescent="0.25">
      <c r="C15" s="2"/>
      <c r="D15" s="2"/>
      <c r="E15" s="2"/>
      <c r="F15" s="2"/>
      <c r="G15" s="2"/>
      <c r="H15" s="2"/>
      <c r="I15" s="2"/>
      <c r="J15" s="7" t="s">
        <v>267</v>
      </c>
      <c r="K15" s="1" t="s">
        <v>215</v>
      </c>
      <c r="L15" t="s">
        <v>253</v>
      </c>
    </row>
    <row r="16" spans="3:15" x14ac:dyDescent="0.25">
      <c r="C16" s="2"/>
      <c r="D16" s="2"/>
      <c r="E16" s="2"/>
      <c r="F16" s="2"/>
      <c r="G16" s="2"/>
      <c r="H16" s="2"/>
      <c r="I16" s="2"/>
      <c r="J16" s="7" t="s">
        <v>268</v>
      </c>
      <c r="K16" s="1" t="s">
        <v>223</v>
      </c>
      <c r="L16" t="s">
        <v>254</v>
      </c>
    </row>
    <row r="17" spans="1:12" x14ac:dyDescent="0.25">
      <c r="C17" s="2"/>
      <c r="D17" s="2"/>
      <c r="E17" s="2"/>
      <c r="F17" s="2"/>
      <c r="G17" s="2"/>
      <c r="H17" s="2"/>
      <c r="I17" s="2"/>
      <c r="J17" s="7" t="s">
        <v>276</v>
      </c>
      <c r="K17" s="1" t="s">
        <v>216</v>
      </c>
      <c r="L17" t="s">
        <v>255</v>
      </c>
    </row>
    <row r="18" spans="1:12" x14ac:dyDescent="0.25">
      <c r="C18" s="2"/>
      <c r="D18" s="2"/>
      <c r="E18" s="2"/>
      <c r="F18" s="2"/>
      <c r="G18" s="2"/>
      <c r="H18" s="2"/>
      <c r="I18" s="2"/>
      <c r="J18" s="7" t="s">
        <v>277</v>
      </c>
      <c r="K18" s="1" t="s">
        <v>224</v>
      </c>
      <c r="L18" t="s">
        <v>256</v>
      </c>
    </row>
    <row r="19" spans="1:12" x14ac:dyDescent="0.25">
      <c r="C19" s="2"/>
      <c r="D19" s="2"/>
      <c r="E19" s="2"/>
      <c r="F19" s="2"/>
      <c r="G19" s="2"/>
      <c r="H19" s="2"/>
      <c r="I19" s="2"/>
      <c r="J19" s="7" t="s">
        <v>278</v>
      </c>
      <c r="K19" s="1" t="s">
        <v>211</v>
      </c>
      <c r="L19" t="s">
        <v>260</v>
      </c>
    </row>
    <row r="20" spans="1:12" x14ac:dyDescent="0.25">
      <c r="C20" s="2"/>
      <c r="D20" s="2"/>
      <c r="E20" s="2"/>
      <c r="F20" s="2"/>
      <c r="G20" s="2"/>
      <c r="H20" s="2"/>
      <c r="I20" s="2"/>
      <c r="J20" s="7" t="s">
        <v>279</v>
      </c>
      <c r="K20" s="1" t="s">
        <v>219</v>
      </c>
      <c r="L20" t="s">
        <v>261</v>
      </c>
    </row>
    <row r="21" spans="1:12" x14ac:dyDescent="0.25">
      <c r="C21" s="2"/>
      <c r="D21" s="2"/>
      <c r="E21" s="2"/>
      <c r="F21" s="2"/>
      <c r="G21" s="2"/>
      <c r="H21" s="2"/>
      <c r="I21" s="2"/>
      <c r="J21" s="3" t="s">
        <v>262</v>
      </c>
      <c r="K21" s="9" t="s">
        <v>283</v>
      </c>
      <c r="L21" t="s">
        <v>257</v>
      </c>
    </row>
    <row r="22" spans="1:12" x14ac:dyDescent="0.25">
      <c r="C22" s="2"/>
      <c r="D22" s="2"/>
      <c r="E22" s="2"/>
      <c r="F22" s="2"/>
      <c r="G22" s="2"/>
      <c r="H22" s="2"/>
      <c r="I22" s="2"/>
      <c r="J22" s="26" t="s">
        <v>473</v>
      </c>
      <c r="K22" s="27" t="s">
        <v>214</v>
      </c>
      <c r="L22" s="28" t="s">
        <v>474</v>
      </c>
    </row>
    <row r="23" spans="1:12" x14ac:dyDescent="0.25">
      <c r="A23" t="s">
        <v>482</v>
      </c>
      <c r="C23" s="2"/>
      <c r="D23" s="2"/>
      <c r="E23" s="2"/>
      <c r="F23" s="2"/>
      <c r="G23" s="2"/>
      <c r="H23" s="2"/>
      <c r="I23" s="2"/>
      <c r="J23" s="26" t="s">
        <v>475</v>
      </c>
      <c r="K23" s="27" t="s">
        <v>222</v>
      </c>
      <c r="L23" s="28" t="s">
        <v>476</v>
      </c>
    </row>
    <row r="24" spans="1:12" x14ac:dyDescent="0.25">
      <c r="A24" t="s">
        <v>420</v>
      </c>
      <c r="C24" s="2"/>
      <c r="D24" s="2"/>
      <c r="E24" s="2"/>
      <c r="F24" s="2"/>
      <c r="G24" s="2"/>
      <c r="H24" s="2"/>
      <c r="I24" s="2"/>
      <c r="J24" s="26" t="s">
        <v>477</v>
      </c>
      <c r="K24" s="27" t="s">
        <v>210</v>
      </c>
      <c r="L24" s="28" t="s">
        <v>478</v>
      </c>
    </row>
    <row r="25" spans="1:12" x14ac:dyDescent="0.25">
      <c r="A25" t="s">
        <v>483</v>
      </c>
      <c r="C25" s="2"/>
      <c r="D25" s="2"/>
      <c r="E25" s="2"/>
      <c r="F25" s="2"/>
      <c r="G25" s="2"/>
      <c r="H25" s="2"/>
      <c r="I25" s="2"/>
      <c r="J25" s="26" t="s">
        <v>479</v>
      </c>
      <c r="K25" s="27" t="s">
        <v>218</v>
      </c>
      <c r="L25" s="28" t="s">
        <v>480</v>
      </c>
    </row>
    <row r="26" spans="1:12" x14ac:dyDescent="0.25">
      <c r="A26" t="s">
        <v>484</v>
      </c>
      <c r="C26" s="2"/>
      <c r="D26" s="2"/>
      <c r="E26" s="2"/>
      <c r="F26" s="2"/>
      <c r="G26" s="2"/>
      <c r="H26" s="2"/>
      <c r="I26" s="2"/>
    </row>
    <row r="27" spans="1:12" x14ac:dyDescent="0.25">
      <c r="A27" t="s">
        <v>485</v>
      </c>
      <c r="C27" s="2"/>
      <c r="D27" s="2"/>
      <c r="E27" s="2"/>
      <c r="F27" s="2"/>
      <c r="G27" s="2"/>
      <c r="H27" s="2"/>
      <c r="I27" s="2"/>
    </row>
    <row r="28" spans="1:12" x14ac:dyDescent="0.25">
      <c r="C28" s="2"/>
      <c r="D28" s="2"/>
      <c r="E28" s="2"/>
      <c r="F28" s="2"/>
      <c r="G28" s="2"/>
      <c r="H28" s="2"/>
      <c r="I28" s="2"/>
    </row>
    <row r="29" spans="1:12" x14ac:dyDescent="0.25">
      <c r="C29" s="2"/>
      <c r="D29" s="2"/>
      <c r="E29" s="2"/>
      <c r="F29" s="2"/>
      <c r="G29" s="2"/>
      <c r="H29" s="2"/>
      <c r="I29" s="2"/>
    </row>
    <row r="30" spans="1:12" x14ac:dyDescent="0.25">
      <c r="C30" s="2"/>
      <c r="D30" s="2"/>
      <c r="E30" s="2"/>
      <c r="F30" s="2"/>
      <c r="G30" s="2"/>
      <c r="H30" s="2"/>
      <c r="I30" s="2"/>
    </row>
    <row r="31" spans="1:12" x14ac:dyDescent="0.25">
      <c r="C31" s="2"/>
      <c r="D31" s="2"/>
      <c r="E31" s="2"/>
      <c r="F31" s="2"/>
      <c r="G31" s="2"/>
      <c r="H31" s="2"/>
      <c r="I31" s="2"/>
    </row>
    <row r="32" spans="1:12" x14ac:dyDescent="0.25">
      <c r="C32" s="2"/>
      <c r="D32" s="2"/>
      <c r="E32" s="2"/>
      <c r="F32" s="2"/>
      <c r="G32" s="2"/>
      <c r="H32" s="2"/>
      <c r="I32" s="2"/>
    </row>
    <row r="33" spans="3:9" x14ac:dyDescent="0.25">
      <c r="C33" s="2"/>
      <c r="D33" s="2"/>
      <c r="E33" s="2"/>
      <c r="F33" s="2"/>
      <c r="G33" s="2"/>
      <c r="H33" s="2"/>
      <c r="I33" s="2"/>
    </row>
    <row r="34" spans="3:9" x14ac:dyDescent="0.25">
      <c r="C34" s="2"/>
      <c r="D34" s="2"/>
      <c r="E34" s="2"/>
      <c r="F34" s="2"/>
      <c r="G34" s="2"/>
      <c r="H34" s="2"/>
      <c r="I34" s="2"/>
    </row>
    <row r="35" spans="3:9" x14ac:dyDescent="0.25">
      <c r="C35" s="2"/>
      <c r="D35" s="2"/>
      <c r="E35" s="2"/>
      <c r="F35" s="2"/>
      <c r="G35" s="2"/>
      <c r="H35" s="2"/>
      <c r="I35" s="2"/>
    </row>
    <row r="36" spans="3:9" x14ac:dyDescent="0.25">
      <c r="C36" s="2"/>
      <c r="D36" s="2"/>
      <c r="E36" s="2"/>
      <c r="F36" s="2"/>
      <c r="G36" s="2"/>
      <c r="H36" s="2"/>
      <c r="I36" s="2"/>
    </row>
    <row r="37" spans="3:9" x14ac:dyDescent="0.25">
      <c r="C37" s="2"/>
      <c r="D37" s="2"/>
      <c r="E37" s="2"/>
      <c r="F37" s="2"/>
      <c r="G37" s="2"/>
      <c r="H37" s="2"/>
      <c r="I37" s="2"/>
    </row>
    <row r="38" spans="3:9" x14ac:dyDescent="0.25">
      <c r="C38" s="2"/>
      <c r="D38" s="2"/>
      <c r="E38" s="2"/>
      <c r="F38" s="2"/>
      <c r="G38" s="2"/>
      <c r="H38" s="2"/>
      <c r="I38" s="2"/>
    </row>
    <row r="39" spans="3:9" x14ac:dyDescent="0.25">
      <c r="C39" s="2"/>
      <c r="D39" s="2"/>
      <c r="E39" s="2"/>
      <c r="F39" s="2"/>
      <c r="G39" s="2"/>
      <c r="H39" s="2"/>
      <c r="I39" s="2"/>
    </row>
    <row r="40" spans="3:9" x14ac:dyDescent="0.25">
      <c r="C40" s="2"/>
      <c r="D40" s="2"/>
      <c r="E40" s="2"/>
      <c r="F40" s="2"/>
      <c r="G40" s="2"/>
      <c r="H40" s="2"/>
      <c r="I40" s="2"/>
    </row>
  </sheetData>
  <mergeCells count="5">
    <mergeCell ref="G9:H9"/>
    <mergeCell ref="C1:E1"/>
    <mergeCell ref="G1:H1"/>
    <mergeCell ref="C2:E2"/>
    <mergeCell ref="C3:E3"/>
  </mergeCells>
  <conditionalFormatting sqref="K47:K1048576 K1:K21">
    <cfRule type="duplicateValues" dxfId="11" priority="8"/>
  </conditionalFormatting>
  <conditionalFormatting sqref="L1:L21 L47:L1048576">
    <cfRule type="duplicateValues" dxfId="10" priority="7"/>
  </conditionalFormatting>
  <conditionalFormatting sqref="L22">
    <cfRule type="duplicateValues" dxfId="9" priority="6"/>
  </conditionalFormatting>
  <conditionalFormatting sqref="L23">
    <cfRule type="duplicateValues" dxfId="8" priority="5"/>
  </conditionalFormatting>
  <conditionalFormatting sqref="L24">
    <cfRule type="duplicateValues" dxfId="7" priority="4"/>
  </conditionalFormatting>
  <conditionalFormatting sqref="L25">
    <cfRule type="duplicateValues" dxfId="6" priority="3"/>
  </conditionalFormatting>
  <conditionalFormatting sqref="K22:K23">
    <cfRule type="duplicateValues" dxfId="5" priority="2"/>
  </conditionalFormatting>
  <conditionalFormatting sqref="K24:K25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C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sao_Backlog.Visao_Backlog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66675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57"/>
  <sheetViews>
    <sheetView zoomScale="85" zoomScaleNormal="85" workbookViewId="0"/>
  </sheetViews>
  <sheetFormatPr defaultRowHeight="15" x14ac:dyDescent="0.25"/>
  <cols>
    <col min="1" max="1" width="29.42578125" bestFit="1" customWidth="1"/>
    <col min="2" max="2" width="14.140625" customWidth="1"/>
    <col min="3" max="3" width="84" bestFit="1" customWidth="1"/>
    <col min="5" max="5" width="25.7109375" bestFit="1" customWidth="1"/>
  </cols>
  <sheetData>
    <row r="1" spans="1:60" x14ac:dyDescent="0.25">
      <c r="A1" s="12" t="s">
        <v>413</v>
      </c>
      <c r="B1" s="12" t="s">
        <v>414</v>
      </c>
      <c r="C1" s="13" t="s">
        <v>303</v>
      </c>
      <c r="E1" s="24" t="s">
        <v>525</v>
      </c>
      <c r="F1" s="24" t="s">
        <v>423</v>
      </c>
    </row>
    <row r="2" spans="1:60" x14ac:dyDescent="0.25">
      <c r="A2" s="14" t="s">
        <v>304</v>
      </c>
      <c r="B2" s="15" t="s">
        <v>415</v>
      </c>
      <c r="C2" s="16" t="str">
        <f>"\\naspc31\bo_oct$\02_Staff\BO_MACRO\10_BO_EMPRESARIAL\Extração\"&amp;$C$6&amp;".xlsx"</f>
        <v>\\naspc31\bo_oct$\02_Staff\BO_MACRO\10_BO_EMPRESARIAL\Extração\SFA FIXO.xlsx</v>
      </c>
      <c r="E2" t="s">
        <v>304</v>
      </c>
      <c r="F2" s="23" t="str">
        <f>IF(E2=A2,"sim","NÃO")</f>
        <v>sim</v>
      </c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</row>
    <row r="3" spans="1:60" x14ac:dyDescent="0.25">
      <c r="A3" s="14" t="s">
        <v>306</v>
      </c>
      <c r="B3" s="15" t="s">
        <v>416</v>
      </c>
      <c r="C3" s="16" t="str">
        <f>"\\naspc31\bo_oct$\02_Staff\BO_MACRO\10_BO_EMPRESARIAL\Extração\"&amp;$C$7&amp;".xlsx"</f>
        <v>\\naspc31\bo_oct$\02_Staff\BO_MACRO\10_BO_EMPRESARIAL\Extração\SFA FIXO AUX.xlsx</v>
      </c>
      <c r="E3" t="s">
        <v>306</v>
      </c>
      <c r="F3" s="23" t="str">
        <f t="shared" ref="F3:F57" si="0">IF(E3=A3,"sim","NÃO")</f>
        <v>sim</v>
      </c>
    </row>
    <row r="4" spans="1:60" x14ac:dyDescent="0.25">
      <c r="A4" s="14" t="s">
        <v>308</v>
      </c>
      <c r="B4" s="15" t="s">
        <v>417</v>
      </c>
      <c r="E4" t="s">
        <v>308</v>
      </c>
      <c r="F4" s="23" t="str">
        <f t="shared" si="0"/>
        <v>sim</v>
      </c>
    </row>
    <row r="5" spans="1:60" x14ac:dyDescent="0.25">
      <c r="A5" s="14" t="s">
        <v>310</v>
      </c>
      <c r="B5" s="15" t="s">
        <v>418</v>
      </c>
      <c r="C5" s="13" t="s">
        <v>312</v>
      </c>
      <c r="E5" t="s">
        <v>310</v>
      </c>
      <c r="F5" s="23" t="str">
        <f t="shared" si="0"/>
        <v>sim</v>
      </c>
    </row>
    <row r="6" spans="1:60" x14ac:dyDescent="0.25">
      <c r="A6" s="14" t="s">
        <v>313</v>
      </c>
      <c r="B6" s="15" t="s">
        <v>419</v>
      </c>
      <c r="C6" s="16" t="s">
        <v>315</v>
      </c>
      <c r="E6" t="s">
        <v>313</v>
      </c>
      <c r="F6" s="23" t="str">
        <f t="shared" si="0"/>
        <v>sim</v>
      </c>
    </row>
    <row r="7" spans="1:60" x14ac:dyDescent="0.25">
      <c r="A7" s="14" t="s">
        <v>316</v>
      </c>
      <c r="B7" s="15" t="s">
        <v>305</v>
      </c>
      <c r="C7" s="16" t="s">
        <v>414</v>
      </c>
      <c r="E7" t="s">
        <v>316</v>
      </c>
      <c r="F7" s="23" t="str">
        <f t="shared" si="0"/>
        <v>sim</v>
      </c>
    </row>
    <row r="8" spans="1:60" x14ac:dyDescent="0.25">
      <c r="A8" s="14" t="s">
        <v>284</v>
      </c>
      <c r="B8" s="15" t="s">
        <v>307</v>
      </c>
      <c r="E8" t="s">
        <v>284</v>
      </c>
      <c r="F8" s="23" t="str">
        <f t="shared" si="0"/>
        <v>sim</v>
      </c>
    </row>
    <row r="9" spans="1:60" x14ac:dyDescent="0.25">
      <c r="A9" s="14" t="s">
        <v>319</v>
      </c>
      <c r="B9" s="15" t="s">
        <v>309</v>
      </c>
      <c r="C9" s="17" t="s">
        <v>321</v>
      </c>
      <c r="E9" t="s">
        <v>319</v>
      </c>
      <c r="F9" s="23" t="str">
        <f t="shared" si="0"/>
        <v>sim</v>
      </c>
    </row>
    <row r="10" spans="1:60" x14ac:dyDescent="0.25">
      <c r="A10" s="14" t="s">
        <v>322</v>
      </c>
      <c r="B10" s="15" t="s">
        <v>311</v>
      </c>
      <c r="C10" s="18" t="e">
        <f>Gerador!#REF!</f>
        <v>#REF!</v>
      </c>
      <c r="E10" t="s">
        <v>322</v>
      </c>
      <c r="F10" s="23" t="str">
        <f t="shared" si="0"/>
        <v>sim</v>
      </c>
    </row>
    <row r="11" spans="1:60" x14ac:dyDescent="0.25">
      <c r="A11" s="14" t="s">
        <v>324</v>
      </c>
      <c r="B11" s="15" t="s">
        <v>314</v>
      </c>
      <c r="C11" s="19" t="s">
        <v>326</v>
      </c>
      <c r="E11" t="s">
        <v>324</v>
      </c>
      <c r="F11" s="23" t="str">
        <f t="shared" si="0"/>
        <v>sim</v>
      </c>
    </row>
    <row r="12" spans="1:60" x14ac:dyDescent="0.25">
      <c r="A12" s="14" t="s">
        <v>327</v>
      </c>
      <c r="B12" s="15" t="s">
        <v>317</v>
      </c>
      <c r="E12" t="s">
        <v>327</v>
      </c>
      <c r="F12" s="23" t="str">
        <f t="shared" si="0"/>
        <v>sim</v>
      </c>
    </row>
    <row r="13" spans="1:60" x14ac:dyDescent="0.25">
      <c r="A13" s="14" t="s">
        <v>329</v>
      </c>
      <c r="B13" s="15" t="s">
        <v>318</v>
      </c>
      <c r="E13" t="s">
        <v>329</v>
      </c>
      <c r="F13" s="23" t="str">
        <f t="shared" si="0"/>
        <v>sim</v>
      </c>
    </row>
    <row r="14" spans="1:60" x14ac:dyDescent="0.25">
      <c r="A14" s="14" t="s">
        <v>331</v>
      </c>
      <c r="B14" s="15" t="s">
        <v>320</v>
      </c>
      <c r="E14" t="s">
        <v>331</v>
      </c>
      <c r="F14" s="23" t="str">
        <f t="shared" si="0"/>
        <v>sim</v>
      </c>
    </row>
    <row r="15" spans="1:60" x14ac:dyDescent="0.25">
      <c r="A15" s="14" t="s">
        <v>333</v>
      </c>
      <c r="B15" s="15" t="s">
        <v>323</v>
      </c>
      <c r="E15" t="s">
        <v>333</v>
      </c>
      <c r="F15" s="23" t="str">
        <f t="shared" si="0"/>
        <v>sim</v>
      </c>
    </row>
    <row r="16" spans="1:60" x14ac:dyDescent="0.25">
      <c r="A16" s="14" t="s">
        <v>335</v>
      </c>
      <c r="B16" s="15" t="s">
        <v>325</v>
      </c>
      <c r="E16" t="s">
        <v>335</v>
      </c>
      <c r="F16" s="23" t="str">
        <f t="shared" si="0"/>
        <v>sim</v>
      </c>
    </row>
    <row r="17" spans="1:6" x14ac:dyDescent="0.25">
      <c r="A17" s="14" t="s">
        <v>337</v>
      </c>
      <c r="B17" s="15" t="s">
        <v>328</v>
      </c>
      <c r="E17" t="s">
        <v>337</v>
      </c>
      <c r="F17" s="23" t="str">
        <f t="shared" si="0"/>
        <v>sim</v>
      </c>
    </row>
    <row r="18" spans="1:6" x14ac:dyDescent="0.25">
      <c r="A18" s="14" t="s">
        <v>339</v>
      </c>
      <c r="B18" s="15" t="s">
        <v>330</v>
      </c>
      <c r="E18" t="s">
        <v>339</v>
      </c>
      <c r="F18" s="23" t="str">
        <f t="shared" si="0"/>
        <v>sim</v>
      </c>
    </row>
    <row r="19" spans="1:6" x14ac:dyDescent="0.25">
      <c r="A19" s="14" t="s">
        <v>341</v>
      </c>
      <c r="B19" s="15" t="s">
        <v>332</v>
      </c>
      <c r="E19" t="s">
        <v>341</v>
      </c>
      <c r="F19" s="23" t="str">
        <f t="shared" si="0"/>
        <v>sim</v>
      </c>
    </row>
    <row r="20" spans="1:6" x14ac:dyDescent="0.25">
      <c r="A20" s="14" t="s">
        <v>343</v>
      </c>
      <c r="B20" s="15" t="s">
        <v>334</v>
      </c>
      <c r="E20" t="s">
        <v>343</v>
      </c>
      <c r="F20" s="23" t="str">
        <f t="shared" si="0"/>
        <v>sim</v>
      </c>
    </row>
    <row r="21" spans="1:6" x14ac:dyDescent="0.25">
      <c r="A21" s="14" t="s">
        <v>345</v>
      </c>
      <c r="B21" s="15" t="s">
        <v>336</v>
      </c>
      <c r="E21" t="s">
        <v>345</v>
      </c>
      <c r="F21" s="23" t="str">
        <f t="shared" si="0"/>
        <v>sim</v>
      </c>
    </row>
    <row r="22" spans="1:6" x14ac:dyDescent="0.25">
      <c r="A22" s="14" t="s">
        <v>347</v>
      </c>
      <c r="B22" s="15" t="s">
        <v>338</v>
      </c>
      <c r="E22" t="s">
        <v>347</v>
      </c>
      <c r="F22" s="23" t="str">
        <f t="shared" si="0"/>
        <v>sim</v>
      </c>
    </row>
    <row r="23" spans="1:6" x14ac:dyDescent="0.25">
      <c r="A23" s="14" t="s">
        <v>349</v>
      </c>
      <c r="B23" s="15" t="s">
        <v>340</v>
      </c>
      <c r="E23" t="s">
        <v>349</v>
      </c>
      <c r="F23" s="23" t="str">
        <f t="shared" si="0"/>
        <v>sim</v>
      </c>
    </row>
    <row r="24" spans="1:6" x14ac:dyDescent="0.25">
      <c r="A24" s="14" t="s">
        <v>351</v>
      </c>
      <c r="B24" s="15" t="s">
        <v>342</v>
      </c>
      <c r="E24" t="s">
        <v>351</v>
      </c>
      <c r="F24" s="23" t="str">
        <f t="shared" si="0"/>
        <v>sim</v>
      </c>
    </row>
    <row r="25" spans="1:6" x14ac:dyDescent="0.25">
      <c r="A25" s="14" t="s">
        <v>353</v>
      </c>
      <c r="B25" s="15" t="s">
        <v>344</v>
      </c>
      <c r="E25" t="s">
        <v>353</v>
      </c>
      <c r="F25" s="23" t="str">
        <f t="shared" si="0"/>
        <v>sim</v>
      </c>
    </row>
    <row r="26" spans="1:6" x14ac:dyDescent="0.25">
      <c r="A26" s="14" t="s">
        <v>355</v>
      </c>
      <c r="B26" s="15" t="s">
        <v>346</v>
      </c>
      <c r="E26" t="s">
        <v>355</v>
      </c>
      <c r="F26" s="23" t="str">
        <f t="shared" si="0"/>
        <v>sim</v>
      </c>
    </row>
    <row r="27" spans="1:6" x14ac:dyDescent="0.25">
      <c r="A27" s="14" t="s">
        <v>357</v>
      </c>
      <c r="B27" s="15" t="s">
        <v>348</v>
      </c>
      <c r="E27" t="s">
        <v>357</v>
      </c>
      <c r="F27" s="23" t="str">
        <f t="shared" si="0"/>
        <v>sim</v>
      </c>
    </row>
    <row r="28" spans="1:6" x14ac:dyDescent="0.25">
      <c r="A28" s="14" t="s">
        <v>359</v>
      </c>
      <c r="B28" s="15" t="s">
        <v>350</v>
      </c>
      <c r="E28" t="s">
        <v>359</v>
      </c>
      <c r="F28" s="23" t="str">
        <f t="shared" si="0"/>
        <v>sim</v>
      </c>
    </row>
    <row r="29" spans="1:6" x14ac:dyDescent="0.25">
      <c r="A29" s="14" t="s">
        <v>361</v>
      </c>
      <c r="B29" s="15" t="s">
        <v>352</v>
      </c>
      <c r="E29" t="s">
        <v>361</v>
      </c>
      <c r="F29" s="23" t="str">
        <f t="shared" si="0"/>
        <v>sim</v>
      </c>
    </row>
    <row r="30" spans="1:6" x14ac:dyDescent="0.25">
      <c r="A30" s="14" t="s">
        <v>363</v>
      </c>
      <c r="B30" s="15" t="s">
        <v>354</v>
      </c>
      <c r="E30" t="s">
        <v>363</v>
      </c>
      <c r="F30" s="23" t="str">
        <f t="shared" si="0"/>
        <v>sim</v>
      </c>
    </row>
    <row r="31" spans="1:6" x14ac:dyDescent="0.25">
      <c r="A31" s="14" t="s">
        <v>365</v>
      </c>
      <c r="B31" s="15" t="s">
        <v>356</v>
      </c>
      <c r="E31" t="s">
        <v>365</v>
      </c>
      <c r="F31" s="23" t="str">
        <f t="shared" si="0"/>
        <v>sim</v>
      </c>
    </row>
    <row r="32" spans="1:6" x14ac:dyDescent="0.25">
      <c r="A32" s="14" t="s">
        <v>367</v>
      </c>
      <c r="B32" s="15" t="s">
        <v>358</v>
      </c>
      <c r="E32" t="s">
        <v>367</v>
      </c>
      <c r="F32" s="23" t="str">
        <f t="shared" si="0"/>
        <v>sim</v>
      </c>
    </row>
    <row r="33" spans="1:6" x14ac:dyDescent="0.25">
      <c r="A33" s="14" t="s">
        <v>369</v>
      </c>
      <c r="B33" s="15" t="s">
        <v>360</v>
      </c>
      <c r="E33" t="s">
        <v>369</v>
      </c>
      <c r="F33" s="23" t="str">
        <f t="shared" si="0"/>
        <v>sim</v>
      </c>
    </row>
    <row r="34" spans="1:6" x14ac:dyDescent="0.25">
      <c r="A34" s="14" t="s">
        <v>371</v>
      </c>
      <c r="B34" s="15" t="s">
        <v>362</v>
      </c>
      <c r="E34" t="s">
        <v>371</v>
      </c>
      <c r="F34" s="23" t="str">
        <f t="shared" si="0"/>
        <v>sim</v>
      </c>
    </row>
    <row r="35" spans="1:6" x14ac:dyDescent="0.25">
      <c r="A35" s="14" t="s">
        <v>373</v>
      </c>
      <c r="B35" s="15" t="s">
        <v>364</v>
      </c>
      <c r="E35" t="s">
        <v>373</v>
      </c>
      <c r="F35" s="23" t="str">
        <f t="shared" si="0"/>
        <v>sim</v>
      </c>
    </row>
    <row r="36" spans="1:6" x14ac:dyDescent="0.25">
      <c r="A36" s="14" t="s">
        <v>375</v>
      </c>
      <c r="B36" s="15" t="s">
        <v>366</v>
      </c>
      <c r="E36" s="38" t="s">
        <v>375</v>
      </c>
      <c r="F36" s="23" t="str">
        <f t="shared" si="0"/>
        <v>sim</v>
      </c>
    </row>
    <row r="37" spans="1:6" x14ac:dyDescent="0.25">
      <c r="A37" s="14" t="s">
        <v>376</v>
      </c>
      <c r="B37" s="15" t="s">
        <v>368</v>
      </c>
      <c r="E37" t="s">
        <v>376</v>
      </c>
      <c r="F37" s="23" t="str">
        <f t="shared" si="0"/>
        <v>sim</v>
      </c>
    </row>
    <row r="38" spans="1:6" x14ac:dyDescent="0.25">
      <c r="A38" s="14" t="s">
        <v>378</v>
      </c>
      <c r="B38" s="15" t="s">
        <v>370</v>
      </c>
      <c r="E38" t="s">
        <v>378</v>
      </c>
      <c r="F38" s="23" t="str">
        <f t="shared" si="0"/>
        <v>sim</v>
      </c>
    </row>
    <row r="39" spans="1:6" x14ac:dyDescent="0.25">
      <c r="A39" s="14" t="s">
        <v>380</v>
      </c>
      <c r="B39" s="15" t="s">
        <v>372</v>
      </c>
      <c r="E39" t="s">
        <v>380</v>
      </c>
      <c r="F39" s="23" t="str">
        <f t="shared" si="0"/>
        <v>sim</v>
      </c>
    </row>
    <row r="40" spans="1:6" x14ac:dyDescent="0.25">
      <c r="A40" s="14" t="s">
        <v>382</v>
      </c>
      <c r="B40" s="15" t="s">
        <v>374</v>
      </c>
      <c r="E40" t="s">
        <v>382</v>
      </c>
      <c r="F40" s="23" t="str">
        <f t="shared" si="0"/>
        <v>sim</v>
      </c>
    </row>
    <row r="41" spans="1:6" x14ac:dyDescent="0.25">
      <c r="A41" s="14" t="s">
        <v>384</v>
      </c>
      <c r="B41" s="15" t="str">
        <f>"AN"</f>
        <v>AN</v>
      </c>
      <c r="E41" t="s">
        <v>384</v>
      </c>
      <c r="F41" s="23" t="str">
        <f t="shared" si="0"/>
        <v>sim</v>
      </c>
    </row>
    <row r="42" spans="1:6" x14ac:dyDescent="0.25">
      <c r="A42" s="14" t="s">
        <v>386</v>
      </c>
      <c r="B42" s="15" t="s">
        <v>377</v>
      </c>
      <c r="E42" t="s">
        <v>386</v>
      </c>
      <c r="F42" s="23" t="str">
        <f t="shared" si="0"/>
        <v>sim</v>
      </c>
    </row>
    <row r="43" spans="1:6" x14ac:dyDescent="0.25">
      <c r="A43" s="14" t="s">
        <v>388</v>
      </c>
      <c r="B43" s="15" t="s">
        <v>379</v>
      </c>
      <c r="E43" t="s">
        <v>388</v>
      </c>
      <c r="F43" s="23" t="str">
        <f t="shared" si="0"/>
        <v>sim</v>
      </c>
    </row>
    <row r="44" spans="1:6" x14ac:dyDescent="0.25">
      <c r="A44" s="14" t="s">
        <v>390</v>
      </c>
      <c r="B44" s="15" t="s">
        <v>381</v>
      </c>
      <c r="E44" t="s">
        <v>390</v>
      </c>
      <c r="F44" s="23" t="str">
        <f t="shared" si="0"/>
        <v>sim</v>
      </c>
    </row>
    <row r="45" spans="1:6" x14ac:dyDescent="0.25">
      <c r="A45" s="14" t="s">
        <v>392</v>
      </c>
      <c r="B45" s="15" t="s">
        <v>383</v>
      </c>
      <c r="E45" t="s">
        <v>392</v>
      </c>
      <c r="F45" s="23" t="str">
        <f t="shared" si="0"/>
        <v>sim</v>
      </c>
    </row>
    <row r="46" spans="1:6" x14ac:dyDescent="0.25">
      <c r="A46" s="14" t="s">
        <v>394</v>
      </c>
      <c r="B46" s="15" t="s">
        <v>385</v>
      </c>
      <c r="E46" t="s">
        <v>394</v>
      </c>
      <c r="F46" s="23" t="str">
        <f t="shared" si="0"/>
        <v>sim</v>
      </c>
    </row>
    <row r="47" spans="1:6" x14ac:dyDescent="0.25">
      <c r="A47" s="14" t="s">
        <v>396</v>
      </c>
      <c r="B47" s="15" t="s">
        <v>387</v>
      </c>
      <c r="E47" t="s">
        <v>396</v>
      </c>
      <c r="F47" s="23" t="str">
        <f t="shared" si="0"/>
        <v>sim</v>
      </c>
    </row>
    <row r="48" spans="1:6" x14ac:dyDescent="0.25">
      <c r="A48" s="14" t="s">
        <v>398</v>
      </c>
      <c r="B48" s="15" t="s">
        <v>389</v>
      </c>
      <c r="E48" t="s">
        <v>398</v>
      </c>
      <c r="F48" s="23" t="str">
        <f t="shared" si="0"/>
        <v>sim</v>
      </c>
    </row>
    <row r="49" spans="1:6" x14ac:dyDescent="0.25">
      <c r="A49" s="14" t="s">
        <v>400</v>
      </c>
      <c r="B49" s="15" t="s">
        <v>391</v>
      </c>
      <c r="E49" t="s">
        <v>400</v>
      </c>
      <c r="F49" s="23" t="str">
        <f t="shared" si="0"/>
        <v>sim</v>
      </c>
    </row>
    <row r="50" spans="1:6" x14ac:dyDescent="0.25">
      <c r="A50" s="14" t="s">
        <v>402</v>
      </c>
      <c r="B50" s="15" t="s">
        <v>393</v>
      </c>
      <c r="E50" t="s">
        <v>402</v>
      </c>
      <c r="F50" s="23" t="str">
        <f t="shared" si="0"/>
        <v>sim</v>
      </c>
    </row>
    <row r="51" spans="1:6" x14ac:dyDescent="0.25">
      <c r="A51" s="14" t="s">
        <v>404</v>
      </c>
      <c r="B51" s="15" t="s">
        <v>395</v>
      </c>
      <c r="E51" t="s">
        <v>404</v>
      </c>
      <c r="F51" s="23" t="str">
        <f t="shared" si="0"/>
        <v>sim</v>
      </c>
    </row>
    <row r="52" spans="1:6" x14ac:dyDescent="0.25">
      <c r="A52" s="14" t="s">
        <v>406</v>
      </c>
      <c r="B52" s="15" t="s">
        <v>397</v>
      </c>
      <c r="E52" t="s">
        <v>406</v>
      </c>
      <c r="F52" s="23" t="str">
        <f t="shared" si="0"/>
        <v>sim</v>
      </c>
    </row>
    <row r="53" spans="1:6" x14ac:dyDescent="0.25">
      <c r="A53" s="14" t="s">
        <v>408</v>
      </c>
      <c r="B53" s="15" t="s">
        <v>399</v>
      </c>
      <c r="E53" t="s">
        <v>408</v>
      </c>
      <c r="F53" s="23" t="str">
        <f t="shared" si="0"/>
        <v>sim</v>
      </c>
    </row>
    <row r="54" spans="1:6" x14ac:dyDescent="0.25">
      <c r="A54" s="14" t="s">
        <v>409</v>
      </c>
      <c r="B54" s="15" t="s">
        <v>401</v>
      </c>
      <c r="E54" t="s">
        <v>409</v>
      </c>
      <c r="F54" s="23" t="str">
        <f t="shared" si="0"/>
        <v>sim</v>
      </c>
    </row>
    <row r="55" spans="1:6" x14ac:dyDescent="0.25">
      <c r="A55" s="14" t="s">
        <v>410</v>
      </c>
      <c r="B55" s="15" t="s">
        <v>403</v>
      </c>
      <c r="E55" t="s">
        <v>410</v>
      </c>
      <c r="F55" s="23" t="str">
        <f t="shared" si="0"/>
        <v>sim</v>
      </c>
    </row>
    <row r="56" spans="1:6" x14ac:dyDescent="0.25">
      <c r="A56" s="14" t="s">
        <v>411</v>
      </c>
      <c r="B56" s="15" t="s">
        <v>405</v>
      </c>
      <c r="E56" t="s">
        <v>411</v>
      </c>
      <c r="F56" s="23" t="str">
        <f t="shared" si="0"/>
        <v>sim</v>
      </c>
    </row>
    <row r="57" spans="1:6" x14ac:dyDescent="0.25">
      <c r="A57" s="14" t="s">
        <v>412</v>
      </c>
      <c r="B57" s="15" t="s">
        <v>407</v>
      </c>
      <c r="E57" t="s">
        <v>412</v>
      </c>
      <c r="F57" s="23" t="str">
        <f t="shared" si="0"/>
        <v>sim</v>
      </c>
    </row>
  </sheetData>
  <conditionalFormatting sqref="F1:F1048576">
    <cfRule type="containsText" dxfId="3" priority="1" operator="containsText" text="NÃO">
      <formula>NOT(ISERROR(SEARCH("NÃO",F1)))</formula>
    </cfRule>
    <cfRule type="containsText" dxfId="2" priority="2" operator="containsText" text="sim">
      <formula>NOT(ISERROR(SEARCH("sim",F1)))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D25"/>
  <sheetViews>
    <sheetView showGridLines="0" zoomScale="160" zoomScaleNormal="160" workbookViewId="0"/>
  </sheetViews>
  <sheetFormatPr defaultRowHeight="15" x14ac:dyDescent="0.25"/>
  <cols>
    <col min="1" max="1" width="15" style="38" customWidth="1"/>
    <col min="2" max="2" width="43.140625" customWidth="1"/>
    <col min="3" max="3" width="41.7109375" bestFit="1" customWidth="1"/>
    <col min="4" max="4" width="50.5703125" bestFit="1" customWidth="1"/>
  </cols>
  <sheetData>
    <row r="2" spans="1:4" x14ac:dyDescent="0.25">
      <c r="A2" s="51" t="s">
        <v>545</v>
      </c>
      <c r="B2" s="2"/>
      <c r="C2" s="2"/>
      <c r="D2" s="2"/>
    </row>
    <row r="3" spans="1:4" x14ac:dyDescent="0.25">
      <c r="A3" s="52" t="s">
        <v>542</v>
      </c>
      <c r="B3" s="5" t="s">
        <v>376</v>
      </c>
      <c r="C3" s="5" t="s">
        <v>546</v>
      </c>
      <c r="D3" s="5" t="s">
        <v>554</v>
      </c>
    </row>
    <row r="4" spans="1:4" x14ac:dyDescent="0.25">
      <c r="A4" s="11">
        <v>612532</v>
      </c>
      <c r="B4" s="4" t="s">
        <v>543</v>
      </c>
      <c r="C4" s="4" t="s">
        <v>548</v>
      </c>
      <c r="D4" s="4"/>
    </row>
    <row r="5" spans="1:4" x14ac:dyDescent="0.25">
      <c r="A5" s="11">
        <v>612465</v>
      </c>
      <c r="B5" s="4" t="s">
        <v>544</v>
      </c>
      <c r="C5" s="4" t="s">
        <v>547</v>
      </c>
      <c r="D5" s="4"/>
    </row>
    <row r="6" spans="1:4" x14ac:dyDescent="0.25">
      <c r="A6" s="11">
        <v>605558</v>
      </c>
      <c r="B6" s="4" t="s">
        <v>544</v>
      </c>
      <c r="C6" s="4" t="s">
        <v>549</v>
      </c>
      <c r="D6" s="4"/>
    </row>
    <row r="7" spans="1:4" x14ac:dyDescent="0.25">
      <c r="A7" s="11">
        <v>596536</v>
      </c>
      <c r="B7" s="4" t="s">
        <v>544</v>
      </c>
      <c r="C7" s="4" t="s">
        <v>551</v>
      </c>
      <c r="D7" s="4"/>
    </row>
    <row r="8" spans="1:4" x14ac:dyDescent="0.25">
      <c r="A8" s="11">
        <v>597195</v>
      </c>
      <c r="B8" s="4" t="s">
        <v>544</v>
      </c>
      <c r="C8" s="4" t="s">
        <v>550</v>
      </c>
      <c r="D8" s="4"/>
    </row>
    <row r="9" spans="1:4" x14ac:dyDescent="0.25">
      <c r="A9" s="11">
        <v>566368</v>
      </c>
      <c r="B9" s="4" t="s">
        <v>544</v>
      </c>
      <c r="C9" s="4" t="s">
        <v>552</v>
      </c>
      <c r="D9" s="4"/>
    </row>
    <row r="10" spans="1:4" x14ac:dyDescent="0.25">
      <c r="A10" s="11">
        <v>567468</v>
      </c>
      <c r="B10" s="4" t="s">
        <v>553</v>
      </c>
      <c r="C10" s="4"/>
      <c r="D10" s="4"/>
    </row>
    <row r="11" spans="1:4" x14ac:dyDescent="0.25">
      <c r="A11" s="11">
        <v>491424</v>
      </c>
      <c r="B11" s="4"/>
      <c r="C11" s="4"/>
      <c r="D11" s="4" t="s">
        <v>293</v>
      </c>
    </row>
    <row r="12" spans="1:4" x14ac:dyDescent="0.25">
      <c r="A12" s="11">
        <v>605307</v>
      </c>
      <c r="B12" s="4" t="s">
        <v>543</v>
      </c>
      <c r="C12" s="4"/>
      <c r="D12" s="4" t="s">
        <v>505</v>
      </c>
    </row>
    <row r="13" spans="1:4" x14ac:dyDescent="0.25">
      <c r="A13" s="11"/>
      <c r="B13" s="4"/>
      <c r="C13" s="4"/>
      <c r="D13" s="4"/>
    </row>
    <row r="14" spans="1:4" x14ac:dyDescent="0.25">
      <c r="A14" s="11"/>
      <c r="B14" s="4"/>
      <c r="C14" s="4"/>
      <c r="D14" s="4"/>
    </row>
    <row r="15" spans="1:4" x14ac:dyDescent="0.25">
      <c r="A15" s="11"/>
      <c r="B15" s="4"/>
      <c r="C15" s="4"/>
      <c r="D15" s="4"/>
    </row>
    <row r="16" spans="1:4" x14ac:dyDescent="0.25">
      <c r="A16" s="11"/>
      <c r="B16" s="4"/>
      <c r="C16" s="4"/>
      <c r="D16" s="4"/>
    </row>
    <row r="17" spans="1:4" x14ac:dyDescent="0.25">
      <c r="A17" s="11"/>
      <c r="B17" s="4"/>
      <c r="C17" s="4"/>
      <c r="D17" s="4"/>
    </row>
    <row r="18" spans="1:4" x14ac:dyDescent="0.25">
      <c r="A18" s="11"/>
      <c r="B18" s="4"/>
      <c r="C18" s="4"/>
      <c r="D18" s="4"/>
    </row>
    <row r="19" spans="1:4" x14ac:dyDescent="0.25">
      <c r="A19" s="11"/>
      <c r="B19" s="4"/>
      <c r="C19" s="4"/>
      <c r="D19" s="4"/>
    </row>
    <row r="20" spans="1:4" x14ac:dyDescent="0.25">
      <c r="A20" s="11"/>
      <c r="B20" s="4"/>
      <c r="C20" s="4"/>
      <c r="D20" s="4"/>
    </row>
    <row r="21" spans="1:4" x14ac:dyDescent="0.25">
      <c r="A21" s="11"/>
      <c r="B21" s="4"/>
      <c r="C21" s="4"/>
      <c r="D21" s="4"/>
    </row>
    <row r="22" spans="1:4" x14ac:dyDescent="0.25">
      <c r="A22" s="11"/>
      <c r="B22" s="4"/>
      <c r="C22" s="4"/>
      <c r="D22" s="4"/>
    </row>
    <row r="23" spans="1:4" x14ac:dyDescent="0.25">
      <c r="A23" s="11"/>
      <c r="B23" s="4"/>
      <c r="C23" s="4"/>
      <c r="D23" s="4"/>
    </row>
    <row r="24" spans="1:4" x14ac:dyDescent="0.25">
      <c r="A24" s="11"/>
      <c r="B24" s="4"/>
      <c r="C24" s="4"/>
      <c r="D24" s="4"/>
    </row>
    <row r="25" spans="1:4" x14ac:dyDescent="0.25">
      <c r="A25" s="11"/>
      <c r="B25" s="4"/>
      <c r="C25" s="4"/>
      <c r="D25" s="4"/>
    </row>
  </sheetData>
  <conditionalFormatting sqref="A1:A1048576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Gerador</vt:lpstr>
      <vt:lpstr>MAPEADMENTO DAS FILAS</vt:lpstr>
      <vt:lpstr>Visao Backlog</vt:lpstr>
      <vt:lpstr>OrdenarColunas_SFAFIXO</vt:lpstr>
      <vt:lpstr>SOL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beth.araujo@tahto.com.br</dc:creator>
  <cp:lastModifiedBy>BETH_ARLEY</cp:lastModifiedBy>
  <dcterms:created xsi:type="dcterms:W3CDTF">2020-09-16T16:36:52Z</dcterms:created>
  <dcterms:modified xsi:type="dcterms:W3CDTF">2022-07-24T22:09:57Z</dcterms:modified>
</cp:coreProperties>
</file>