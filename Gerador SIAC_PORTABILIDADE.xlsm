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Z:\02_Staff\BO_MACRO\SIAC_PORTABILIDADE\"/>
    </mc:Choice>
  </mc:AlternateContent>
  <bookViews>
    <workbookView xWindow="0" yWindow="0" windowWidth="28800" windowHeight="12435"/>
  </bookViews>
  <sheets>
    <sheet name="Plan2" sheetId="4" r:id="rId1"/>
    <sheet name="Plan1" sheetId="5" state="hidden" r:id="rId2"/>
  </sheets>
  <definedNames>
    <definedName name="_xlnm._FilterDatabase" localSheetId="0" hidden="1">Plan2!$I$3:$K$26</definedName>
    <definedName name="DataNascimentoResponsavelInstalacao48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4" l="1"/>
  <c r="M26" i="4" l="1"/>
  <c r="L26" i="4"/>
  <c r="M25" i="4"/>
  <c r="L25" i="4"/>
  <c r="M24" i="4"/>
  <c r="L24" i="4"/>
  <c r="M23" i="4"/>
  <c r="L23" i="4"/>
  <c r="M22" i="4"/>
  <c r="L22" i="4"/>
  <c r="M21" i="4"/>
  <c r="L21" i="4"/>
  <c r="M20" i="4"/>
  <c r="L20" i="4"/>
  <c r="M19" i="4"/>
  <c r="L19" i="4"/>
  <c r="M18" i="4"/>
  <c r="L18" i="4"/>
  <c r="M17" i="4"/>
  <c r="L17" i="4"/>
  <c r="M16" i="4"/>
  <c r="L16" i="4"/>
  <c r="M15" i="4"/>
  <c r="L15" i="4"/>
  <c r="M14" i="4"/>
  <c r="L14" i="4"/>
  <c r="M13" i="4"/>
  <c r="L13" i="4"/>
  <c r="M12" i="4"/>
  <c r="L12" i="4"/>
  <c r="M11" i="4"/>
  <c r="L11" i="4"/>
  <c r="M10" i="4"/>
  <c r="L10" i="4"/>
  <c r="M9" i="4"/>
  <c r="L9" i="4"/>
  <c r="M8" i="4"/>
  <c r="L8" i="4"/>
  <c r="M7" i="4"/>
  <c r="L7" i="4"/>
  <c r="M6" i="4"/>
  <c r="L6" i="4"/>
  <c r="M5" i="4"/>
  <c r="L5" i="4"/>
  <c r="Q6" i="4" l="1"/>
  <c r="F3" i="4"/>
</calcChain>
</file>

<file path=xl/sharedStrings.xml><?xml version="1.0" encoding="utf-8"?>
<sst xmlns="http://schemas.openxmlformats.org/spreadsheetml/2006/main" count="132" uniqueCount="53">
  <si>
    <t>Locais de Rede</t>
  </si>
  <si>
    <t>FORMATO SAIDA</t>
  </si>
  <si>
    <t>.xlsx</t>
  </si>
  <si>
    <t>FORMATO ENTRADA</t>
  </si>
  <si>
    <t>Assunto</t>
  </si>
  <si>
    <t>Base de Extração</t>
  </si>
  <si>
    <t>MAILING</t>
  </si>
  <si>
    <t>URL_REDE_EXTRACAO</t>
  </si>
  <si>
    <t>URL_REDE_DISTRIBUICAO</t>
  </si>
  <si>
    <t>Volume de Cada Mailing Gerado</t>
  </si>
  <si>
    <t>\\naspc31\bo_oct$\02_Staff\BO_MACRO\SIAC\Distribuicao\</t>
  </si>
  <si>
    <t>\\naspc31\bo_oct$\02_Staff\BO_MACRO\SIAC\Extracao\</t>
  </si>
  <si>
    <t>http://app.local.srv.br/siac</t>
  </si>
  <si>
    <t>Novo endereço SIAC</t>
  </si>
  <si>
    <t>BASE_SIAC_PORTABILIDADE</t>
  </si>
  <si>
    <t>BASE EA</t>
  </si>
  <si>
    <t>BASE SISWEB</t>
  </si>
  <si>
    <t>BASE_SIAC_PORTABILIDADE.xlsx</t>
  </si>
  <si>
    <t>BASE EA.xlsx</t>
  </si>
  <si>
    <t>BASE SISWEB.xlsx</t>
  </si>
  <si>
    <t>STATUS ATUAL</t>
  </si>
  <si>
    <t>BASE SIAC</t>
  </si>
  <si>
    <t>UF</t>
  </si>
  <si>
    <t>CANCELADO</t>
  </si>
  <si>
    <t>FR</t>
  </si>
  <si>
    <t>INPUT PORTAB FIXA</t>
  </si>
  <si>
    <t>ATIVO</t>
  </si>
  <si>
    <t>PR</t>
  </si>
  <si>
    <t>PORTAB - NÃO RETIDO</t>
  </si>
  <si>
    <t>SC</t>
  </si>
  <si>
    <t>GO</t>
  </si>
  <si>
    <t>DF</t>
  </si>
  <si>
    <t>RT</t>
  </si>
  <si>
    <t>RS</t>
  </si>
  <si>
    <t>MS</t>
  </si>
  <si>
    <t>RO</t>
  </si>
  <si>
    <t>MT</t>
  </si>
  <si>
    <t>AC</t>
  </si>
  <si>
    <t>MIGRAÇÃO FIBRA ATIVO REVERSÃO, PORTAB E 3º NIVEL</t>
  </si>
  <si>
    <t>Chave da BASE SIAC</t>
  </si>
  <si>
    <t>PORTAB -  NÃO RETIDO</t>
  </si>
  <si>
    <t>SIAC de Instalação</t>
  </si>
  <si>
    <t>MIGRAÇÃO FIBRA ATIVO REVERSÃO PORTAB e 3NIVEL</t>
  </si>
  <si>
    <t>FILTROS REALIZADOS</t>
  </si>
  <si>
    <t>MAILINGS</t>
  </si>
  <si>
    <t>\\naspc31\bo_oct$\02_Staff\BO_MACRO\SIAC_PORTABILIDADE\Extracao\</t>
  </si>
  <si>
    <t>\\naspc31\bo_oct$\02_Staff\BO_MACRO\SIAC_PORTABILIDADE\Distribuicao\</t>
  </si>
  <si>
    <t>\\netprd02\bo_nba_staf$\06_FASE_III\SIAC\EA\2021\07_JUL</t>
  </si>
  <si>
    <t>Célula SISWEB</t>
  </si>
  <si>
    <t>BO PORTABILIDADE FIXA/MÓVEL</t>
  </si>
  <si>
    <t>Chave da BASE EA + SIAC</t>
  </si>
  <si>
    <t>\\10.61.178.208\public\ATIVO_RETENCAO\BASE_EA</t>
  </si>
  <si>
    <t>BASE EA - Origem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</si>
</sst>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1"/>
      <color theme="1"/>
      <name val="Times New Roman"/>
      <family val="1"/>
    </font>
    <font>
      <b/>
      <sz val="9"/>
      <color theme="0"/>
      <name val="Times New Roman"/>
      <family val="1"/>
    </font>
    <font>
      <sz val="10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 Black"/>
      <family val="2"/>
    </font>
    <font>
      <b/>
      <sz val="10"/>
      <color theme="0"/>
      <name val="Arial Black"/>
      <family val="2"/>
    </font>
    <font>
      <b/>
      <sz val="12"/>
      <color theme="0"/>
      <name val="Arial Black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439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1" fillId="0" borderId="1" xfId="0" applyFont="1" applyBorder="1"/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/>
    <xf numFmtId="0" fontId="2" fillId="3" borderId="1" xfId="0" applyFont="1" applyFill="1" applyBorder="1" applyAlignment="1"/>
    <xf numFmtId="0" fontId="4" fillId="4" borderId="1" xfId="0" applyFont="1" applyFill="1" applyBorder="1" applyAlignment="1"/>
    <xf numFmtId="0" fontId="6" fillId="0" borderId="1" xfId="1" applyBorder="1"/>
    <xf numFmtId="0" fontId="7" fillId="6" borderId="1" xfId="1" applyFont="1" applyFill="1" applyBorder="1"/>
    <xf numFmtId="0" fontId="5" fillId="5" borderId="1" xfId="0" applyFont="1" applyFill="1" applyBorder="1"/>
    <xf numFmtId="0" fontId="8" fillId="8" borderId="4" xfId="0" applyFont="1" applyFill="1" applyBorder="1" applyAlignment="1">
      <alignment horizontal="center"/>
    </xf>
    <xf numFmtId="0" fontId="8" fillId="8" borderId="5" xfId="0" applyFont="1" applyFill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8" fillId="8" borderId="0" xfId="0" applyFont="1" applyFill="1" applyAlignment="1">
      <alignment horizontal="center"/>
    </xf>
    <xf numFmtId="0" fontId="10" fillId="8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/>
    </xf>
    <xf numFmtId="0" fontId="0" fillId="0" borderId="2" xfId="0" applyBorder="1" applyAlignment="1">
      <alignment horizontal="left" vertical="center"/>
    </xf>
    <xf numFmtId="0" fontId="5" fillId="0" borderId="2" xfId="0" applyFont="1" applyBorder="1" applyAlignment="1">
      <alignment wrapText="1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wrapText="1"/>
    </xf>
    <xf numFmtId="0" fontId="5" fillId="0" borderId="8" xfId="0" applyFont="1" applyBorder="1" applyAlignment="1">
      <alignment wrapText="1"/>
    </xf>
    <xf numFmtId="0" fontId="5" fillId="0" borderId="9" xfId="0" applyFont="1" applyBorder="1" applyAlignment="1">
      <alignment wrapText="1"/>
    </xf>
    <xf numFmtId="0" fontId="2" fillId="3" borderId="3" xfId="0" applyFont="1" applyFill="1" applyBorder="1" applyAlignment="1"/>
    <xf numFmtId="0" fontId="0" fillId="0" borderId="1" xfId="0" applyBorder="1"/>
    <xf numFmtId="0" fontId="0" fillId="0" borderId="1" xfId="0" applyFill="1" applyBorder="1" applyAlignment="1">
      <alignment horizontal="left" vertical="center"/>
    </xf>
    <xf numFmtId="0" fontId="11" fillId="8" borderId="1" xfId="0" applyFont="1" applyFill="1" applyBorder="1" applyAlignment="1">
      <alignment horizontal="left"/>
    </xf>
    <xf numFmtId="0" fontId="12" fillId="7" borderId="0" xfId="0" applyFont="1" applyFill="1" applyAlignment="1">
      <alignment horizontal="left" vertical="center"/>
    </xf>
    <xf numFmtId="0" fontId="12" fillId="7" borderId="6" xfId="0" applyFont="1" applyFill="1" applyBorder="1" applyAlignment="1">
      <alignment horizontal="left" vertical="center"/>
    </xf>
    <xf numFmtId="0" fontId="12" fillId="7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0" fillId="9" borderId="2" xfId="0" applyFill="1" applyBorder="1" applyAlignment="1">
      <alignment horizontal="left" vertical="center"/>
    </xf>
    <xf numFmtId="0" fontId="0" fillId="9" borderId="8" xfId="0" applyFill="1" applyBorder="1" applyAlignment="1">
      <alignment horizontal="left"/>
    </xf>
    <xf numFmtId="0" fontId="0" fillId="9" borderId="1" xfId="0" applyFill="1" applyBorder="1"/>
    <xf numFmtId="0" fontId="8" fillId="10" borderId="0" xfId="0" applyFont="1" applyFill="1"/>
    <xf numFmtId="0" fontId="11" fillId="10" borderId="0" xfId="0" applyFont="1" applyFill="1"/>
    <xf numFmtId="0" fontId="6" fillId="0" borderId="0" xfId="1"/>
    <xf numFmtId="0" fontId="11" fillId="8" borderId="1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F2987"/>
      <color rgb="FFFB6DE0"/>
      <color rgb="FF780262"/>
      <color rgb="FF21285F"/>
      <color rgb="FF2E471D"/>
      <color rgb="FF203214"/>
      <color rgb="FF1B271F"/>
      <color rgb="FF2439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281828</xdr:colOff>
      <xdr:row>9</xdr:row>
      <xdr:rowOff>130548</xdr:rowOff>
    </xdr:from>
    <xdr:to>
      <xdr:col>2</xdr:col>
      <xdr:colOff>981075</xdr:colOff>
      <xdr:row>13</xdr:row>
      <xdr:rowOff>104776</xdr:rowOff>
    </xdr:to>
    <xdr:sp macro="[0]!GERADOR_SIAC_PORTABILIDADE" textlink="">
      <xdr:nvSpPr>
        <xdr:cNvPr id="2" name="Retângulo de cantos arredondados 1"/>
        <xdr:cNvSpPr/>
      </xdr:nvSpPr>
      <xdr:spPr>
        <a:xfrm>
          <a:off x="1453403" y="1845048"/>
          <a:ext cx="2375647" cy="736228"/>
        </a:xfrm>
        <a:prstGeom prst="roundRect">
          <a:avLst/>
        </a:prstGeom>
        <a:solidFill>
          <a:srgbClr val="5F298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SIAC PORTABILIDADE</a:t>
          </a:r>
          <a:endParaRPr lang="pt-BR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26</xdr:col>
      <xdr:colOff>504824</xdr:colOff>
      <xdr:row>51</xdr:row>
      <xdr:rowOff>102766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6354424" cy="9818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Distribuicao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Extracao\" TargetMode="External"/><Relationship Id="rId1" Type="http://schemas.openxmlformats.org/officeDocument/2006/relationships/hyperlink" Target="Distribuicao/" TargetMode="External"/><Relationship Id="rId6" Type="http://schemas.openxmlformats.org/officeDocument/2006/relationships/hyperlink" Target="file:///\\netprd02\bo_nba_staf$\06_FASE_III\SIAC\EA\2021\07_JUL" TargetMode="External"/><Relationship Id="rId5" Type="http://schemas.openxmlformats.org/officeDocument/2006/relationships/hyperlink" Target="http://app.local.srv.br/siac" TargetMode="External"/><Relationship Id="rId4" Type="http://schemas.openxmlformats.org/officeDocument/2006/relationships/hyperlink" Target="Extracao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R64"/>
  <sheetViews>
    <sheetView showGridLines="0" tabSelected="1" topLeftCell="B1" zoomScaleNormal="100" workbookViewId="0">
      <selection activeCell="G7" sqref="G7"/>
    </sheetView>
  </sheetViews>
  <sheetFormatPr defaultColWidth="9.140625" defaultRowHeight="15" customHeight="1" x14ac:dyDescent="0.25"/>
  <cols>
    <col min="1" max="1" width="17.5703125" style="1" bestFit="1" customWidth="1"/>
    <col min="2" max="2" width="22.42578125" style="1" customWidth="1"/>
    <col min="3" max="3" width="26.140625" style="1" bestFit="1" customWidth="1"/>
    <col min="4" max="4" width="8.140625" style="1" customWidth="1"/>
    <col min="5" max="5" width="55.5703125" style="1" customWidth="1"/>
    <col min="6" max="6" width="9.140625" style="1" bestFit="1" customWidth="1"/>
    <col min="7" max="7" width="11.85546875" customWidth="1"/>
    <col min="8" max="8" width="8.5703125" customWidth="1"/>
    <col min="9" max="9" width="17.5703125" style="1" customWidth="1"/>
    <col min="10" max="10" width="14.140625" style="1" customWidth="1"/>
    <col min="11" max="11" width="51" style="1" bestFit="1" customWidth="1"/>
    <col min="12" max="12" width="53.7109375" style="1" bestFit="1" customWidth="1"/>
    <col min="13" max="13" width="33.85546875" style="1" customWidth="1"/>
    <col min="14" max="14" width="49.140625" bestFit="1" customWidth="1"/>
    <col min="15" max="15" width="12.5703125" customWidth="1"/>
    <col min="16" max="16" width="32.85546875" style="1" bestFit="1" customWidth="1"/>
    <col min="17" max="17" width="73.28515625" style="1" customWidth="1"/>
    <col min="18" max="16384" width="9.140625" style="1"/>
  </cols>
  <sheetData>
    <row r="1" spans="2:18" ht="15" customHeight="1" thickBot="1" x14ac:dyDescent="0.3">
      <c r="I1" s="35"/>
      <c r="J1" s="36" t="s">
        <v>43</v>
      </c>
      <c r="K1" s="35"/>
      <c r="M1"/>
    </row>
    <row r="2" spans="2:18" ht="15" customHeight="1" thickBot="1" x14ac:dyDescent="0.3">
      <c r="B2" s="38" t="s">
        <v>5</v>
      </c>
      <c r="C2" s="38"/>
      <c r="E2" s="26" t="s">
        <v>9</v>
      </c>
      <c r="F2" s="26"/>
      <c r="I2" s="10" t="s">
        <v>15</v>
      </c>
      <c r="J2" s="10" t="s">
        <v>21</v>
      </c>
      <c r="K2" s="11" t="s">
        <v>21</v>
      </c>
      <c r="L2" s="13"/>
      <c r="M2" s="13"/>
      <c r="N2" s="13"/>
      <c r="P2" s="4" t="s">
        <v>0</v>
      </c>
      <c r="Q2" s="4"/>
    </row>
    <row r="3" spans="2:18" ht="15" customHeight="1" x14ac:dyDescent="0.25">
      <c r="B3" s="14" t="s">
        <v>14</v>
      </c>
      <c r="C3" s="14" t="s">
        <v>17</v>
      </c>
      <c r="E3" s="26" t="s">
        <v>6</v>
      </c>
      <c r="F3" s="26" t="str">
        <f>"Qnt "&amp;SUM(F4:F25)</f>
        <v>Qnt 138</v>
      </c>
      <c r="I3" s="30" t="s">
        <v>20</v>
      </c>
      <c r="J3" s="28" t="s">
        <v>22</v>
      </c>
      <c r="K3" s="29" t="s">
        <v>4</v>
      </c>
      <c r="L3" s="27" t="s">
        <v>39</v>
      </c>
      <c r="M3" s="27" t="s">
        <v>50</v>
      </c>
      <c r="N3" s="31" t="s">
        <v>44</v>
      </c>
      <c r="P3" s="5" t="s">
        <v>7</v>
      </c>
      <c r="Q3" s="7" t="s">
        <v>45</v>
      </c>
      <c r="R3" s="7" t="s">
        <v>11</v>
      </c>
    </row>
    <row r="4" spans="2:18" ht="15" customHeight="1" x14ac:dyDescent="0.25">
      <c r="B4" s="14" t="s">
        <v>15</v>
      </c>
      <c r="C4" s="14" t="s">
        <v>18</v>
      </c>
      <c r="E4" s="2" t="s">
        <v>42</v>
      </c>
      <c r="F4" s="2">
        <v>1</v>
      </c>
      <c r="G4">
        <v>1</v>
      </c>
      <c r="I4" s="32"/>
      <c r="J4" s="33"/>
      <c r="K4" s="20" t="s">
        <v>38</v>
      </c>
      <c r="L4" s="34" t="str">
        <f>K4</f>
        <v>MIGRAÇÃO FIBRA ATIVO REVERSÃO, PORTAB E 3º NIVEL</v>
      </c>
      <c r="M4" s="34"/>
      <c r="N4" s="25" t="s">
        <v>42</v>
      </c>
      <c r="P4" s="23" t="s">
        <v>8</v>
      </c>
      <c r="Q4" s="7" t="s">
        <v>46</v>
      </c>
      <c r="R4" s="7" t="s">
        <v>10</v>
      </c>
    </row>
    <row r="5" spans="2:18" ht="15" customHeight="1" x14ac:dyDescent="0.25">
      <c r="B5" s="14" t="s">
        <v>16</v>
      </c>
      <c r="C5" s="14" t="s">
        <v>19</v>
      </c>
      <c r="E5" s="2" t="s">
        <v>25</v>
      </c>
      <c r="F5" s="2">
        <v>52</v>
      </c>
      <c r="G5">
        <v>52</v>
      </c>
      <c r="I5" s="16" t="s">
        <v>23</v>
      </c>
      <c r="J5" s="18" t="s">
        <v>24</v>
      </c>
      <c r="K5" s="19" t="s">
        <v>25</v>
      </c>
      <c r="L5" s="15" t="str">
        <f t="shared" ref="L5:L26" si="0">J5&amp;K5</f>
        <v>FRINPUT PORTAB FIXA</v>
      </c>
      <c r="M5" s="15" t="str">
        <f t="shared" ref="M5:M26" si="1">I5&amp;J5&amp;K5</f>
        <v>CANCELADOFRINPUT PORTAB FIXA</v>
      </c>
      <c r="N5" s="12" t="s">
        <v>25</v>
      </c>
      <c r="P5"/>
      <c r="Q5"/>
    </row>
    <row r="6" spans="2:18" ht="15" customHeight="1" x14ac:dyDescent="0.25">
      <c r="E6" s="2" t="s">
        <v>40</v>
      </c>
      <c r="F6" s="2">
        <v>66</v>
      </c>
      <c r="G6">
        <v>66</v>
      </c>
      <c r="I6" s="16" t="s">
        <v>26</v>
      </c>
      <c r="J6" s="18" t="s">
        <v>27</v>
      </c>
      <c r="K6" s="19" t="s">
        <v>28</v>
      </c>
      <c r="L6" s="15" t="str">
        <f t="shared" si="0"/>
        <v>PRPORTAB - NÃO RETIDO</v>
      </c>
      <c r="M6" s="15" t="str">
        <f t="shared" si="1"/>
        <v>ATIVOPRPORTAB - NÃO RETIDO</v>
      </c>
      <c r="N6" s="12" t="s">
        <v>40</v>
      </c>
      <c r="P6"/>
      <c r="Q6" s="2" t="str">
        <f>"\\netprd02\bo_nba_staf$\08_HOTLINE_E_CHECK_VIABILIDADE\"</f>
        <v>\\netprd02\bo_nba_staf$\08_HOTLINE_E_CHECK_VIABILIDADE\</v>
      </c>
    </row>
    <row r="7" spans="2:18" ht="15" customHeight="1" x14ac:dyDescent="0.25">
      <c r="E7" s="2" t="s">
        <v>41</v>
      </c>
      <c r="F7" s="2">
        <v>19</v>
      </c>
      <c r="G7">
        <v>19</v>
      </c>
      <c r="I7" s="16" t="s">
        <v>26</v>
      </c>
      <c r="J7" s="18" t="s">
        <v>29</v>
      </c>
      <c r="K7" s="19" t="s">
        <v>28</v>
      </c>
      <c r="L7" s="15" t="str">
        <f t="shared" si="0"/>
        <v>SCPORTAB - NÃO RETIDO</v>
      </c>
      <c r="M7" s="15" t="str">
        <f t="shared" si="1"/>
        <v>ATIVOSCPORTAB - NÃO RETIDO</v>
      </c>
      <c r="N7" s="12" t="s">
        <v>40</v>
      </c>
      <c r="P7"/>
      <c r="Q7" s="1">
        <v>42</v>
      </c>
    </row>
    <row r="8" spans="2:18" ht="15" customHeight="1" x14ac:dyDescent="0.25">
      <c r="E8" s="2"/>
      <c r="F8" s="2"/>
      <c r="I8" s="16" t="s">
        <v>26</v>
      </c>
      <c r="J8" s="18" t="s">
        <v>24</v>
      </c>
      <c r="K8" s="19" t="s">
        <v>28</v>
      </c>
      <c r="L8" s="15" t="str">
        <f t="shared" si="0"/>
        <v>FRPORTAB - NÃO RETIDO</v>
      </c>
      <c r="M8" s="15" t="str">
        <f t="shared" si="1"/>
        <v>ATIVOFRPORTAB - NÃO RETIDO</v>
      </c>
      <c r="N8" s="12" t="s">
        <v>40</v>
      </c>
    </row>
    <row r="9" spans="2:18" ht="15" customHeight="1" x14ac:dyDescent="0.25">
      <c r="E9" s="2"/>
      <c r="F9" s="2"/>
      <c r="I9" s="16" t="s">
        <v>26</v>
      </c>
      <c r="J9" s="18" t="s">
        <v>30</v>
      </c>
      <c r="K9" s="19" t="s">
        <v>28</v>
      </c>
      <c r="L9" s="15" t="str">
        <f t="shared" si="0"/>
        <v>GOPORTAB - NÃO RETIDO</v>
      </c>
      <c r="M9" s="15" t="str">
        <f t="shared" si="1"/>
        <v>ATIVOGOPORTAB - NÃO RETIDO</v>
      </c>
      <c r="N9" s="12" t="s">
        <v>40</v>
      </c>
    </row>
    <row r="10" spans="2:18" ht="15" customHeight="1" x14ac:dyDescent="0.25">
      <c r="E10" s="2"/>
      <c r="F10" s="2"/>
      <c r="I10" s="16" t="s">
        <v>26</v>
      </c>
      <c r="J10" s="18" t="s">
        <v>31</v>
      </c>
      <c r="K10" s="19" t="s">
        <v>28</v>
      </c>
      <c r="L10" s="15" t="str">
        <f t="shared" si="0"/>
        <v>DFPORTAB - NÃO RETIDO</v>
      </c>
      <c r="M10" s="15" t="str">
        <f t="shared" si="1"/>
        <v>ATIVODFPORTAB - NÃO RETIDO</v>
      </c>
      <c r="N10" s="12" t="s">
        <v>40</v>
      </c>
    </row>
    <row r="11" spans="2:18" ht="15" customHeight="1" x14ac:dyDescent="0.25">
      <c r="E11" s="2"/>
      <c r="F11" s="2"/>
      <c r="I11" s="16" t="s">
        <v>26</v>
      </c>
      <c r="J11" s="18" t="s">
        <v>32</v>
      </c>
      <c r="K11" s="19" t="s">
        <v>28</v>
      </c>
      <c r="L11" s="15" t="str">
        <f t="shared" si="0"/>
        <v>RTPORTAB - NÃO RETIDO</v>
      </c>
      <c r="M11" s="15" t="str">
        <f t="shared" si="1"/>
        <v>ATIVORTPORTAB - NÃO RETIDO</v>
      </c>
      <c r="N11" s="12" t="s">
        <v>40</v>
      </c>
    </row>
    <row r="12" spans="2:18" ht="15" customHeight="1" x14ac:dyDescent="0.25">
      <c r="E12" s="2"/>
      <c r="F12" s="2"/>
      <c r="I12" s="16" t="s">
        <v>26</v>
      </c>
      <c r="J12" s="18" t="s">
        <v>33</v>
      </c>
      <c r="K12" s="19" t="s">
        <v>28</v>
      </c>
      <c r="L12" s="15" t="str">
        <f t="shared" si="0"/>
        <v>RSPORTAB - NÃO RETIDO</v>
      </c>
      <c r="M12" s="15" t="str">
        <f t="shared" si="1"/>
        <v>ATIVORSPORTAB - NÃO RETIDO</v>
      </c>
      <c r="N12" s="12" t="s">
        <v>40</v>
      </c>
    </row>
    <row r="13" spans="2:18" ht="15" customHeight="1" x14ac:dyDescent="0.25">
      <c r="E13" s="2"/>
      <c r="F13" s="2"/>
      <c r="I13" s="16" t="s">
        <v>26</v>
      </c>
      <c r="J13" s="18" t="s">
        <v>34</v>
      </c>
      <c r="K13" s="19" t="s">
        <v>28</v>
      </c>
      <c r="L13" s="15" t="str">
        <f t="shared" si="0"/>
        <v>MSPORTAB - NÃO RETIDO</v>
      </c>
      <c r="M13" s="15" t="str">
        <f t="shared" si="1"/>
        <v>ATIVOMSPORTAB - NÃO RETIDO</v>
      </c>
      <c r="N13" s="12" t="s">
        <v>40</v>
      </c>
    </row>
    <row r="14" spans="2:18" ht="15" customHeight="1" x14ac:dyDescent="0.25">
      <c r="E14" s="2"/>
      <c r="F14" s="2"/>
      <c r="I14" s="16" t="s">
        <v>26</v>
      </c>
      <c r="J14" s="18" t="s">
        <v>35</v>
      </c>
      <c r="K14" s="19" t="s">
        <v>28</v>
      </c>
      <c r="L14" s="15" t="str">
        <f t="shared" si="0"/>
        <v>ROPORTAB - NÃO RETIDO</v>
      </c>
      <c r="M14" s="15" t="str">
        <f t="shared" si="1"/>
        <v>ATIVOROPORTAB - NÃO RETIDO</v>
      </c>
      <c r="N14" s="12" t="s">
        <v>40</v>
      </c>
    </row>
    <row r="15" spans="2:18" ht="15" customHeight="1" x14ac:dyDescent="0.25">
      <c r="E15" s="2"/>
      <c r="F15" s="2"/>
      <c r="I15" s="16" t="s">
        <v>26</v>
      </c>
      <c r="J15" s="18" t="s">
        <v>36</v>
      </c>
      <c r="K15" s="19" t="s">
        <v>28</v>
      </c>
      <c r="L15" s="15" t="str">
        <f t="shared" si="0"/>
        <v>MTPORTAB - NÃO RETIDO</v>
      </c>
      <c r="M15" s="15" t="str">
        <f t="shared" si="1"/>
        <v>ATIVOMTPORTAB - NÃO RETIDO</v>
      </c>
      <c r="N15" s="12" t="s">
        <v>40</v>
      </c>
    </row>
    <row r="16" spans="2:18" ht="15" customHeight="1" x14ac:dyDescent="0.25">
      <c r="E16" s="2"/>
      <c r="F16" s="2"/>
      <c r="I16" s="16" t="s">
        <v>26</v>
      </c>
      <c r="J16" s="18" t="s">
        <v>37</v>
      </c>
      <c r="K16" s="19" t="s">
        <v>28</v>
      </c>
      <c r="L16" s="15" t="str">
        <f t="shared" si="0"/>
        <v>ACPORTAB - NÃO RETIDO</v>
      </c>
      <c r="M16" s="15" t="str">
        <f t="shared" si="1"/>
        <v>ATIVOACPORTAB - NÃO RETIDO</v>
      </c>
      <c r="N16" s="12" t="s">
        <v>40</v>
      </c>
    </row>
    <row r="17" spans="1:14" ht="15" customHeight="1" x14ac:dyDescent="0.25">
      <c r="E17" s="2"/>
      <c r="F17" s="2"/>
      <c r="I17" s="16" t="s">
        <v>23</v>
      </c>
      <c r="J17" s="18" t="s">
        <v>27</v>
      </c>
      <c r="K17" s="19" t="s">
        <v>25</v>
      </c>
      <c r="L17" s="15" t="str">
        <f t="shared" si="0"/>
        <v>PRINPUT PORTAB FIXA</v>
      </c>
      <c r="M17" s="15" t="str">
        <f t="shared" si="1"/>
        <v>CANCELADOPRINPUT PORTAB FIXA</v>
      </c>
      <c r="N17" s="12" t="s">
        <v>41</v>
      </c>
    </row>
    <row r="18" spans="1:14" ht="15" customHeight="1" x14ac:dyDescent="0.25">
      <c r="E18" s="2"/>
      <c r="F18" s="2"/>
      <c r="I18" s="16" t="s">
        <v>23</v>
      </c>
      <c r="J18" s="18" t="s">
        <v>29</v>
      </c>
      <c r="K18" s="19" t="s">
        <v>25</v>
      </c>
      <c r="L18" s="15" t="str">
        <f t="shared" si="0"/>
        <v>SCINPUT PORTAB FIXA</v>
      </c>
      <c r="M18" s="15" t="str">
        <f t="shared" si="1"/>
        <v>CANCELADOSCINPUT PORTAB FIXA</v>
      </c>
      <c r="N18" s="12" t="s">
        <v>41</v>
      </c>
    </row>
    <row r="19" spans="1:14" ht="15" customHeight="1" x14ac:dyDescent="0.25">
      <c r="E19" s="2"/>
      <c r="F19" s="2"/>
      <c r="I19" s="16" t="s">
        <v>23</v>
      </c>
      <c r="J19" s="18" t="s">
        <v>30</v>
      </c>
      <c r="K19" s="19" t="s">
        <v>25</v>
      </c>
      <c r="L19" s="15" t="str">
        <f t="shared" si="0"/>
        <v>GOINPUT PORTAB FIXA</v>
      </c>
      <c r="M19" s="15" t="str">
        <f t="shared" si="1"/>
        <v>CANCELADOGOINPUT PORTAB FIXA</v>
      </c>
      <c r="N19" s="12" t="s">
        <v>41</v>
      </c>
    </row>
    <row r="20" spans="1:14" ht="15" customHeight="1" x14ac:dyDescent="0.25">
      <c r="B20" s="3" t="s">
        <v>2</v>
      </c>
      <c r="C20" s="6" t="s">
        <v>3</v>
      </c>
      <c r="E20" s="2"/>
      <c r="F20" s="2"/>
      <c r="I20" s="16" t="s">
        <v>23</v>
      </c>
      <c r="J20" s="18" t="s">
        <v>31</v>
      </c>
      <c r="K20" s="19" t="s">
        <v>25</v>
      </c>
      <c r="L20" s="15" t="str">
        <f t="shared" si="0"/>
        <v>DFINPUT PORTAB FIXA</v>
      </c>
      <c r="M20" s="15" t="str">
        <f t="shared" si="1"/>
        <v>CANCELADODFINPUT PORTAB FIXA</v>
      </c>
      <c r="N20" s="12" t="s">
        <v>41</v>
      </c>
    </row>
    <row r="21" spans="1:14" ht="15" customHeight="1" x14ac:dyDescent="0.25">
      <c r="B21" s="3" t="s">
        <v>2</v>
      </c>
      <c r="C21" s="6" t="s">
        <v>1</v>
      </c>
      <c r="E21" s="2"/>
      <c r="F21" s="2"/>
      <c r="I21" s="16" t="s">
        <v>23</v>
      </c>
      <c r="J21" s="18" t="s">
        <v>32</v>
      </c>
      <c r="K21" s="19" t="s">
        <v>25</v>
      </c>
      <c r="L21" s="15" t="str">
        <f t="shared" si="0"/>
        <v>RTINPUT PORTAB FIXA</v>
      </c>
      <c r="M21" s="15" t="str">
        <f t="shared" si="1"/>
        <v>CANCELADORTINPUT PORTAB FIXA</v>
      </c>
      <c r="N21" s="12" t="s">
        <v>41</v>
      </c>
    </row>
    <row r="22" spans="1:14" ht="15" customHeight="1" x14ac:dyDescent="0.25">
      <c r="B22"/>
      <c r="C22"/>
      <c r="E22" s="2"/>
      <c r="F22" s="2"/>
      <c r="I22" s="16" t="s">
        <v>23</v>
      </c>
      <c r="J22" s="18" t="s">
        <v>33</v>
      </c>
      <c r="K22" s="19" t="s">
        <v>25</v>
      </c>
      <c r="L22" s="15" t="str">
        <f t="shared" si="0"/>
        <v>RSINPUT PORTAB FIXA</v>
      </c>
      <c r="M22" s="15" t="str">
        <f t="shared" si="1"/>
        <v>CANCELADORSINPUT PORTAB FIXA</v>
      </c>
      <c r="N22" s="12" t="s">
        <v>41</v>
      </c>
    </row>
    <row r="23" spans="1:14" ht="15" customHeight="1" x14ac:dyDescent="0.25">
      <c r="E23" s="2"/>
      <c r="F23" s="2"/>
      <c r="I23" s="16" t="s">
        <v>23</v>
      </c>
      <c r="J23" s="18" t="s">
        <v>34</v>
      </c>
      <c r="K23" s="20" t="s">
        <v>38</v>
      </c>
      <c r="L23" s="15" t="str">
        <f t="shared" si="0"/>
        <v>MSMIGRAÇÃO FIBRA ATIVO REVERSÃO, PORTAB E 3º NIVEL</v>
      </c>
      <c r="M23" s="15" t="str">
        <f t="shared" si="1"/>
        <v>CANCELADOMSMIGRAÇÃO FIBRA ATIVO REVERSÃO, PORTAB E 3º NIVEL</v>
      </c>
      <c r="N23" s="12" t="s">
        <v>41</v>
      </c>
    </row>
    <row r="24" spans="1:14" ht="15" customHeight="1" x14ac:dyDescent="0.25">
      <c r="A24" s="9" t="s">
        <v>13</v>
      </c>
      <c r="B24" s="8" t="s">
        <v>12</v>
      </c>
      <c r="E24" s="2"/>
      <c r="F24" s="2"/>
      <c r="I24" s="16" t="s">
        <v>23</v>
      </c>
      <c r="J24" s="18" t="s">
        <v>35</v>
      </c>
      <c r="K24" s="19" t="s">
        <v>25</v>
      </c>
      <c r="L24" s="15" t="str">
        <f t="shared" si="0"/>
        <v>ROINPUT PORTAB FIXA</v>
      </c>
      <c r="M24" s="15" t="str">
        <f t="shared" si="1"/>
        <v>CANCELADOROINPUT PORTAB FIXA</v>
      </c>
      <c r="N24" s="12" t="s">
        <v>41</v>
      </c>
    </row>
    <row r="25" spans="1:14" ht="15" customHeight="1" x14ac:dyDescent="0.25">
      <c r="A25" t="s">
        <v>15</v>
      </c>
      <c r="B25" s="37" t="s">
        <v>47</v>
      </c>
      <c r="E25" s="2"/>
      <c r="F25" s="2"/>
      <c r="I25" s="16" t="s">
        <v>23</v>
      </c>
      <c r="J25" s="18" t="s">
        <v>36</v>
      </c>
      <c r="K25" s="19" t="s">
        <v>25</v>
      </c>
      <c r="L25" s="15" t="str">
        <f t="shared" si="0"/>
        <v>MTINPUT PORTAB FIXA</v>
      </c>
      <c r="M25" s="15" t="str">
        <f t="shared" si="1"/>
        <v>CANCELADOMTINPUT PORTAB FIXA</v>
      </c>
      <c r="N25" s="12" t="s">
        <v>41</v>
      </c>
    </row>
    <row r="26" spans="1:14" ht="15" customHeight="1" x14ac:dyDescent="0.25">
      <c r="A26" t="s">
        <v>52</v>
      </c>
      <c r="B26" s="37" t="s">
        <v>51</v>
      </c>
      <c r="E26" s="2"/>
      <c r="F26" s="2"/>
      <c r="I26" s="16" t="s">
        <v>23</v>
      </c>
      <c r="J26" s="18" t="s">
        <v>37</v>
      </c>
      <c r="K26" s="19" t="s">
        <v>25</v>
      </c>
      <c r="L26" s="15" t="str">
        <f t="shared" si="0"/>
        <v>ACINPUT PORTAB FIXA</v>
      </c>
      <c r="M26" s="15" t="str">
        <f t="shared" si="1"/>
        <v>CANCELADOACINPUT PORTAB FIXA</v>
      </c>
      <c r="N26" s="12" t="s">
        <v>41</v>
      </c>
    </row>
    <row r="27" spans="1:14" ht="15" customHeight="1" x14ac:dyDescent="0.25">
      <c r="A27" t="s">
        <v>48</v>
      </c>
      <c r="B27" t="s">
        <v>49</v>
      </c>
      <c r="E27" s="2"/>
      <c r="F27" s="2"/>
      <c r="I27" s="17"/>
      <c r="J27" s="21"/>
      <c r="K27" s="22"/>
      <c r="L27" s="2"/>
      <c r="M27" s="24"/>
      <c r="N27" s="24"/>
    </row>
    <row r="28" spans="1:14" ht="15" customHeight="1" x14ac:dyDescent="0.25">
      <c r="E28" s="2"/>
      <c r="F28" s="2"/>
      <c r="I28" s="17"/>
      <c r="J28" s="21"/>
      <c r="K28" s="22"/>
      <c r="L28" s="2"/>
      <c r="M28" s="24"/>
      <c r="N28" s="24"/>
    </row>
    <row r="29" spans="1:14" ht="15" customHeight="1" x14ac:dyDescent="0.25">
      <c r="E29" s="2"/>
      <c r="F29" s="2"/>
      <c r="I29" s="17"/>
      <c r="J29" s="21"/>
      <c r="K29" s="22"/>
      <c r="L29" s="2"/>
      <c r="M29" s="24"/>
      <c r="N29" s="24"/>
    </row>
    <row r="30" spans="1:14" ht="15" customHeight="1" x14ac:dyDescent="0.25">
      <c r="E30" s="2"/>
      <c r="F30" s="2"/>
      <c r="I30" s="17"/>
      <c r="J30" s="21"/>
      <c r="K30" s="22"/>
      <c r="L30" s="2"/>
      <c r="M30" s="24"/>
      <c r="N30" s="24"/>
    </row>
    <row r="31" spans="1:14" ht="15" customHeight="1" x14ac:dyDescent="0.25">
      <c r="E31" s="2"/>
      <c r="F31" s="2"/>
      <c r="I31" s="17"/>
      <c r="J31" s="21"/>
      <c r="K31" s="22"/>
      <c r="L31" s="2"/>
      <c r="M31" s="24"/>
      <c r="N31" s="24"/>
    </row>
    <row r="32" spans="1:14" ht="15" customHeight="1" x14ac:dyDescent="0.25">
      <c r="E32" s="2"/>
      <c r="F32" s="2"/>
      <c r="I32" s="17"/>
      <c r="J32" s="21"/>
      <c r="K32" s="22"/>
      <c r="L32" s="2"/>
      <c r="M32" s="24"/>
      <c r="N32" s="24"/>
    </row>
    <row r="33" spans="5:14" ht="15" customHeight="1" x14ac:dyDescent="0.25">
      <c r="E33" s="2"/>
      <c r="F33" s="2"/>
      <c r="I33" s="17"/>
      <c r="J33" s="21"/>
      <c r="K33" s="22"/>
      <c r="L33" s="2"/>
      <c r="M33" s="24"/>
      <c r="N33" s="24"/>
    </row>
    <row r="34" spans="5:14" ht="15" customHeight="1" x14ac:dyDescent="0.25">
      <c r="E34" s="2"/>
      <c r="F34" s="2"/>
      <c r="I34" s="17"/>
      <c r="J34" s="21"/>
      <c r="K34" s="22"/>
      <c r="L34" s="2"/>
      <c r="M34" s="24"/>
      <c r="N34" s="24"/>
    </row>
    <row r="35" spans="5:14" ht="15" customHeight="1" x14ac:dyDescent="0.25">
      <c r="E35" s="2"/>
      <c r="F35" s="2"/>
      <c r="I35" s="17"/>
      <c r="J35" s="21"/>
      <c r="K35" s="22"/>
      <c r="L35" s="2"/>
      <c r="M35" s="24"/>
      <c r="N35" s="24"/>
    </row>
    <row r="36" spans="5:14" ht="15" customHeight="1" x14ac:dyDescent="0.25">
      <c r="E36" s="2"/>
      <c r="F36" s="2"/>
      <c r="I36" s="17"/>
      <c r="J36" s="21"/>
      <c r="K36" s="22"/>
      <c r="L36" s="2"/>
      <c r="M36" s="24"/>
      <c r="N36" s="24"/>
    </row>
    <row r="37" spans="5:14" ht="15" customHeight="1" x14ac:dyDescent="0.25">
      <c r="E37" s="2"/>
      <c r="F37" s="2"/>
      <c r="I37" s="17"/>
      <c r="J37" s="21"/>
      <c r="K37" s="22"/>
      <c r="L37" s="2"/>
      <c r="M37" s="24"/>
      <c r="N37" s="24"/>
    </row>
    <row r="38" spans="5:14" ht="15" customHeight="1" x14ac:dyDescent="0.25">
      <c r="E38" s="2"/>
      <c r="F38" s="2"/>
      <c r="I38" s="17"/>
      <c r="J38" s="21"/>
      <c r="K38" s="22"/>
      <c r="L38" s="2"/>
      <c r="M38" s="24"/>
      <c r="N38" s="24"/>
    </row>
    <row r="39" spans="5:14" ht="15" customHeight="1" x14ac:dyDescent="0.25">
      <c r="E39" s="2"/>
      <c r="F39" s="2"/>
      <c r="I39" s="17"/>
      <c r="J39" s="21"/>
      <c r="K39" s="22"/>
      <c r="L39" s="2"/>
      <c r="M39" s="24"/>
      <c r="N39" s="24"/>
    </row>
    <row r="40" spans="5:14" ht="15" customHeight="1" x14ac:dyDescent="0.25">
      <c r="E40" s="2"/>
      <c r="F40" s="2"/>
      <c r="I40" s="17"/>
      <c r="J40" s="21"/>
      <c r="K40" s="22"/>
      <c r="L40" s="2"/>
      <c r="M40" s="24"/>
      <c r="N40" s="24"/>
    </row>
    <row r="41" spans="5:14" ht="15" customHeight="1" x14ac:dyDescent="0.25">
      <c r="E41" s="2"/>
      <c r="F41" s="2"/>
      <c r="I41" s="17"/>
      <c r="J41" s="21"/>
      <c r="K41" s="22"/>
      <c r="L41" s="2"/>
      <c r="M41" s="24"/>
      <c r="N41" s="24"/>
    </row>
    <row r="42" spans="5:14" ht="15" customHeight="1" x14ac:dyDescent="0.25">
      <c r="E42" s="2"/>
      <c r="F42" s="2"/>
      <c r="I42" s="17"/>
      <c r="J42" s="21"/>
      <c r="K42" s="22"/>
      <c r="L42" s="2"/>
      <c r="M42" s="24"/>
      <c r="N42" s="24"/>
    </row>
    <row r="43" spans="5:14" ht="15" customHeight="1" x14ac:dyDescent="0.25">
      <c r="E43" s="2"/>
      <c r="F43" s="2"/>
      <c r="I43" s="17"/>
      <c r="J43" s="21"/>
      <c r="K43" s="22"/>
      <c r="L43" s="2"/>
      <c r="M43" s="24"/>
      <c r="N43" s="24"/>
    </row>
    <row r="44" spans="5:14" ht="15" customHeight="1" x14ac:dyDescent="0.25">
      <c r="E44" s="2"/>
      <c r="F44" s="2"/>
      <c r="I44" s="17"/>
      <c r="J44" s="21"/>
      <c r="K44" s="22"/>
      <c r="L44" s="2"/>
      <c r="M44" s="24"/>
      <c r="N44" s="24"/>
    </row>
    <row r="45" spans="5:14" ht="15" customHeight="1" x14ac:dyDescent="0.25">
      <c r="E45" s="2"/>
      <c r="F45" s="2"/>
      <c r="I45" s="17"/>
      <c r="J45" s="21"/>
      <c r="K45" s="22"/>
      <c r="L45" s="2"/>
      <c r="M45" s="24"/>
      <c r="N45" s="24"/>
    </row>
    <row r="46" spans="5:14" ht="15" customHeight="1" x14ac:dyDescent="0.25">
      <c r="E46" s="2"/>
      <c r="F46" s="2"/>
      <c r="I46" s="17"/>
      <c r="J46" s="21"/>
      <c r="K46" s="22"/>
      <c r="L46" s="2"/>
      <c r="M46" s="24"/>
      <c r="N46" s="24"/>
    </row>
    <row r="47" spans="5:14" ht="15" customHeight="1" x14ac:dyDescent="0.25">
      <c r="E47" s="2"/>
      <c r="F47" s="2"/>
      <c r="I47" s="17"/>
      <c r="J47" s="21"/>
      <c r="K47" s="22"/>
      <c r="L47" s="2"/>
      <c r="M47" s="24"/>
      <c r="N47" s="24"/>
    </row>
    <row r="48" spans="5:14" ht="15" customHeight="1" x14ac:dyDescent="0.25">
      <c r="E48" s="2"/>
      <c r="F48" s="2"/>
      <c r="I48" s="17"/>
      <c r="J48" s="21"/>
      <c r="K48" s="22"/>
      <c r="L48" s="2"/>
      <c r="M48" s="24"/>
      <c r="N48" s="24"/>
    </row>
    <row r="49" spans="5:14" ht="15" customHeight="1" x14ac:dyDescent="0.25">
      <c r="E49" s="2"/>
      <c r="F49" s="2"/>
      <c r="I49" s="17"/>
      <c r="J49" s="21"/>
      <c r="K49" s="22"/>
      <c r="L49" s="2"/>
      <c r="M49" s="24"/>
      <c r="N49" s="24"/>
    </row>
    <row r="50" spans="5:14" ht="15" customHeight="1" x14ac:dyDescent="0.25">
      <c r="E50" s="2"/>
      <c r="F50" s="2"/>
      <c r="I50" s="17"/>
      <c r="J50" s="21"/>
      <c r="K50" s="22"/>
      <c r="L50" s="2"/>
      <c r="M50" s="24"/>
      <c r="N50" s="24"/>
    </row>
    <row r="54" spans="5:14" ht="15" customHeight="1" x14ac:dyDescent="0.25">
      <c r="I54"/>
      <c r="J54"/>
      <c r="K54"/>
      <c r="L54"/>
      <c r="M54"/>
    </row>
    <row r="55" spans="5:14" ht="15" customHeight="1" x14ac:dyDescent="0.25">
      <c r="I55"/>
      <c r="J55"/>
      <c r="K55"/>
      <c r="L55"/>
      <c r="M55"/>
    </row>
    <row r="56" spans="5:14" ht="15" customHeight="1" x14ac:dyDescent="0.25">
      <c r="I56"/>
      <c r="J56"/>
      <c r="K56"/>
      <c r="L56"/>
      <c r="M56"/>
    </row>
    <row r="57" spans="5:14" ht="15" customHeight="1" x14ac:dyDescent="0.25">
      <c r="I57"/>
      <c r="J57"/>
      <c r="K57"/>
      <c r="L57"/>
      <c r="M57"/>
    </row>
    <row r="58" spans="5:14" ht="15" customHeight="1" x14ac:dyDescent="0.25">
      <c r="I58"/>
      <c r="J58"/>
      <c r="K58"/>
      <c r="L58"/>
      <c r="M58"/>
    </row>
    <row r="59" spans="5:14" ht="15" customHeight="1" x14ac:dyDescent="0.25">
      <c r="I59"/>
      <c r="J59"/>
      <c r="K59"/>
      <c r="L59"/>
      <c r="M59"/>
    </row>
    <row r="60" spans="5:14" ht="15" customHeight="1" x14ac:dyDescent="0.25">
      <c r="I60"/>
      <c r="J60"/>
      <c r="K60"/>
      <c r="L60"/>
      <c r="M60"/>
    </row>
    <row r="61" spans="5:14" ht="15" customHeight="1" x14ac:dyDescent="0.25">
      <c r="I61"/>
      <c r="J61"/>
      <c r="K61"/>
      <c r="L61"/>
      <c r="M61"/>
    </row>
    <row r="62" spans="5:14" ht="15" customHeight="1" x14ac:dyDescent="0.25">
      <c r="I62"/>
      <c r="J62"/>
      <c r="K62"/>
      <c r="L62"/>
      <c r="M62"/>
    </row>
    <row r="63" spans="5:14" ht="15" customHeight="1" x14ac:dyDescent="0.25">
      <c r="I63"/>
      <c r="J63"/>
      <c r="K63"/>
      <c r="L63"/>
      <c r="M63"/>
    </row>
    <row r="64" spans="5:14" ht="15" customHeight="1" x14ac:dyDescent="0.25">
      <c r="I64"/>
      <c r="J64"/>
      <c r="K64"/>
      <c r="L64"/>
      <c r="M64"/>
    </row>
  </sheetData>
  <mergeCells count="1">
    <mergeCell ref="B2:C2"/>
  </mergeCells>
  <conditionalFormatting sqref="K65:K1048576 K27:K50">
    <cfRule type="duplicateValues" dxfId="4" priority="4"/>
    <cfRule type="duplicateValues" dxfId="3" priority="5"/>
  </conditionalFormatting>
  <conditionalFormatting sqref="M2:M26">
    <cfRule type="duplicateValues" dxfId="2" priority="1"/>
  </conditionalFormatting>
  <conditionalFormatting sqref="M17:M26">
    <cfRule type="duplicateValues" dxfId="1" priority="3"/>
  </conditionalFormatting>
  <conditionalFormatting sqref="M2:M16">
    <cfRule type="duplicateValues" dxfId="0" priority="10"/>
  </conditionalFormatting>
  <hyperlinks>
    <hyperlink ref="R4" r:id="rId1"/>
    <hyperlink ref="R3" r:id="rId2"/>
    <hyperlink ref="Q4" r:id="rId3"/>
    <hyperlink ref="Q3" r:id="rId4"/>
    <hyperlink ref="B24" r:id="rId5"/>
    <hyperlink ref="B25" r:id="rId6"/>
  </hyperlinks>
  <pageMargins left="0.511811024" right="0.511811024" top="0.78740157499999996" bottom="0.78740157499999996" header="0.31496062000000002" footer="0.31496062000000002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Plan2</vt:lpstr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2021-01-07T15:02:32Z</dcterms:created>
  <dcterms:modified xsi:type="dcterms:W3CDTF">2021-07-29T12:09:50Z</dcterms:modified>
</cp:coreProperties>
</file>